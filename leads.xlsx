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THAN\crm\"/>
    </mc:Choice>
  </mc:AlternateContent>
  <xr:revisionPtr revIDLastSave="0" documentId="8_{F121E66E-1316-4BDB-8F3E-CD6EFB060BB1}" xr6:coauthVersionLast="47" xr6:coauthVersionMax="47" xr10:uidLastSave="{00000000-0000-0000-0000-000000000000}"/>
  <bookViews>
    <workbookView xWindow="-108" yWindow="-108" windowWidth="23256" windowHeight="12456" xr2:uid="{94A7343A-DFCC-4362-9597-F7DF2C7CF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98" i="1" l="1"/>
  <c r="E484" i="1"/>
  <c r="E483" i="1"/>
  <c r="E482" i="1"/>
  <c r="E481" i="1"/>
  <c r="E453" i="1"/>
</calcChain>
</file>

<file path=xl/sharedStrings.xml><?xml version="1.0" encoding="utf-8"?>
<sst xmlns="http://schemas.openxmlformats.org/spreadsheetml/2006/main" count="5225" uniqueCount="2512">
  <si>
    <t xml:space="preserve"> Enq no</t>
  </si>
  <si>
    <t>Date Received</t>
  </si>
  <si>
    <t>Lead Name / Full Name</t>
  </si>
  <si>
    <t>Company / Organisation</t>
  </si>
  <si>
    <t>Contact No.</t>
  </si>
  <si>
    <t>City</t>
  </si>
  <si>
    <t>No. of Cars</t>
  </si>
  <si>
    <t>Client Inputs/information</t>
  </si>
  <si>
    <t>Client / Lead Note</t>
  </si>
  <si>
    <t>Followup Note / Remarks-1</t>
  </si>
  <si>
    <t>Followup by NSM</t>
  </si>
  <si>
    <t>Followup Note / Remarks-2</t>
  </si>
  <si>
    <t>Followup Note / Remarks-2 2</t>
  </si>
  <si>
    <t>Staus</t>
  </si>
  <si>
    <t>Qutation Sent</t>
  </si>
  <si>
    <t>Project Value</t>
  </si>
  <si>
    <t>Lead Source</t>
  </si>
  <si>
    <t>Last Contacted</t>
  </si>
  <si>
    <t>Priority \ Stage</t>
  </si>
  <si>
    <t>Product / Type</t>
  </si>
  <si>
    <t>Primary Owner</t>
  </si>
  <si>
    <t>TAT Time</t>
  </si>
  <si>
    <t>Assigned To (Technical)</t>
  </si>
  <si>
    <t>Secondary Support Person</t>
  </si>
  <si>
    <t xml:space="preserve">Source Documents </t>
  </si>
  <si>
    <t>Product / Svc Interested In</t>
  </si>
  <si>
    <t>Converted Date</t>
  </si>
  <si>
    <t>Reason Lost</t>
  </si>
  <si>
    <t>TAT (Days)</t>
  </si>
  <si>
    <t>Email ID</t>
  </si>
  <si>
    <t>Remarks / Additional Notes</t>
  </si>
  <si>
    <t>Pranay Rane</t>
  </si>
  <si>
    <t>Karwar, goa border, karnataka</t>
  </si>
  <si>
    <t>they have requirement, will call on wednesday and discuss reg , called on 24th june, after that tried calling, not responded</t>
  </si>
  <si>
    <t>17/8: Not attending calls</t>
  </si>
  <si>
    <t>In Followup</t>
  </si>
  <si>
    <t>Facebook/Instagram</t>
  </si>
  <si>
    <t>A</t>
  </si>
  <si>
    <t>Kanchana</t>
  </si>
  <si>
    <t>pranayranekwr90@gmail.com</t>
  </si>
  <si>
    <t xml:space="preserve">company introduction mail send to the client </t>
  </si>
  <si>
    <t>Pradeep Gopalraju</t>
  </si>
  <si>
    <t>Mysore</t>
  </si>
  <si>
    <t>msg sent in WA, but no response</t>
  </si>
  <si>
    <t>RNR / Not reachable</t>
  </si>
  <si>
    <t>6.6.26</t>
  </si>
  <si>
    <t>pradeeppraju24@gmail.com</t>
  </si>
  <si>
    <t>Rathna Ravi</t>
  </si>
  <si>
    <t>Chennai</t>
  </si>
  <si>
    <t>Evening will call (23 june)</t>
  </si>
  <si>
    <t xml:space="preserve">withing 1 month, 1+1, commercial purpose, building </t>
  </si>
  <si>
    <t>esvaranfoodmills@gmail.com</t>
  </si>
  <si>
    <t>Shanawaz Palakkal</t>
  </si>
  <si>
    <t>Ernakulam</t>
  </si>
  <si>
    <t>1+1 - 2 nos.within 1 month</t>
  </si>
  <si>
    <t>17/8: Line Busy</t>
  </si>
  <si>
    <t>22/7-Landed call to voice mail</t>
  </si>
  <si>
    <t>30th june</t>
  </si>
  <si>
    <t>shanawazpalakkal@gmail.com</t>
  </si>
  <si>
    <t>Mohammed Jameel Ahmed Khan</t>
  </si>
  <si>
    <t>Hyderabad</t>
  </si>
  <si>
    <t>need site visit 16 ft height need stack parking 18 cars  Quote sent to Client</t>
  </si>
  <si>
    <t>10.6.26</t>
  </si>
  <si>
    <t>Ram</t>
  </si>
  <si>
    <t>jakhanfortuneinfracon@gmail.com</t>
  </si>
  <si>
    <t>Mohamed shameer</t>
  </si>
  <si>
    <t>p:+919995588833</t>
  </si>
  <si>
    <t>Thrissur district</t>
  </si>
  <si>
    <t>will call later and provide details reg. Interested.</t>
  </si>
  <si>
    <t>17/8: Not urgent. He will call later</t>
  </si>
  <si>
    <t>New Lead</t>
  </si>
  <si>
    <t>India Mart</t>
  </si>
  <si>
    <t>orbitauh@gmail.com</t>
  </si>
  <si>
    <t>Raiz</t>
  </si>
  <si>
    <t>p:+919995910299</t>
  </si>
  <si>
    <t>Kannur</t>
  </si>
  <si>
    <t>Glory Pack, they want collaboration also asking about car parking for their office</t>
  </si>
  <si>
    <t>Channel Partner</t>
  </si>
  <si>
    <t>okeyrayiz@gmail.com</t>
  </si>
  <si>
    <t xml:space="preserve">Mrs. sweeton </t>
  </si>
  <si>
    <t>Syndyra Cabs</t>
  </si>
  <si>
    <t>p:+9198825679501</t>
  </si>
  <si>
    <t>palayamkottai</t>
  </si>
  <si>
    <t>asked to send details in WA</t>
  </si>
  <si>
    <t>synthiyacabsnellai@gmail.com</t>
  </si>
  <si>
    <t>Ganesan Kalyanasundaram</t>
  </si>
  <si>
    <t>p:+919443222859</t>
  </si>
  <si>
    <t>Chidambaram</t>
  </si>
  <si>
    <t>Hotel, 50 cars, 30 ft. ft. 14, under ground, 40 cars, within 1 month</t>
  </si>
  <si>
    <t>17/8: His son will call up later</t>
  </si>
  <si>
    <t>22/7-Line busy</t>
  </si>
  <si>
    <t>kganesan56@gmail.com</t>
  </si>
  <si>
    <t>Kapil Khandelwal</t>
  </si>
  <si>
    <t>p:+919837045480</t>
  </si>
  <si>
    <t>Bareilly</t>
  </si>
  <si>
    <t>3 layer car parking, commercial, new buildling, ,will share drawings in whatsapp</t>
  </si>
  <si>
    <t>sent</t>
  </si>
  <si>
    <t>khandelwaldistributors@yahoo.com</t>
  </si>
  <si>
    <t>Sachendra Kumar Pathak</t>
  </si>
  <si>
    <t>iskon temple</t>
  </si>
  <si>
    <t>p:+919920441025</t>
  </si>
  <si>
    <t>Mumbai</t>
  </si>
  <si>
    <t>https://drive.google.com/drive/folders/1M6c-H8sNzUwfCqZPTKQBNOQlrL-K6Cy9?usp=drive_link</t>
  </si>
  <si>
    <t>they have sent email we have to revert back, 344 cars proposed.</t>
  </si>
  <si>
    <t>12.6.26-followup done, not responded
18.6.26-spokew tih sunil mumbai person</t>
  </si>
  <si>
    <t xml:space="preserve">22.7.26-have sent message, </t>
  </si>
  <si>
    <t>A - Prospect</t>
  </si>
  <si>
    <t>pathak.sachendrakumar@gmail.com</t>
  </si>
  <si>
    <t>Amanullah Khan</t>
  </si>
  <si>
    <t>p:+919945124750</t>
  </si>
  <si>
    <t>Bangalore</t>
  </si>
  <si>
    <t xml:space="preserve">9 to 10 ft.only he has hgiht. he need 3 nos. </t>
  </si>
  <si>
    <t>amanullahk@gmail.com</t>
  </si>
  <si>
    <t>Vishnu</t>
  </si>
  <si>
    <t>p:+919490174948</t>
  </si>
  <si>
    <t>Vijayawada</t>
  </si>
  <si>
    <t>height 10 ft not possible to install the system</t>
  </si>
  <si>
    <t>blnprasadprasad@yahoo.com</t>
  </si>
  <si>
    <t>Yethish Kumar (Builder)</t>
  </si>
  <si>
    <t>p:+919600798888</t>
  </si>
  <si>
    <t>Perungudi,Chennai</t>
  </si>
  <si>
    <t>Fist Call - 1+2, existing building. 11.5 ft. 2 car, builders, 10 owners. innova 15 ft
6.6.26 - tried calling, but no respones. 
21.7.26 - told not interested</t>
  </si>
  <si>
    <t>Not Interested</t>
  </si>
  <si>
    <t>13.6.26</t>
  </si>
  <si>
    <t>yethishkumar@gmail.com</t>
  </si>
  <si>
    <t>Nishith Patel</t>
  </si>
  <si>
    <t>p:+919879599505</t>
  </si>
  <si>
    <t>Vadodara</t>
  </si>
  <si>
    <t>nishithmangaldas@gmail.com</t>
  </si>
  <si>
    <t>Mohandas</t>
  </si>
  <si>
    <t>p:+919037540312</t>
  </si>
  <si>
    <t>Thrissur</t>
  </si>
  <si>
    <t>asking 12 nos, existing building, will back, it will take time</t>
  </si>
  <si>
    <t>26th june</t>
  </si>
  <si>
    <t>Ajith</t>
  </si>
  <si>
    <t>mohandas1971@yahoo.com</t>
  </si>
  <si>
    <t>Prabhakar Rao</t>
  </si>
  <si>
    <t>p:+919030929246</t>
  </si>
  <si>
    <t>already received quote, tey will let us know later</t>
  </si>
  <si>
    <t>prabhakarrao9030@gmail.com</t>
  </si>
  <si>
    <t>Cns Venkatesh Prabhu (Mediator)</t>
  </si>
  <si>
    <t>p:+919626067000</t>
  </si>
  <si>
    <t>Coimbatore</t>
  </si>
  <si>
    <t xml:space="preserve">stack parking, 50 unit.2 to 3 months, car rental develope. </t>
  </si>
  <si>
    <t>Rajesh</t>
  </si>
  <si>
    <t>Budget Issues</t>
  </si>
  <si>
    <t>prabhusrinivasan7000@gmail.com</t>
  </si>
  <si>
    <t>Kota Narendra Babu</t>
  </si>
  <si>
    <t>p:+919346840305</t>
  </si>
  <si>
    <t>Puttaparthi</t>
  </si>
  <si>
    <t xml:space="preserve">1+1, 20 units, in 6 to 8 mobnths, work in progress, basment parking - Hotel , restaurant &amp; banquet hall, HIght is there as required. </t>
  </si>
  <si>
    <t xml:space="preserve">17/8: Need some more time to take decision 
26/8: sent whatup msg
</t>
  </si>
  <si>
    <t>kotanarendrababu@gmail.com</t>
  </si>
  <si>
    <t>CA chandra Shekar Patel</t>
  </si>
  <si>
    <t>p:+919448303339</t>
  </si>
  <si>
    <t>Raichur</t>
  </si>
  <si>
    <t>shekarpatel_co@yahoo.com</t>
  </si>
  <si>
    <t>Prati</t>
  </si>
  <si>
    <t>p:+919776090999</t>
  </si>
  <si>
    <t>Jharsugda</t>
  </si>
  <si>
    <t xml:space="preserve">client hindi </t>
  </si>
  <si>
    <t>Paragp@gmail.com</t>
  </si>
  <si>
    <t>Biranchi Karan</t>
  </si>
  <si>
    <t>p:+919437044800</t>
  </si>
  <si>
    <t>Bhubaneswar</t>
  </si>
  <si>
    <t xml:space="preserve">will discuss car parking system </t>
  </si>
  <si>
    <t>bkkaran66@gmail.com</t>
  </si>
  <si>
    <t>Raja</t>
  </si>
  <si>
    <t>p:+919894537379</t>
  </si>
  <si>
    <t>Salem</t>
  </si>
  <si>
    <t>15 cars stack parking resort  quote send to client</t>
  </si>
  <si>
    <t>call back / 7-9-26</t>
  </si>
  <si>
    <t>7.9.26</t>
  </si>
  <si>
    <t>Karthik</t>
  </si>
  <si>
    <t>m.matharrraja@gmail.com</t>
  </si>
  <si>
    <t>kapil Khandelwal</t>
  </si>
  <si>
    <t>p:+919842742540</t>
  </si>
  <si>
    <t>stack parking &amp; 3 level parking quote given</t>
  </si>
  <si>
    <t>17/8: finishing work going on, will call back later
26/8: he dropped his ideas becuase cost is not suitable</t>
  </si>
  <si>
    <t xml:space="preserve">budget is high the client choose  alternative solution </t>
  </si>
  <si>
    <t>Not Interested/Spam</t>
  </si>
  <si>
    <t>shrisubhishamc@gmail.com</t>
  </si>
  <si>
    <t>saravanan poosappan</t>
  </si>
  <si>
    <t>p:+918883666000</t>
  </si>
  <si>
    <t>Erode</t>
  </si>
  <si>
    <t>5 stack parking  quote send to client</t>
  </si>
  <si>
    <t>RNR</t>
  </si>
  <si>
    <t>sravansravn@gmail.com</t>
  </si>
  <si>
    <t>Gopalakrishnan</t>
  </si>
  <si>
    <t>p:+918754036913</t>
  </si>
  <si>
    <t>tiruvarur</t>
  </si>
  <si>
    <t>send Quote 5 units waitig for approval</t>
  </si>
  <si>
    <t>Hospital 10 cars stack parking system next followup july first week, quote send to client</t>
  </si>
  <si>
    <t>need Quote</t>
  </si>
  <si>
    <t>ktrtvr@gmail.com</t>
  </si>
  <si>
    <t>Liyakath Ali</t>
  </si>
  <si>
    <t>p:+918825990587</t>
  </si>
  <si>
    <t>pollachi</t>
  </si>
  <si>
    <t>liyakath.1950@gmail.com</t>
  </si>
  <si>
    <t>kirron</t>
  </si>
  <si>
    <t>p:+919884783583</t>
  </si>
  <si>
    <t>korattur, indl.house.opoen space.</t>
  </si>
  <si>
    <t>29th june</t>
  </si>
  <si>
    <t>smfab@yahoo.com</t>
  </si>
  <si>
    <t>Shankar</t>
  </si>
  <si>
    <t>p:+917373336756</t>
  </si>
  <si>
    <t>Tirupur</t>
  </si>
  <si>
    <t xml:space="preserve">he need 50 nos, collecting details. he wants to rent out commercially. so need price </t>
  </si>
  <si>
    <t>Shankarsampath04@gmail.com</t>
  </si>
  <si>
    <t>Amit Roy</t>
  </si>
  <si>
    <t>p:+919431183566</t>
  </si>
  <si>
    <t>Jamshedpur</t>
  </si>
  <si>
    <t>royamit1964@gmail.com</t>
  </si>
  <si>
    <t>Surendra Kothari</t>
  </si>
  <si>
    <t xml:space="preserve">
</t>
  </si>
  <si>
    <t>Pune</t>
  </si>
  <si>
    <t>details shared in email, no contact no given</t>
  </si>
  <si>
    <t>sskothari03@gmail.com</t>
  </si>
  <si>
    <t>Ravi Kumar</t>
  </si>
  <si>
    <t>p:+919600490767</t>
  </si>
  <si>
    <t>Tuticorin</t>
  </si>
  <si>
    <t xml:space="preserve">Rejo Enterprices Stack Parking requirement need quote </t>
  </si>
  <si>
    <t>rashmithi1383@gmail.com</t>
  </si>
  <si>
    <t>Manish Khoja</t>
  </si>
  <si>
    <t>p:+919723344111</t>
  </si>
  <si>
    <t>Vapi</t>
  </si>
  <si>
    <t>From Sasa Mart, they will come back in 2 months, project in progress. quotations hared. for 15 nos</t>
  </si>
  <si>
    <t>consultant</t>
  </si>
  <si>
    <t>B</t>
  </si>
  <si>
    <t>sasamartcw@gmail.com</t>
  </si>
  <si>
    <t>Vikramkumar Jain</t>
  </si>
  <si>
    <t>p:+919422046837</t>
  </si>
  <si>
    <t>Ichalkaranji</t>
  </si>
  <si>
    <t>details sent</t>
  </si>
  <si>
    <t>arvikramkumar@hotmail.com</t>
  </si>
  <si>
    <t>Gagan royalryds</t>
  </si>
  <si>
    <t>p:+918283841277</t>
  </si>
  <si>
    <t>Moga</t>
  </si>
  <si>
    <t>royalryds77@gmail.com</t>
  </si>
  <si>
    <t>Jaikumar Ramasami</t>
  </si>
  <si>
    <t>p:+919843050090</t>
  </si>
  <si>
    <t xml:space="preserve">Under Constrcution 2 Units Need </t>
  </si>
  <si>
    <t>Brochure send to client</t>
  </si>
  <si>
    <t>aruna@arunaaexports.com</t>
  </si>
  <si>
    <t>Ravindran Govindaswamy</t>
  </si>
  <si>
    <t>p:+919841024024</t>
  </si>
  <si>
    <t>1st meeting over, waiting to see site. asking stack parking max 6 nos</t>
  </si>
  <si>
    <t>17/8: call after 10 days</t>
  </si>
  <si>
    <t>no response, many times called</t>
  </si>
  <si>
    <t>Archith</t>
  </si>
  <si>
    <t>ravindranpg@gmail.com</t>
  </si>
  <si>
    <t>Ajay Balan</t>
  </si>
  <si>
    <t>p:+919789055331</t>
  </si>
  <si>
    <t>res.adyar, 1+1.open car parking, 2 groounds, ramp.. 
not rquried now. altereate found - 21.7.26</t>
  </si>
  <si>
    <t>ajaybalan.ba@gmail.com</t>
  </si>
  <si>
    <t>Venkatesh Babu Tumki</t>
  </si>
  <si>
    <t>p:+919440893871</t>
  </si>
  <si>
    <t>Tirupati</t>
  </si>
  <si>
    <t xml:space="preserve">Need Quote For 20 Units </t>
  </si>
  <si>
    <t xml:space="preserve"> </t>
  </si>
  <si>
    <t>20 units need quote 4m height</t>
  </si>
  <si>
    <t>babuem@gmail.com</t>
  </si>
  <si>
    <t>Prasad Kunkalienkar</t>
  </si>
  <si>
    <t>p:+919890065098</t>
  </si>
  <si>
    <t>Goa</t>
  </si>
  <si>
    <t>udyoggoa@yahoo.com</t>
  </si>
  <si>
    <t>Subhash Khare</t>
  </si>
  <si>
    <t>p:+919325145236</t>
  </si>
  <si>
    <t>Nasik</t>
  </si>
  <si>
    <t>kharesubhash123@yahoo.co.in</t>
  </si>
  <si>
    <t>Mohamed ali</t>
  </si>
  <si>
    <t>p:+919751368600</t>
  </si>
  <si>
    <t>Tiruvannamalai</t>
  </si>
  <si>
    <t>mohamedalisarkar@gmail.com</t>
  </si>
  <si>
    <t>Kalai Selvan</t>
  </si>
  <si>
    <t>p:+919884077713</t>
  </si>
  <si>
    <t xml:space="preserve">commercial, hight.3.7 mtr. will cal lback. work in progress. </t>
  </si>
  <si>
    <t>kalaiarchitect@gmail.com</t>
  </si>
  <si>
    <t>Ponsingh Nadar</t>
  </si>
  <si>
    <t>p:+919442071929</t>
  </si>
  <si>
    <t>Theni</t>
  </si>
  <si>
    <t>ponsinghqr@gmail.com</t>
  </si>
  <si>
    <t>Balaji</t>
  </si>
  <si>
    <t>p:+918926255555</t>
  </si>
  <si>
    <t>csbalaji510@gmail.com</t>
  </si>
  <si>
    <t>Amit Keshri</t>
  </si>
  <si>
    <t>p:+919334832709</t>
  </si>
  <si>
    <t>Patna</t>
  </si>
  <si>
    <t>drkeshri@gmail.com</t>
  </si>
  <si>
    <t>Tameez</t>
  </si>
  <si>
    <t>p:+917671058852</t>
  </si>
  <si>
    <t>tameezuddinmk@gmail.com</t>
  </si>
  <si>
    <t>Santosh Siruseri Client</t>
  </si>
  <si>
    <t>99404 50481</t>
  </si>
  <si>
    <t>Abishek Snj Group</t>
  </si>
  <si>
    <t>89259 31704</t>
  </si>
  <si>
    <t>Not responded yet</t>
  </si>
  <si>
    <t>Aishwarya Hall Mylapore Client</t>
  </si>
  <si>
    <t>99621 10986</t>
  </si>
  <si>
    <t>they changed the plan</t>
  </si>
  <si>
    <t>Ak Lifting Solutions Client</t>
  </si>
  <si>
    <t xml:space="preserve"> 95510 66669</t>
  </si>
  <si>
    <t>Mediator, just for enquiry</t>
  </si>
  <si>
    <t>Pavithra</t>
  </si>
  <si>
    <t xml:space="preserve">Fourth Dimensions </t>
  </si>
  <si>
    <t>Tower Parking System for 36 cars</t>
  </si>
  <si>
    <t>not possible to rotary</t>
  </si>
  <si>
    <t>Direct Call</t>
  </si>
  <si>
    <t>Bh Rao Hyderbad Consultant Client</t>
  </si>
  <si>
    <t>72619 42333</t>
  </si>
  <si>
    <t>Bhakta Rath Dealer  Odisha Client</t>
  </si>
  <si>
    <t>99373 79990</t>
  </si>
  <si>
    <t>Odisha</t>
  </si>
  <si>
    <t>will call back, but in need</t>
  </si>
  <si>
    <t>Ajay Hyderbad Client</t>
  </si>
  <si>
    <t>90300 93194</t>
  </si>
  <si>
    <t>Hydrabad</t>
  </si>
  <si>
    <t>after 2 days will call back the client</t>
  </si>
  <si>
    <t>Lavish Khatri</t>
  </si>
  <si>
    <t>Infinity fitness club</t>
  </si>
  <si>
    <t>Vidisha</t>
  </si>
  <si>
    <t>Ringing no respones</t>
  </si>
  <si>
    <t>lavishkhatri@ymail.co</t>
  </si>
  <si>
    <t>vijay</t>
  </si>
  <si>
    <t>Krea prints</t>
  </si>
  <si>
    <t>chennai</t>
  </si>
  <si>
    <t>1+1 car parking</t>
  </si>
  <si>
    <t>17/8: line busy
26/8: He to;d he will call back</t>
  </si>
  <si>
    <t>spoke, and sent ref images, will get back</t>
  </si>
  <si>
    <t>A+ - Immediate</t>
  </si>
  <si>
    <t>Vijay@vimala.in</t>
  </si>
  <si>
    <t>mohith manjunath</t>
  </si>
  <si>
    <t>dRSTi - Media &amp; Advertising</t>
  </si>
  <si>
    <t>https://drive.google.com/drive/folders/1XVf6fQWthGd-GBojJeLgzKyhTnZkb6iO?usp=drive_link</t>
  </si>
  <si>
    <t>60x40.open space. drawing given, price need tos end</t>
  </si>
  <si>
    <t>given price on 29.6.26</t>
  </si>
  <si>
    <t>19.8.26-follouwp</t>
  </si>
  <si>
    <t>8.8.26</t>
  </si>
  <si>
    <t>mohith@drstionline.com</t>
  </si>
  <si>
    <t>Sunil Reddy</t>
  </si>
  <si>
    <t>Sai life sciences</t>
  </si>
  <si>
    <t>detail sent in email</t>
  </si>
  <si>
    <t>sunilreddy.h@sailife.com</t>
  </si>
  <si>
    <t>CeeDeeYes</t>
  </si>
  <si>
    <t>he wil call back. now is hosptial, not yet decided, will call back after 1 week</t>
  </si>
  <si>
    <t>shankars@ceedeeyes.in</t>
  </si>
  <si>
    <t>Anand Reddy</t>
  </si>
  <si>
    <t>Mangalam projects</t>
  </si>
  <si>
    <t>call not going</t>
  </si>
  <si>
    <t>purchase@mangalamprojects.com</t>
  </si>
  <si>
    <t>Abhinandan Rao</t>
  </si>
  <si>
    <t>Arao</t>
  </si>
  <si>
    <t>Ramagundam</t>
  </si>
  <si>
    <t>sent msg in whatsapp</t>
  </si>
  <si>
    <t>Abhinandan.rao@arao.in</t>
  </si>
  <si>
    <t>Rinaldo Fernandes</t>
  </si>
  <si>
    <t>Handygoan Automation pvt ltd</t>
  </si>
  <si>
    <t>Margão</t>
  </si>
  <si>
    <t>already done, will call for next project</t>
  </si>
  <si>
    <t>Contact@thehandygoan.com</t>
  </si>
  <si>
    <t>Haroon</t>
  </si>
  <si>
    <t>Team Creative</t>
  </si>
  <si>
    <t>Trissure, Kerala, Pavaratty</t>
  </si>
  <si>
    <t>he has sent details</t>
  </si>
  <si>
    <t>team@creative.com</t>
  </si>
  <si>
    <t>Solaris George</t>
  </si>
  <si>
    <t>Solaris Services LLC</t>
  </si>
  <si>
    <t>Trivandrum</t>
  </si>
  <si>
    <t>given details</t>
  </si>
  <si>
    <t>competetor doing same products</t>
  </si>
  <si>
    <t>solaris.george@emalayalee.org</t>
  </si>
  <si>
    <t>Santhana Krishnan</t>
  </si>
  <si>
    <t>Arihant Foundations &amp; Housing Ltd</t>
  </si>
  <si>
    <t>https://drive.google.com/drive/folders/16emopToje9j1nPLglrEfJhJAFoK_PGtv?usp=drive_link</t>
  </si>
  <si>
    <t>1st discussion over, waiting for drawings to proceed</t>
  </si>
  <si>
    <t>18/8: need to discuss with Archit reg fesibility of Puzzle parking.</t>
  </si>
  <si>
    <t>not responded. yet-9.7.26</t>
  </si>
  <si>
    <t>asking quote for puzzle parking</t>
  </si>
  <si>
    <t>Sundaram</t>
  </si>
  <si>
    <t>Rakesh KUmar</t>
  </si>
  <si>
    <t>Ensr Industrial enterprises</t>
  </si>
  <si>
    <t>Jamshedput</t>
  </si>
  <si>
    <t xml:space="preserve">commercial,  pit parking, double basement, hight ises, he has only 10 ft. so asked drawing. </t>
  </si>
  <si>
    <t>kumarasamy Ramaiah</t>
  </si>
  <si>
    <t xml:space="preserve">not intetested wrongly called </t>
  </si>
  <si>
    <t>Yashwant</t>
  </si>
  <si>
    <t xml:space="preserve">ZF Automation </t>
  </si>
  <si>
    <t>coimbatore</t>
  </si>
  <si>
    <t>https://drive.google.com/drive/folders/1PVMRS2I9erye8BhF1BQUfRqlFsMOKCXk?usp=drive_link</t>
  </si>
  <si>
    <t xml:space="preserve">500 cars 
110x52 mtr. 
18 mtrs. below that. 500 cras. </t>
  </si>
  <si>
    <t>18/8, in wa</t>
  </si>
  <si>
    <t>Rajan  Krishnamoorthy</t>
  </si>
  <si>
    <t>Rainbow foudaton</t>
  </si>
  <si>
    <t>just saw website, enquired. already client</t>
  </si>
  <si>
    <t>Mohit Singhal</t>
  </si>
  <si>
    <t>Gurgaon</t>
  </si>
  <si>
    <t xml:space="preserve">Rotary Type -  2 wheeler and car 
Car around 44 - SUV 20 nos, cedan 24 nos
64 bike parking, Existing Builidng there, space. 23x15.8 mts. available
immediate requirement. 
he has sent Company details. asked for drawings
Quotation sent. </t>
  </si>
  <si>
    <t>checked with him, as of now, project is on hold</t>
  </si>
  <si>
    <t>mohit.singhal@padminivna.com</t>
  </si>
  <si>
    <t>vivek MP (vendor)</t>
  </si>
  <si>
    <t xml:space="preserve">vendor called for payment - MP </t>
  </si>
  <si>
    <t>Akash</t>
  </si>
  <si>
    <t>spoke, asked requirement, rnr</t>
  </si>
  <si>
    <t>bittu kumar</t>
  </si>
  <si>
    <t>cud not reach, tried 2 times</t>
  </si>
  <si>
    <t>sri kapaleeswarar stores</t>
  </si>
  <si>
    <t xml:space="preserve"> will call back trw.out of station.  have requirement</t>
  </si>
  <si>
    <t>will talk later</t>
  </si>
  <si>
    <t>Viswanadh</t>
  </si>
  <si>
    <t>Location @ Hydrabad
Contact person - Vishwanath
Inside the Villa community 
30x50 feet empty space near club house
no guest parking in the community
Stack parking
Vertical car parking  10 nos
no drawing</t>
  </si>
  <si>
    <t>Connected with archit, he said not feasible iwth the space</t>
  </si>
  <si>
    <t>Maulik Vyas</t>
  </si>
  <si>
    <t>no. does not exist</t>
  </si>
  <si>
    <t>Ramkumar Menon</t>
  </si>
  <si>
    <t>looking for tower parking, we have sent our project details</t>
  </si>
  <si>
    <t>18th aug,26, no response</t>
  </si>
  <si>
    <t>unknown</t>
  </si>
  <si>
    <t>busy currently</t>
  </si>
  <si>
    <t>Unknown</t>
  </si>
  <si>
    <t>karthick munuswamy</t>
  </si>
  <si>
    <t>no incoming call facility, tried 2 times</t>
  </si>
  <si>
    <t>Nitin Sheharao Datal</t>
  </si>
  <si>
    <t>Latur, Maharashra</t>
  </si>
  <si>
    <t>1+1</t>
  </si>
  <si>
    <t>domestic, 1+1, 12 ft hight.</t>
  </si>
  <si>
    <t>Madhur</t>
  </si>
  <si>
    <t>Maximal infras</t>
  </si>
  <si>
    <t>Delhi</t>
  </si>
  <si>
    <t>office. 120 ground floor, 15 car parking. wiht open space. 2.5x4 car parking. 2.5x5 mtrs. asking qpprox cost</t>
  </si>
  <si>
    <t>just a enquiry</t>
  </si>
  <si>
    <t>Kamal Shukla</t>
  </si>
  <si>
    <t>details share in whatsapp</t>
  </si>
  <si>
    <t>Rajesh Kumar Gupta</t>
  </si>
  <si>
    <t>SHYAM B GEHANI</t>
  </si>
  <si>
    <t>Bike Parking</t>
  </si>
  <si>
    <t>KARTHI M</t>
  </si>
  <si>
    <t>98405 88994</t>
  </si>
  <si>
    <t>1+1 Two Post Stack Parking, site visit need, guduvancherry
not resonding - 21.7.26</t>
  </si>
  <si>
    <t>IMTIYAZ QURESHI</t>
  </si>
  <si>
    <t>50 Cars Puzzle Parking</t>
  </si>
  <si>
    <t xml:space="preserve">RNR, </t>
  </si>
  <si>
    <t>18/8, sent message</t>
  </si>
  <si>
    <t>given architech contact 79 7260 2836 - Arul</t>
  </si>
  <si>
    <t>evoletdevelopers@gmail.com</t>
  </si>
  <si>
    <t>MUTHU KUMAR</t>
  </si>
  <si>
    <t>43 no Bike Parking, Coimbatore , immediate</t>
  </si>
  <si>
    <t>Pankaj Singh</t>
  </si>
  <si>
    <t>hdfc  life</t>
  </si>
  <si>
    <t>Lucknow</t>
  </si>
  <si>
    <t xml:space="preserve">7 no's stack parking , 5 to 10 nos, exsiting building, hight no issues, approx. 500 sq.ft. need proposal </t>
  </si>
  <si>
    <t>17/8: He will call later</t>
  </si>
  <si>
    <t>Bharat Parekh</t>
  </si>
  <si>
    <t>ergoflex pvt ltd</t>
  </si>
  <si>
    <t>kolkata</t>
  </si>
  <si>
    <t>15 cars tower parking - details shared in whatsapp</t>
  </si>
  <si>
    <t>Jitendra shah</t>
  </si>
  <si>
    <t>Yashvi construction</t>
  </si>
  <si>
    <t>Ahmedabad</t>
  </si>
  <si>
    <t>60 no stack parking 40</t>
  </si>
  <si>
    <t>not required, 18th aug,26</t>
  </si>
  <si>
    <t>Satyapal Jain</t>
  </si>
  <si>
    <t xml:space="preserve">Jai Corp. Ltd </t>
  </si>
  <si>
    <t>58 Cars Tower Parking System</t>
  </si>
  <si>
    <t>SathiyaKumar C</t>
  </si>
  <si>
    <t>Boomi Builders</t>
  </si>
  <si>
    <t>after 2 months will call back</t>
  </si>
  <si>
    <t>RadhaKrishnan Gangadharan</t>
  </si>
  <si>
    <t>architect</t>
  </si>
  <si>
    <t>2G engineers, archith handled.</t>
  </si>
  <si>
    <t>Building Approval query, will confirm soon</t>
  </si>
  <si>
    <t>Abhishek Deb Roy</t>
  </si>
  <si>
    <t>Abhishek Arts</t>
  </si>
  <si>
    <t>Two Post Stack Parking, call after 2 pm</t>
  </si>
  <si>
    <t>info@abhishekarts.in</t>
  </si>
  <si>
    <t>Naveen</t>
  </si>
  <si>
    <t>Haritha Technology</t>
  </si>
  <si>
    <t>Hydranad Near Hitech City</t>
  </si>
  <si>
    <t>stack parking, 1 suv+1 cedan. - 4 nos
Hitech city, near. 8 mtrs Hight</t>
  </si>
  <si>
    <t>18th aug,26, as of now no, he dropped</t>
  </si>
  <si>
    <t>Email Enquiry</t>
  </si>
  <si>
    <t>Kushal Karewar</t>
  </si>
  <si>
    <t>Karewar Infracon</t>
  </si>
  <si>
    <t>pune</t>
  </si>
  <si>
    <t>Stack parking 4 no's
details shared in /wA</t>
  </si>
  <si>
    <t>info@karewar</t>
  </si>
  <si>
    <t>Sandeep lol</t>
  </si>
  <si>
    <t>20 puzzle parking , existing, building, open space. need to send WA details, he wil send drawing</t>
  </si>
  <si>
    <t>abid</t>
  </si>
  <si>
    <t>100nos Tower Parking , planning Stage</t>
  </si>
  <si>
    <t xml:space="preserve">huda@aandh.com
</t>
  </si>
  <si>
    <t>Alok kumar Maharana</t>
  </si>
  <si>
    <t>Sand Pebbles Bhitarkanika Jungle Resorts</t>
  </si>
  <si>
    <t xml:space="preserve">Bhubaneswar
</t>
  </si>
  <si>
    <t>asked to share details in whatsappStack Parking Requiremnt</t>
  </si>
  <si>
    <t xml:space="preserve">Alok@sandpebblestours.com
</t>
  </si>
  <si>
    <t>Vijay</t>
  </si>
  <si>
    <t xml:space="preserve">Atmiya Group
</t>
  </si>
  <si>
    <t>Planning Stage  Tower Parking, busy</t>
  </si>
  <si>
    <t>ankit@atmiyaproperties.com</t>
  </si>
  <si>
    <t>Pramod Chaugule</t>
  </si>
  <si>
    <t>STUDIO 888 architects</t>
  </si>
  <si>
    <t>Sangli</t>
  </si>
  <si>
    <t>Puzzle Parking System</t>
  </si>
  <si>
    <t>architects@studio888.org</t>
  </si>
  <si>
    <t>Sreeram</t>
  </si>
  <si>
    <t>AMEYAM MEPELV PROJECTS BHARAT PVT LTD</t>
  </si>
  <si>
    <t xml:space="preserve">need site visit / Tower Parking 300 Sqft  8 x 40 ft </t>
  </si>
  <si>
    <t>Ram kumar</t>
  </si>
  <si>
    <t>sreeram@ameyam.co.in</t>
  </si>
  <si>
    <t>Bimal</t>
  </si>
  <si>
    <t>Bimal@ttiipl.com</t>
  </si>
  <si>
    <t>Itteera Kavungal</t>
  </si>
  <si>
    <t xml:space="preserve">Boxer Apparels Pvt. Ltd
</t>
  </si>
  <si>
    <t>chalakudy U.P</t>
  </si>
  <si>
    <t>Valet Parking vendor, looking for his cleint, 30-40 cars, in open space, asking price. just planning not immediate need.</t>
  </si>
  <si>
    <t>md@boxeruniforms.com</t>
  </si>
  <si>
    <t>M siddiqui</t>
  </si>
  <si>
    <t>Rms hotel group</t>
  </si>
  <si>
    <t>tried 2nd time, RNR, tried 16th june</t>
  </si>
  <si>
    <t>Md@rdbareillyairport.com</t>
  </si>
  <si>
    <t>Syed Aseem</t>
  </si>
  <si>
    <t>Business use</t>
  </si>
  <si>
    <t>Archith and Ram spoke with client, immediate requirement</t>
  </si>
  <si>
    <t>17/8: Already concluded by Archit</t>
  </si>
  <si>
    <t>18/8, contacted</t>
  </si>
  <si>
    <t>3.9 to 4.8 lakhs</t>
  </si>
  <si>
    <t>A Plus</t>
  </si>
  <si>
    <t>Haridasan</t>
  </si>
  <si>
    <t>Residential</t>
  </si>
  <si>
    <t>1units</t>
  </si>
  <si>
    <t>Quote send  &amp; Saturday coming to site
idea droped. 21.7.26. not inetested</t>
  </si>
  <si>
    <t>17/8: Go to voice mail</t>
  </si>
  <si>
    <t>1.5 lakhs</t>
  </si>
  <si>
    <t>Sathish / Narayanan R</t>
  </si>
  <si>
    <t xml:space="preserve">India Cements </t>
  </si>
  <si>
    <t>35 to 45 cars</t>
  </si>
  <si>
    <t>Site visit done (9june) and got a cadd drawing from client
30+, drawing shared and need to send quote</t>
  </si>
  <si>
    <t>narayanan.r@adityabirla.com</t>
  </si>
  <si>
    <t>sachin</t>
  </si>
  <si>
    <t xml:space="preserve">INdividual </t>
  </si>
  <si>
    <t>Sunitha Pride Hotel</t>
  </si>
  <si>
    <t>836 967 0799</t>
  </si>
  <si>
    <t>44 Oasis Hotel</t>
  </si>
  <si>
    <t>Dawood Hussain</t>
  </si>
  <si>
    <t xml:space="preserve"> 89253 79427</t>
  </si>
  <si>
    <t>T Nagar</t>
  </si>
  <si>
    <t>10 stack parking</t>
  </si>
  <si>
    <t>space not enough to install. asking us to visit the site</t>
  </si>
  <si>
    <t>Seashore Hotel</t>
  </si>
  <si>
    <t>99941 48887</t>
  </si>
  <si>
    <t>Kanyakumar</t>
  </si>
  <si>
    <t xml:space="preserve">Hotel Class </t>
  </si>
  <si>
    <t>97905 07292</t>
  </si>
  <si>
    <t>Ooty</t>
  </si>
  <si>
    <t>Manodhar Hotel</t>
  </si>
  <si>
    <t>97864 77753</t>
  </si>
  <si>
    <t>Karunakaran</t>
  </si>
  <si>
    <t>Ramyas Hotel</t>
  </si>
  <si>
    <t>99442 22922</t>
  </si>
  <si>
    <t>Nandhavardhana Hotel</t>
  </si>
  <si>
    <t>883 829 1231</t>
  </si>
  <si>
    <t>not interested</t>
  </si>
  <si>
    <t>Vijayan</t>
  </si>
  <si>
    <t>99402 15875</t>
  </si>
  <si>
    <t>Naveen / Muthuvel</t>
  </si>
  <si>
    <t>Srinidhi Infra</t>
  </si>
  <si>
    <t>12 units</t>
  </si>
  <si>
    <t>stack parking 1+1, first meeting ove ,quote sent. chennai, for kalyana mandapam, today will release PO (13.6.26)</t>
  </si>
  <si>
    <t>Converted</t>
  </si>
  <si>
    <t>18.7 lakhs</t>
  </si>
  <si>
    <t>Rohit</t>
  </si>
  <si>
    <t>ASK solutions</t>
  </si>
  <si>
    <t>https://drive.google.com/drive/folders/1zY3ctmYnAT2blSjh-tIjrYa43lh5XtVu?usp=drive_link</t>
  </si>
  <si>
    <t>20,  stack parking. 
Grond+frist+Second
open area. 
20 length x 6 mtrs width. 
8 to 10 car parking currently
he need min. 25 to 30  cars- vertical slot.</t>
  </si>
  <si>
    <t>18th aug,26</t>
  </si>
  <si>
    <t>rohit09121992@gmail.com</t>
  </si>
  <si>
    <t>Mohammed siraj</t>
  </si>
  <si>
    <t>Zum Zum</t>
  </si>
  <si>
    <t>contacted, garage lift</t>
  </si>
  <si>
    <t>Javed</t>
  </si>
  <si>
    <t>Sky Light Fire Safety</t>
  </si>
  <si>
    <t>UP</t>
  </si>
  <si>
    <t>asked us to send in whatsapp</t>
  </si>
  <si>
    <t>Karunanithi / IRT</t>
  </si>
  <si>
    <t>TN Trasnport Corp.</t>
  </si>
  <si>
    <t>Tharamani, Chennai</t>
  </si>
  <si>
    <t>100 +</t>
  </si>
  <si>
    <t>visited the site, drawing in progess, will meet by next week</t>
  </si>
  <si>
    <t>Prince Kumar</t>
  </si>
  <si>
    <t>Barabanki</t>
  </si>
  <si>
    <t>Harish Khadekar</t>
  </si>
  <si>
    <t>ARCHZONE</t>
  </si>
  <si>
    <t>Kalyan</t>
  </si>
  <si>
    <t>civil contractor, 20, 50, 80, asked us to send detail sin whatsapp and proposal for 20 stack parking. - 1+1. 1.5 + gst, quote sent in whtasapp</t>
  </si>
  <si>
    <t>18/8: Quote sent to client by Whatsup</t>
  </si>
  <si>
    <t>Manoj</t>
  </si>
  <si>
    <t>Investor</t>
  </si>
  <si>
    <t>hosur</t>
  </si>
  <si>
    <t xml:space="preserve">Investor, bazaar, bangalore land. 50 cars. price. within 3 months. </t>
  </si>
  <si>
    <t>ASN</t>
  </si>
  <si>
    <t>GLOBAL</t>
  </si>
  <si>
    <t>HYDREBAD</t>
  </si>
  <si>
    <t>asked us to send details in WA</t>
  </si>
  <si>
    <t>raja</t>
  </si>
  <si>
    <t>ASTROTECHS</t>
  </si>
  <si>
    <t>COIMBATORE</t>
  </si>
  <si>
    <t>Immediate requirement</t>
  </si>
  <si>
    <t>8 nos, building, residentilal, no issues, asked dmensions.immediate, not having enugh space</t>
  </si>
  <si>
    <t>Suraj Khaware</t>
  </si>
  <si>
    <t>deoghar</t>
  </si>
  <si>
    <t>sent whatsapp message. no currently busy, tried calling on 16th june, wa message sent on 26th june</t>
  </si>
  <si>
    <t>Akbarali Bharmal</t>
  </si>
  <si>
    <t>RAJKOT</t>
  </si>
  <si>
    <t>call disconnected. details shared in whatsapp</t>
  </si>
  <si>
    <t>Mobin Memon</t>
  </si>
  <si>
    <t>Gujarat</t>
  </si>
  <si>
    <t>Saidham Group</t>
  </si>
  <si>
    <t>Allahabad</t>
  </si>
  <si>
    <t>https://drive.google.com/drive/folders/1Fe0rkFwSfBNXGOl__AcbsTAzFKFdcOJB?usp=drive_link</t>
  </si>
  <si>
    <t>need Puzzle parking system , 60 cars</t>
  </si>
  <si>
    <t>Rajendra Prakash</t>
  </si>
  <si>
    <t>Adarsh Motors Bilara</t>
  </si>
  <si>
    <t>Bilara, Rajastan</t>
  </si>
  <si>
    <t>Ravindranath Reddy</t>
  </si>
  <si>
    <t>my own business institue</t>
  </si>
  <si>
    <t>51-200</t>
  </si>
  <si>
    <t xml:space="preserve">15k sq.ft. commercial propeorty. 
double side car parking. 
150 to above. 
another 8 to 9 months. planning stqge. 
hosur main road &amp; 5000 sq.ft. - 10 to 12 cars
HSR layout, SSLF. car 200 above. 
plan will send. constructgion
</t>
  </si>
  <si>
    <t>Suvendu Koley</t>
  </si>
  <si>
    <t>koley fabricators</t>
  </si>
  <si>
    <t>howrah</t>
  </si>
  <si>
    <t>GTR construction</t>
  </si>
  <si>
    <t>stack parking , wa message sent</t>
  </si>
  <si>
    <t>Armando Gonsalves</t>
  </si>
  <si>
    <t>Stelliam Holidays</t>
  </si>
  <si>
    <t>Panjim, Goa</t>
  </si>
  <si>
    <t>500 sq.mtr.  resutaurant, space, need in 6 months any time. 100 nos, which is suitable for them they will freeze. will share details in whatsapp and plan.</t>
  </si>
  <si>
    <t xml:space="preserve">
Steven Nalli</t>
  </si>
  <si>
    <t>South Central Railway Vijayawada Division</t>
  </si>
  <si>
    <t>Rajahmundry</t>
  </si>
  <si>
    <t>2 post car parking, immediate requirement, space is have for business purpose. 100 units. asking us to visit the site</t>
  </si>
  <si>
    <t>JAYANT V RAO</t>
  </si>
  <si>
    <t>PATH LOGICITY BENGALURU</t>
  </si>
  <si>
    <t>+917028051966</t>
  </si>
  <si>
    <t>Within 3 months ,shuttle/robotic_parking_
Spoke, details share din whatsapp</t>
  </si>
  <si>
    <t>Sayeen Ganesh</t>
  </si>
  <si>
    <t>Sayeen Motors</t>
  </si>
  <si>
    <t>+919894129124</t>
  </si>
  <si>
    <t>Rasipuram, Namakkal</t>
  </si>
  <si>
    <t xml:space="preserve">rental, idea. 100x200 sq.ft. 20 nos. </t>
  </si>
  <si>
    <t>Vanlal Duhsaka</t>
  </si>
  <si>
    <t>Dinthar Zara</t>
  </si>
  <si>
    <t>+9108787869371</t>
  </si>
  <si>
    <t>Aizawl</t>
  </si>
  <si>
    <t xml:space="preserve">Tower Parking- immediate requirement 
hotel, space 40x60 ft. client hotel, floor 6 floor, 60. mysore.make money, msme, became neibhourhood residential not parking/ 60 open space. free accomodation. </t>
  </si>
  <si>
    <t>18/8: 12ft wide x 10 ft height drive way then 40 x 50 feet size hotel in planning stage. Need car parking in basement.</t>
  </si>
  <si>
    <t>Subrat Ranjan Tripathy</t>
  </si>
  <si>
    <t>own</t>
  </si>
  <si>
    <t>odisha</t>
  </si>
  <si>
    <t>just consultation, tried calling. no response</t>
  </si>
  <si>
    <t>Eswaramoorthy</t>
  </si>
  <si>
    <t>senthil fabrics</t>
  </si>
  <si>
    <t>chennimalai</t>
  </si>
  <si>
    <t>looking for budget details, rental purpose, 40x60 sq.ft open space. . option need. - 25 30 cars</t>
  </si>
  <si>
    <t>Chandrasekhar Kushe</t>
  </si>
  <si>
    <t>malvan</t>
  </si>
  <si>
    <t xml:space="preserve">looking for budget details, complex, existing building. 20 flats, residential cum commercial, </t>
  </si>
  <si>
    <t>Deepanshu Dubey</t>
  </si>
  <si>
    <t>DD&amp;Son's</t>
  </si>
  <si>
    <t>+919424707602</t>
  </si>
  <si>
    <t>jabalpur</t>
  </si>
  <si>
    <t>immediate requirements</t>
  </si>
  <si>
    <t xml:space="preserve">5k sq.ft space, need parking solution, need 50 nos. </t>
  </si>
  <si>
    <t>Mohtasib Peerzada</t>
  </si>
  <si>
    <t>+917447869447</t>
  </si>
  <si>
    <t xml:space="preserve">Within 3 months ,shuttle/robotic_parking_
</t>
  </si>
  <si>
    <t>Komala / Sathyaraj</t>
  </si>
  <si>
    <t>Residential purpose</t>
  </si>
  <si>
    <t>Chennai, sembakkam</t>
  </si>
  <si>
    <t>car parking lift.</t>
  </si>
  <si>
    <t xml:space="preserve">spoke, 1+1, for resi purpose, having low hght, asksed for visit today or trw. </t>
  </si>
  <si>
    <t>Kerala</t>
  </si>
  <si>
    <t>wrongly given enquiry</t>
  </si>
  <si>
    <t>Abikshit Kotokv</t>
  </si>
  <si>
    <t>Irrigation Department, Govt of assam</t>
  </si>
  <si>
    <t>Guwahati</t>
  </si>
  <si>
    <t>planning Stage</t>
  </si>
  <si>
    <t>detaoils shared in whatsapp</t>
  </si>
  <si>
    <t xml:space="preserve">Rajesh kumar Gupta </t>
  </si>
  <si>
    <t>swastikam</t>
  </si>
  <si>
    <t>9415519518/94152 18553</t>
  </si>
  <si>
    <t xml:space="preserve">just consultation, </t>
  </si>
  <si>
    <t>Surendra Prataplal Kingrani</t>
  </si>
  <si>
    <t>sumeru building solutions</t>
  </si>
  <si>
    <t>Nagpur</t>
  </si>
  <si>
    <t>Planning Stage</t>
  </si>
  <si>
    <t>details shared in wa, tried 2nd time on 19th june</t>
  </si>
  <si>
    <t>Prasanna Patnaik</t>
  </si>
  <si>
    <t>Self-Employed</t>
  </si>
  <si>
    <t>Cuttack</t>
  </si>
  <si>
    <t>Looking for Budget Details</t>
  </si>
  <si>
    <t>puzzle parking system</t>
  </si>
  <si>
    <t>Sridhar J</t>
  </si>
  <si>
    <t>S V Engineering</t>
  </si>
  <si>
    <t>with in 3 months</t>
  </si>
  <si>
    <t>Tower parking System</t>
  </si>
  <si>
    <t>sridhar2010@gmail.com</t>
  </si>
  <si>
    <t>Haneef shaj</t>
  </si>
  <si>
    <t>Jashar Teletronics</t>
  </si>
  <si>
    <t>Dindugal</t>
  </si>
  <si>
    <t>Tie up</t>
  </si>
  <si>
    <t>immediate</t>
  </si>
  <si>
    <t>Message sent</t>
  </si>
  <si>
    <t>Two Post Stack Parking</t>
  </si>
  <si>
    <t>Sanjay Sarda</t>
  </si>
  <si>
    <t>Umrer</t>
  </si>
  <si>
    <t>Thomas John Kambiyil</t>
  </si>
  <si>
    <t>EZY Park</t>
  </si>
  <si>
    <t>Kochi</t>
  </si>
  <si>
    <t xml:space="preserve">Planning Stage </t>
  </si>
  <si>
    <t>consultant, connecting us to dubai and us, asked our details i have sent</t>
  </si>
  <si>
    <t xml:space="preserve">Tower parking System, Robotic, </t>
  </si>
  <si>
    <t>Sadheer Navalatham Parambil</t>
  </si>
  <si>
    <t>Hitech Auditorium</t>
  </si>
  <si>
    <t>palghat</t>
  </si>
  <si>
    <t>not in whatsapp</t>
  </si>
  <si>
    <t>Shuttle Parking System</t>
  </si>
  <si>
    <t>Sujata Devi</t>
  </si>
  <si>
    <t>Badhekar Developer</t>
  </si>
  <si>
    <t>just Consultation</t>
  </si>
  <si>
    <t>wronlgy clicked, not aware of this enqiry</t>
  </si>
  <si>
    <t>Gouri Sankar Panda</t>
  </si>
  <si>
    <t>Business</t>
  </si>
  <si>
    <t>Malkangiri</t>
  </si>
  <si>
    <t>Jitendra Hans</t>
  </si>
  <si>
    <t>Shakti Hospitality</t>
  </si>
  <si>
    <t>banquet hall cum hotel, 3 acre prop,desighning stage, north, tanisqu, bhuvaneshwar, royal enfeidl dealer, yama head office is also there. will sharemy no to architect. he is haivng 4 tanisque showroom</t>
  </si>
  <si>
    <t>Tower Parking System</t>
  </si>
  <si>
    <t>Anil Surri</t>
  </si>
  <si>
    <t>Sawera tarvels Pvt Ltd</t>
  </si>
  <si>
    <t>Amritsar</t>
  </si>
  <si>
    <t>Call after 1 month</t>
  </si>
  <si>
    <t>Srikant Ganeshkar</t>
  </si>
  <si>
    <t>Prabha saree center vijaynagar hubli</t>
  </si>
  <si>
    <t>Huballi</t>
  </si>
  <si>
    <t>tried calling, no response, not in wa'</t>
  </si>
  <si>
    <t>Appa Jadhav</t>
  </si>
  <si>
    <t>J K Group</t>
  </si>
  <si>
    <t>talk with architect, will come back next week sure</t>
  </si>
  <si>
    <t>Rajesh Agarwal</t>
  </si>
  <si>
    <t>Suman Marketing co And Associates</t>
  </si>
  <si>
    <t>Indore M.P</t>
  </si>
  <si>
    <t>connecting Indore team to meet him, intested client</t>
  </si>
  <si>
    <t>met our team, need to do followup</t>
  </si>
  <si>
    <t>GS Dhami</t>
  </si>
  <si>
    <t>ridam Enterprises</t>
  </si>
  <si>
    <t>Dehradun</t>
  </si>
  <si>
    <t>currently not in station, will call back, they are in need, currently busy in another work</t>
  </si>
  <si>
    <t>1.7.26</t>
  </si>
  <si>
    <t>Mahendra Kumar Mahanta</t>
  </si>
  <si>
    <t>World green energy.co.in</t>
  </si>
  <si>
    <t>not responed, details shared in wa</t>
  </si>
  <si>
    <t>CA Suresh jain</t>
  </si>
  <si>
    <t>Terraferma developers llp</t>
  </si>
  <si>
    <t>Defaultcity</t>
  </si>
  <si>
    <t>details share din whatsapp, called 2 times, no resonse'</t>
  </si>
  <si>
    <t>Mohammed Shaikh</t>
  </si>
  <si>
    <t>Sanjay shah</t>
  </si>
  <si>
    <t>B right Real estate Ltd</t>
  </si>
  <si>
    <t>details share in wa</t>
  </si>
  <si>
    <t>Laxman mane</t>
  </si>
  <si>
    <t>Mana group firm of firms</t>
  </si>
  <si>
    <t>Solapur</t>
  </si>
  <si>
    <t>Just Consultation</t>
  </si>
  <si>
    <t>jitendra Chhajed</t>
  </si>
  <si>
    <t>Jain international School</t>
  </si>
  <si>
    <t>Arungabad</t>
  </si>
  <si>
    <t xml:space="preserve">tried calling, for the mall, auragabad, director builder. 60 to 80 sq.ft. </t>
  </si>
  <si>
    <t>Farooq ryan</t>
  </si>
  <si>
    <t>Elman Lifts Pvt Ltd</t>
  </si>
  <si>
    <t>busy</t>
  </si>
  <si>
    <t>Fazail Ur Rahman</t>
  </si>
  <si>
    <t>TAG Infotech &amp; Projects</t>
  </si>
  <si>
    <t>9839034410/86041 43124</t>
  </si>
  <si>
    <t>Kanpur</t>
  </si>
  <si>
    <t xml:space="preserve">spoke, he has given his staff no to coordinate, </t>
  </si>
  <si>
    <t>18/8</t>
  </si>
  <si>
    <t>waitin for developer confirmation</t>
  </si>
  <si>
    <t>Nirmal Rajesh Associates</t>
  </si>
  <si>
    <t>Panchkula</t>
  </si>
  <si>
    <t>spoke, 80 nos, 4 post, quoation sent</t>
  </si>
  <si>
    <t>19/8 - not responded</t>
  </si>
  <si>
    <t>Sai</t>
  </si>
  <si>
    <t xml:space="preserve">BPD </t>
  </si>
  <si>
    <t>https://drive.google.com/drive/folders/15WLv4HUR2DrCNxDRUS0gQPBJs3o04sNd?usp=drive_link</t>
  </si>
  <si>
    <t>called 2 times, not responed, details shred in whatsapp</t>
  </si>
  <si>
    <t>Abdul Hussain</t>
  </si>
  <si>
    <t>IOCL Refinery,Bongaigaon</t>
  </si>
  <si>
    <t>Dhaligaon</t>
  </si>
  <si>
    <t>deetail shared in wa</t>
  </si>
  <si>
    <t>Karthickeyan</t>
  </si>
  <si>
    <t>Hyndai Glovis</t>
  </si>
  <si>
    <t>staff</t>
  </si>
  <si>
    <t>cal back. in lunch, he said will update</t>
  </si>
  <si>
    <t>19/8</t>
  </si>
  <si>
    <t>karthikeyan.S@gia.net.in</t>
  </si>
  <si>
    <t>Anub Kumar Gain</t>
  </si>
  <si>
    <t xml:space="preserve"> C S Counsultant</t>
  </si>
  <si>
    <t xml:space="preserve">will send drawing, current in VC&lt; located in alandur. </t>
  </si>
  <si>
    <t>need to send reviced drawing</t>
  </si>
  <si>
    <t>Chandan patradhar</t>
  </si>
  <si>
    <t>Own Business</t>
  </si>
  <si>
    <t>Suri</t>
  </si>
  <si>
    <t>details shared in wa, tried on 26th. at 4 clk. asked me to call again</t>
  </si>
  <si>
    <t>Sunil Singh</t>
  </si>
  <si>
    <t>Hotel Shivanshika</t>
  </si>
  <si>
    <t>Varanasi</t>
  </si>
  <si>
    <t>Anmol Tigga</t>
  </si>
  <si>
    <t>Cheif life Insurance Advisor</t>
  </si>
  <si>
    <t>Ranchi</t>
  </si>
  <si>
    <t>details shared in wa</t>
  </si>
  <si>
    <t>Jayanti Lunkad</t>
  </si>
  <si>
    <t>Jayant group</t>
  </si>
  <si>
    <t>need technical person to talk. 
basement, hight. 30 ft. circular parking, puzzle. parking</t>
  </si>
  <si>
    <t>need to dicuss with jijay</t>
  </si>
  <si>
    <t>Nilesh Agrawal</t>
  </si>
  <si>
    <t xml:space="preserve"> own Business</t>
  </si>
  <si>
    <t>Barwaha</t>
  </si>
  <si>
    <t>Within 3 months</t>
  </si>
  <si>
    <t>details shared in whatsapp, tried calling again on 16th june.but no response</t>
  </si>
  <si>
    <t>vinod Mak</t>
  </si>
  <si>
    <t>Self Employee</t>
  </si>
  <si>
    <t xml:space="preserve">consultant, private housing society, need  puzzle parking details, quote etc. </t>
  </si>
  <si>
    <t>Safarulla</t>
  </si>
  <si>
    <t>Emperor Group</t>
  </si>
  <si>
    <t>Malappuram</t>
  </si>
  <si>
    <t xml:space="preserve">planning Stage </t>
  </si>
  <si>
    <t xml:space="preserve">tried calling, not responded, details shared in whatsap, puzzle, stack parking. time, quote </t>
  </si>
  <si>
    <t>15-6-2026</t>
  </si>
  <si>
    <t>Sujeet Kumar yadav</t>
  </si>
  <si>
    <t>Prasusta Solution Pvt Ltd</t>
  </si>
  <si>
    <t>details hared in whatsap</t>
  </si>
  <si>
    <t>Dharmendra Gupta</t>
  </si>
  <si>
    <t>Guna M.P</t>
  </si>
  <si>
    <t>Suvankar Das</t>
  </si>
  <si>
    <t>Mayur Motors</t>
  </si>
  <si>
    <t>Belta</t>
  </si>
  <si>
    <t>details shared in whatsapp</t>
  </si>
  <si>
    <t>Nagesh Pandey</t>
  </si>
  <si>
    <t>MCPL</t>
  </si>
  <si>
    <t>Andheri</t>
  </si>
  <si>
    <t xml:space="preserve">construction 500 bedded hospital, basement is stack 600 car parking, details, drawings. tentatively. </t>
  </si>
  <si>
    <t>Homez Well</t>
  </si>
  <si>
    <t>Ply Decor &amp; construction</t>
  </si>
  <si>
    <t>Kolkata</t>
  </si>
  <si>
    <t>not responded, sent details in wa</t>
  </si>
  <si>
    <t>Vgs Suresh Kumar</t>
  </si>
  <si>
    <t>Vgs gold covering</t>
  </si>
  <si>
    <t>Tirupattur</t>
  </si>
  <si>
    <t xml:space="preserve">rental. - open space. road sede.45, 120l eng, 1,2,3,4 commercial purpose. </t>
  </si>
  <si>
    <t>Anil Aldar</t>
  </si>
  <si>
    <t>Chytany Cuntarction</t>
  </si>
  <si>
    <t>Aslam Khan</t>
  </si>
  <si>
    <t>Unique Buildcon</t>
  </si>
  <si>
    <t>Kharghar</t>
  </si>
  <si>
    <t>Puzzle parking system</t>
  </si>
  <si>
    <t>Ravi Gupta</t>
  </si>
  <si>
    <t>RTC</t>
  </si>
  <si>
    <t>Mathura</t>
  </si>
  <si>
    <t>tried calling, RNR</t>
  </si>
  <si>
    <t xml:space="preserve">Natraj. </t>
  </si>
  <si>
    <t>he visited our factory, ajith is coordinating</t>
  </si>
  <si>
    <t xml:space="preserve">ajith is handling this lead, client had already visited our fatory, </t>
  </si>
  <si>
    <t>29.6.2026</t>
  </si>
  <si>
    <t>Elangovan Ar</t>
  </si>
  <si>
    <t>MNC comoany/industry</t>
  </si>
  <si>
    <t>30 more than</t>
  </si>
  <si>
    <t xml:space="preserve">consultant, immediate. </t>
  </si>
  <si>
    <t>1. commercial college, trissure, puzzle/rotary, wants to know lenghth - 100 mtrsx75 mtrs. , 
2. quote and drawing shared, waiting for approval</t>
  </si>
  <si>
    <t>Praveen Kumar Gnanasekaran</t>
  </si>
  <si>
    <t>details shared in wa, SPAM</t>
  </si>
  <si>
    <t>Kumarasamy  Ramaiah</t>
  </si>
  <si>
    <t>line busy, details shared in wa,</t>
  </si>
  <si>
    <t>Laxmi Nimbalkar</t>
  </si>
  <si>
    <t>Tender registration</t>
  </si>
  <si>
    <t>Vannina Nadar  Kalirajan</t>
  </si>
  <si>
    <t>Budget buffet Restaurent</t>
  </si>
  <si>
    <t>Kovilpatti</t>
  </si>
  <si>
    <t>looking for budget details</t>
  </si>
  <si>
    <t>hotels, tn &amp; kerala, all project , he said will come to chennai and visit</t>
  </si>
  <si>
    <t>Chennai Residency Tower, askingus to come and meet now</t>
  </si>
  <si>
    <t>NImmala</t>
  </si>
  <si>
    <t>Vishakapatnam</t>
  </si>
  <si>
    <t>G+2</t>
  </si>
  <si>
    <t>G+2 stack parking</t>
  </si>
  <si>
    <t>Call back after 4 clk, again contacted on 26th june</t>
  </si>
  <si>
    <t>Thomas Alex</t>
  </si>
  <si>
    <t>Pamba Automobiels</t>
  </si>
  <si>
    <t>two post</t>
  </si>
  <si>
    <t xml:space="preserve">garage, ramp. </t>
  </si>
  <si>
    <t>Mohammed Shafi</t>
  </si>
  <si>
    <t>Kit &amp; Kin</t>
  </si>
  <si>
    <t>Kanhur, Kerala</t>
  </si>
  <si>
    <t xml:space="preserve">asking details in wa. details given to kannur perosn for visit </t>
  </si>
  <si>
    <t>Rahul</t>
  </si>
  <si>
    <t>Own use</t>
  </si>
  <si>
    <t>Nagpur, Maharashra</t>
  </si>
  <si>
    <t>2 post</t>
  </si>
  <si>
    <t>1+1, 2.5 width, hight.3.9. lwneghth 4 ,trs. but he want 4 pillar parking system. honda civik. creta. suv. ground floor.</t>
  </si>
  <si>
    <t>Kadhir Velu</t>
  </si>
  <si>
    <t>Sup</t>
  </si>
  <si>
    <t>Pondicherry</t>
  </si>
  <si>
    <t>Looking For Budget Details</t>
  </si>
  <si>
    <t>call me back in half an hour</t>
  </si>
  <si>
    <t>Two Post Stack Parking System</t>
  </si>
  <si>
    <t>C S Consultant</t>
  </si>
  <si>
    <t>double enquiry, we spoke and in progress</t>
  </si>
  <si>
    <t>Manesh Bijlani</t>
  </si>
  <si>
    <t>JSM Realtors Pvt Ltd</t>
  </si>
  <si>
    <t>Navi Mumbai, Panvel</t>
  </si>
  <si>
    <t xml:space="preserve">will get back once I check wa. already shared </t>
  </si>
  <si>
    <t>Altaf Shaikh</t>
  </si>
  <si>
    <t>Heaven Construction</t>
  </si>
  <si>
    <t>Abdulshukur Sangmeshwari</t>
  </si>
  <si>
    <t>Ratna Fabricators</t>
  </si>
  <si>
    <t>Ratnagiri</t>
  </si>
  <si>
    <t>Only Hindi</t>
  </si>
  <si>
    <t>Ismail Hussain</t>
  </si>
  <si>
    <t>F F Trading</t>
  </si>
  <si>
    <t>Assam</t>
  </si>
  <si>
    <t xml:space="preserve">Chander Bhan Dhun </t>
  </si>
  <si>
    <t>phone no is not in whatapp, not responded for call</t>
  </si>
  <si>
    <t>Tariq wani</t>
  </si>
  <si>
    <t>Maas Creators Pvt Ltd</t>
  </si>
  <si>
    <t>JK</t>
  </si>
  <si>
    <t>Naveenn Sethia</t>
  </si>
  <si>
    <t xml:space="preserve">N.M. International </t>
  </si>
  <si>
    <t>Guwhati</t>
  </si>
  <si>
    <t>Ramesh</t>
  </si>
  <si>
    <t>Hosur</t>
  </si>
  <si>
    <t>Viren</t>
  </si>
  <si>
    <t>Siddahartha Steel</t>
  </si>
  <si>
    <t>Ratlam</t>
  </si>
  <si>
    <t>Umamaheshwaran</t>
  </si>
  <si>
    <t>Site Engineer</t>
  </si>
  <si>
    <t>11 sites are in progress. Will contact later</t>
  </si>
  <si>
    <t>Ashish Subhashand Gupta</t>
  </si>
  <si>
    <t>Vignesh</t>
  </si>
  <si>
    <t>Trichy</t>
  </si>
  <si>
    <t xml:space="preserve"> need quote and car parking drawing</t>
  </si>
  <si>
    <t>16.06.2026</t>
  </si>
  <si>
    <t>Jayant Joshi</t>
  </si>
  <si>
    <t>Dhanraj Tipayale</t>
  </si>
  <si>
    <t>Meera</t>
  </si>
  <si>
    <t>Maharashtra</t>
  </si>
  <si>
    <t>17/6-Waiting for Layout</t>
  </si>
  <si>
    <t>Sujan bhist</t>
  </si>
  <si>
    <t>Nimantran Hotels Pvt Ltd</t>
  </si>
  <si>
    <t>Nashik Road</t>
  </si>
  <si>
    <t>Two Post stack Parking</t>
  </si>
  <si>
    <t>Afzal Khan</t>
  </si>
  <si>
    <t>Advent Infra</t>
  </si>
  <si>
    <t>Anssuman Dash</t>
  </si>
  <si>
    <t>Bhavesh Corpration</t>
  </si>
  <si>
    <t>Balasore</t>
  </si>
  <si>
    <t>currently in meeting, will call bac, after 1 hr</t>
  </si>
  <si>
    <t>S.M.A.MD.Saleem</t>
  </si>
  <si>
    <t>Indian Steel Traders</t>
  </si>
  <si>
    <t>6000 sqft land all ready we are parking 25 cars in tha lnad alone , now we want go for multi level car parking you give an indea</t>
  </si>
  <si>
    <t>Manoj Agarwal</t>
  </si>
  <si>
    <t>Agarwal Consultants</t>
  </si>
  <si>
    <t>shared details in whatsapp</t>
  </si>
  <si>
    <t>Goutam B</t>
  </si>
  <si>
    <t>BTIPL</t>
  </si>
  <si>
    <t>commercial purpose, 
5000 sq.ft. car parking. 50 n0s space and quote</t>
  </si>
  <si>
    <t>Laksha</t>
  </si>
  <si>
    <t>S.K. Enterprises</t>
  </si>
  <si>
    <t xml:space="preserve">open space, fabricator, suggesting us, best cost, 30x50 ft. , cost.  industrial sheds. peb system. </t>
  </si>
  <si>
    <t>Mohammed</t>
  </si>
  <si>
    <t>Layout Drawing File Recieved</t>
  </si>
  <si>
    <t>K Muralidharan</t>
  </si>
  <si>
    <t>Gunupur</t>
  </si>
  <si>
    <t>With in 3 Months</t>
  </si>
  <si>
    <t>tried calling, will call back, details shared in wa, tried on 22nd june</t>
  </si>
  <si>
    <t>Sachin Reddy</t>
  </si>
  <si>
    <t>Mauli Distributors</t>
  </si>
  <si>
    <t>Latur</t>
  </si>
  <si>
    <t>Jitendra nath Gupta</t>
  </si>
  <si>
    <t>Munger</t>
  </si>
  <si>
    <t>line busy, details shared in wa</t>
  </si>
  <si>
    <t>Vikas Mehta</t>
  </si>
  <si>
    <t>C2D</t>
  </si>
  <si>
    <t>Syed Ahmed</t>
  </si>
  <si>
    <t>khushuma Decor</t>
  </si>
  <si>
    <t>Rajnesh jain</t>
  </si>
  <si>
    <t>kJMC Group</t>
  </si>
  <si>
    <t>Parveen Chopra</t>
  </si>
  <si>
    <t xml:space="preserve">Creative Builders </t>
  </si>
  <si>
    <t>Chandigarh</t>
  </si>
  <si>
    <t xml:space="preserve">layout drawing file recieved </t>
  </si>
  <si>
    <t>Rootam Suman Sahu</t>
  </si>
  <si>
    <t>Birdford Technologies Pvt Ltd</t>
  </si>
  <si>
    <t>Bhubneswar</t>
  </si>
  <si>
    <t>Gouri Sankar panda</t>
  </si>
  <si>
    <t>Swami narayan Foods</t>
  </si>
  <si>
    <t>not in wa</t>
  </si>
  <si>
    <t>P H Reddy</t>
  </si>
  <si>
    <t>Kurnool</t>
  </si>
  <si>
    <t>Gagan Kumar Bengani</t>
  </si>
  <si>
    <t>Gagan kumar Bengani</t>
  </si>
  <si>
    <t>Ambala</t>
  </si>
  <si>
    <t>Looking for manufacturer from North India</t>
  </si>
  <si>
    <t xml:space="preserve">Premnadh Vemula </t>
  </si>
  <si>
    <t>Star Park</t>
  </si>
  <si>
    <t>Machilipatnam Town</t>
  </si>
  <si>
    <t>detals shared in wa, after 4.30 will call</t>
  </si>
  <si>
    <t>Shreyashi kadam</t>
  </si>
  <si>
    <t>Svk Enterprices</t>
  </si>
  <si>
    <t>Riha</t>
  </si>
  <si>
    <t>Assets Legacy</t>
  </si>
  <si>
    <t>Spoke to her, Architect, Having land, need details like sample projects, cost iimplications.</t>
  </si>
  <si>
    <t>Kishan Sharma</t>
  </si>
  <si>
    <t>Purulia</t>
  </si>
  <si>
    <t>currently busy</t>
  </si>
  <si>
    <t>Tango 18 Adventues</t>
  </si>
  <si>
    <t>after 3 clk. shared details in wa</t>
  </si>
  <si>
    <t>A Vansanth K S</t>
  </si>
  <si>
    <t>Amogh MEP</t>
  </si>
  <si>
    <t>Immediate</t>
  </si>
  <si>
    <t xml:space="preserve">will call back, shared details in wa, tried on 20th june, 
presentaiton client visit. </t>
  </si>
  <si>
    <t>not interested, just an enquiry</t>
  </si>
  <si>
    <t>Kishore</t>
  </si>
  <si>
    <t>New Mighty Grace charitable Trust</t>
  </si>
  <si>
    <t>not responded, shared details in whatsapp</t>
  </si>
  <si>
    <t>Sachin Grover</t>
  </si>
  <si>
    <t>Super Paints &amp; Chemicals</t>
  </si>
  <si>
    <t>Faridabad</t>
  </si>
  <si>
    <t>Naman Bhardwaj</t>
  </si>
  <si>
    <t>Star Mega Mart</t>
  </si>
  <si>
    <t>Rampur</t>
  </si>
  <si>
    <t>now in hospital, will call back evening, triedn 2nd time, no response, called 3rd time no responese (20th june)</t>
  </si>
  <si>
    <t>Suresh Agarwal</t>
  </si>
  <si>
    <t>Loni impex india</t>
  </si>
  <si>
    <t>Rajasthan</t>
  </si>
  <si>
    <t xml:space="preserve">project cost, for revenue models, project report you need. </t>
  </si>
  <si>
    <t>Devarasetty Suresh</t>
  </si>
  <si>
    <t>Builder DNDL Constructions</t>
  </si>
  <si>
    <t>Guntur</t>
  </si>
  <si>
    <t>treid, busy</t>
  </si>
  <si>
    <t>Vinay Chaurasiya</t>
  </si>
  <si>
    <t>Ecosyn Energy Private Limited</t>
  </si>
  <si>
    <t>Orai</t>
  </si>
  <si>
    <t>spoke, shared details in whtsapp</t>
  </si>
  <si>
    <t>Prasad Jog</t>
  </si>
  <si>
    <t>Aadiguru Builders</t>
  </si>
  <si>
    <t>Alibag</t>
  </si>
  <si>
    <t>he said will share his drawing.</t>
  </si>
  <si>
    <t>Inderpal Sing</t>
  </si>
  <si>
    <t>Maa Aanjana  Resort  and Marriage Garden</t>
  </si>
  <si>
    <t>Shimla</t>
  </si>
  <si>
    <t>Hameed</t>
  </si>
  <si>
    <t>AB architect</t>
  </si>
  <si>
    <t>+919884788772</t>
  </si>
  <si>
    <t>https://drive.google.com/drive/folders/1CnkQ-La0ExP4ipStMlHRbItuaOOSpNG3?usp=drive_link</t>
  </si>
  <si>
    <t>spoke 10,foundation level, stilt. stack. 13 ft peri peri. 
plinth bottom laroad level 3 feet, then, 1.5 ft reduce. 
waiting for drawing</t>
  </si>
  <si>
    <t>visited site, waiting for PO</t>
  </si>
  <si>
    <t>Sudarshan Ashok Pillai</t>
  </si>
  <si>
    <t>J Infra</t>
  </si>
  <si>
    <t>stak parking., waiting for drawing, asked to call on monday</t>
  </si>
  <si>
    <t>Ravi Babu</t>
  </si>
  <si>
    <t>Kumar const co.</t>
  </si>
  <si>
    <t>open space, 100 ,2 3laksh sq.ft.1 to 3 month, will share drawing</t>
  </si>
  <si>
    <t>Deepak Nagar CEO</t>
  </si>
  <si>
    <t>Infinity Interiors sikar</t>
  </si>
  <si>
    <t>indore</t>
  </si>
  <si>
    <t>need quote for 10k sq.ft. car parking</t>
  </si>
  <si>
    <t>Ravi babu</t>
  </si>
  <si>
    <t>Krishna Infra</t>
  </si>
  <si>
    <t>Robotic / Shuttle Parking</t>
  </si>
  <si>
    <t>Rajdeep Surve</t>
  </si>
  <si>
    <t>S Infra</t>
  </si>
  <si>
    <t>+919881155995</t>
  </si>
  <si>
    <t>kolhapur</t>
  </si>
  <si>
    <t>Sushil Kumar</t>
  </si>
  <si>
    <t>+919412067743</t>
  </si>
  <si>
    <t>Amit K Jangir</t>
  </si>
  <si>
    <t>98735 78188</t>
  </si>
  <si>
    <t>details shared in wa, he shared drawing</t>
  </si>
  <si>
    <t>Anil u Chhutani</t>
  </si>
  <si>
    <t>busy, details shared in wa</t>
  </si>
  <si>
    <t>Pankaj Nimbalkar</t>
  </si>
  <si>
    <t>CenterPoint Hospital</t>
  </si>
  <si>
    <t>not responded, details shared in wa</t>
  </si>
  <si>
    <t>N Chandra Shekhar</t>
  </si>
  <si>
    <t>Alpha Solutions</t>
  </si>
  <si>
    <t>Hyderbad</t>
  </si>
  <si>
    <t>Within 3 Months</t>
  </si>
  <si>
    <t>Sandeep Soni</t>
  </si>
  <si>
    <t>Soni tools &amp; equipments</t>
  </si>
  <si>
    <t>Bhupesh Gupta</t>
  </si>
  <si>
    <t>SKYLINE TOWER</t>
  </si>
  <si>
    <t>Jammu City</t>
  </si>
  <si>
    <t>Deendayal Murarka</t>
  </si>
  <si>
    <t>Builders &amp; Developers</t>
  </si>
  <si>
    <t>priyank</t>
  </si>
  <si>
    <t>MAH corporations</t>
  </si>
  <si>
    <t>RNR, details shared in wa'</t>
  </si>
  <si>
    <t>Nagarajan</t>
  </si>
  <si>
    <t>Residence</t>
  </si>
  <si>
    <t>Chennai, kilpauk</t>
  </si>
  <si>
    <t xml:space="preserve">tandorm parking, 9.5 feet entrance.11 feet back length around 50 ft. avaialbel hight will be 11.3 feet. 1+1, 6 feet, lower level, 6ft lower level, suv, upper, small car. tandom parking, one behind the other, stacking, </t>
  </si>
  <si>
    <t>visted site, archit told not feasible</t>
  </si>
  <si>
    <t>SEO</t>
  </si>
  <si>
    <t>Atul Bhondwe</t>
  </si>
  <si>
    <t>Atul</t>
  </si>
  <si>
    <t>not reachable, details shared in wa</t>
  </si>
  <si>
    <t xml:space="preserve">Puzzle parking </t>
  </si>
  <si>
    <t>Arvind Mittal</t>
  </si>
  <si>
    <t>Silkri</t>
  </si>
  <si>
    <t>Dehra Dun</t>
  </si>
  <si>
    <t>call me an hour</t>
  </si>
  <si>
    <t>Bhushan Babade</t>
  </si>
  <si>
    <t>Nakhawa Enterprises</t>
  </si>
  <si>
    <t>lonavala</t>
  </si>
  <si>
    <t>tourist, pune, parking issues, wehvae 10k. land. 100 to 150 open space. budget, he wants to do commercial</t>
  </si>
  <si>
    <t>Gurjinder Rait</t>
  </si>
  <si>
    <t>Self Employed</t>
  </si>
  <si>
    <t>Kolkatta</t>
  </si>
  <si>
    <t>Debabrata Changkakoti</t>
  </si>
  <si>
    <t>Valley view school, ward no -8, North lakhimpur, Assam</t>
  </si>
  <si>
    <t>North Lakhimpur</t>
  </si>
  <si>
    <t>trw around 10 to 10.30 morning</t>
  </si>
  <si>
    <t>Kisan Bhosle</t>
  </si>
  <si>
    <t>S R Real Estate Devlopers</t>
  </si>
  <si>
    <t>Kolhapur</t>
  </si>
  <si>
    <t xml:space="preserve">stack parking, 40x80 ft, 3200 sq.flat, column, stari car ho jayenge, 2500 sqft bakki. stilt me. plinth stage. </t>
  </si>
  <si>
    <t>Avnish Garg</t>
  </si>
  <si>
    <t>Meerut</t>
  </si>
  <si>
    <t>not responded</t>
  </si>
  <si>
    <t>Mukesh</t>
  </si>
  <si>
    <t>Trivendram</t>
  </si>
  <si>
    <t>will call back later</t>
  </si>
  <si>
    <t>Sunny Chhabra</t>
  </si>
  <si>
    <t>Self Employed Entrepreneur</t>
  </si>
  <si>
    <t>+919437049559</t>
  </si>
  <si>
    <t>Rourkela</t>
  </si>
  <si>
    <t>10-50</t>
  </si>
  <si>
    <t>details hare in whatasapp, he said will share measurement in wa</t>
  </si>
  <si>
    <t>shuttle/robotic_parking_</t>
  </si>
  <si>
    <t>Ajay suyawanshi</t>
  </si>
  <si>
    <t>Ajay</t>
  </si>
  <si>
    <t>Chalisgaon</t>
  </si>
  <si>
    <t>200</t>
  </si>
  <si>
    <t>looking_for_budget_details</t>
  </si>
  <si>
    <t>consultant, shared details in wa</t>
  </si>
  <si>
    <t>Faquir Mohammed</t>
  </si>
  <si>
    <t>Chandni group</t>
  </si>
  <si>
    <t>+919949008007</t>
  </si>
  <si>
    <t>Hyd</t>
  </si>
  <si>
    <t>Under 10</t>
  </si>
  <si>
    <t>within_3_months</t>
  </si>
  <si>
    <t>construction complex, car parking, new celar to stilt. 10 cars.  he will send drawing in wa'</t>
  </si>
  <si>
    <t>19/8-assigned to ram</t>
  </si>
  <si>
    <t>two_post_stack_parking</t>
  </si>
  <si>
    <t>Manu Patten</t>
  </si>
  <si>
    <t>Sap consultants</t>
  </si>
  <si>
    <t>+919447300406</t>
  </si>
  <si>
    <t>Mananthavadyijfghg🌛.. om okmk</t>
  </si>
  <si>
    <t>25</t>
  </si>
  <si>
    <t>planning_stage</t>
  </si>
  <si>
    <t xml:space="preserve">call after some time, </t>
  </si>
  <si>
    <t>Abhishek</t>
  </si>
  <si>
    <t>Self</t>
  </si>
  <si>
    <t>+919415403773</t>
  </si>
  <si>
    <t>100</t>
  </si>
  <si>
    <t>shared details in wa, currently in chandigarh, will talk trw.</t>
  </si>
  <si>
    <t>puzzle_parking_system</t>
  </si>
  <si>
    <t>Shriprakash Sandilya</t>
  </si>
  <si>
    <t>Self-employedDesign forum</t>
  </si>
  <si>
    <t>+919435146236</t>
  </si>
  <si>
    <t>Gauhati</t>
  </si>
  <si>
    <t>30</t>
  </si>
  <si>
    <t>1 hr,details shared in wa</t>
  </si>
  <si>
    <t>HIMANSHU SHARMA</t>
  </si>
  <si>
    <t>NETTECH INFRA</t>
  </si>
  <si>
    <t>+918837802154</t>
  </si>
  <si>
    <t>unlimited</t>
  </si>
  <si>
    <t>tower_parking_system</t>
  </si>
  <si>
    <t>Pandit Das</t>
  </si>
  <si>
    <t>NPD Enterprise</t>
  </si>
  <si>
    <t>+918404042252</t>
  </si>
  <si>
    <t>Silchar</t>
  </si>
  <si>
    <t>50</t>
  </si>
  <si>
    <t>just_consultation</t>
  </si>
  <si>
    <t>Nishanth Kanchisurya</t>
  </si>
  <si>
    <t>surya travels</t>
  </si>
  <si>
    <t>+919494367661</t>
  </si>
  <si>
    <t>15 to 20</t>
  </si>
  <si>
    <t xml:space="preserve">school bus, 10 to 15 bus, 
50x90 ft available, open space. 
</t>
  </si>
  <si>
    <t>Kamlesh Jain</t>
  </si>
  <si>
    <t>Alaska corporates</t>
  </si>
  <si>
    <t>+919165900000</t>
  </si>
  <si>
    <t>Raipur ( Chhatisgarh)</t>
  </si>
  <si>
    <t>Joyy Samantaray</t>
  </si>
  <si>
    <t>ORI ARC</t>
  </si>
  <si>
    <t>+917504700009</t>
  </si>
  <si>
    <t>Karthikeyan</t>
  </si>
  <si>
    <t>Little milleniaum school</t>
  </si>
  <si>
    <t>Prashanth</t>
  </si>
  <si>
    <t>Wrong Entry. He is not looking for CAR parking system</t>
  </si>
  <si>
    <t>Prem</t>
  </si>
  <si>
    <t>Cuddalore</t>
  </si>
  <si>
    <t>3 to 6 months</t>
  </si>
  <si>
    <t xml:space="preserve">15 car already, plan. 4k. sq.ft.hight. 13 ft.  not immediately.3 to 6 months. - india mart </t>
  </si>
  <si>
    <t>Muffazil</t>
  </si>
  <si>
    <t>Perumbatood, kerala</t>
  </si>
  <si>
    <t>commercial, motor type one. electro mechanic, hydralic. 30 nos. 90% .1.80., hydra.ic. 1.60</t>
  </si>
  <si>
    <t>19/8-sent message</t>
  </si>
  <si>
    <t>Amit</t>
  </si>
  <si>
    <t>Azaz Developer</t>
  </si>
  <si>
    <t>Agra</t>
  </si>
  <si>
    <t>Shailendra</t>
  </si>
  <si>
    <t>Mahadev</t>
  </si>
  <si>
    <t>Ujjain, Maharashtra</t>
  </si>
  <si>
    <t>https://drive.google.com/drive/folders/1Z1i8Tr51xJdjt5GsNu2qc8GK6RY7USgT?usp=drive_link</t>
  </si>
  <si>
    <t>open space, no space issues, need 24+24 parking system, shared in whatsapp all the details</t>
  </si>
  <si>
    <t>Sapthagiri solutions</t>
  </si>
  <si>
    <t>Kolar</t>
  </si>
  <si>
    <t>ram spoke, has asked visit. 12.5 feet</t>
  </si>
  <si>
    <t>19/8-asked ram to spea and udpate</t>
  </si>
  <si>
    <t>Nizhar</t>
  </si>
  <si>
    <t>The chennai industries</t>
  </si>
  <si>
    <t>not valid contact', not in wa</t>
  </si>
  <si>
    <t>ASHLAY RALPH (Premjith)</t>
  </si>
  <si>
    <t>architecture</t>
  </si>
  <si>
    <t>NAGERCOIL</t>
  </si>
  <si>
    <t>NEED PUZZLE CAR PARKING, HE CONNECT WITH SENIOR ARCHITECTURE</t>
  </si>
  <si>
    <t>basement,  planing stage</t>
  </si>
  <si>
    <t>he referred Premjith, we have given drawing, yet to approve</t>
  </si>
  <si>
    <t>Duplicate</t>
  </si>
  <si>
    <t xml:space="preserve">Krish Vardhan Agarwal
</t>
  </si>
  <si>
    <t>Balajee Infrasolutions</t>
  </si>
  <si>
    <t>Silagur, West Bengal</t>
  </si>
  <si>
    <t xml:space="preserve">  </t>
  </si>
  <si>
    <t>existing building, 7 nos 1+1 stack, drawing and address asked him to send.  given quote.but he said price is high. so givento others.</t>
  </si>
  <si>
    <t xml:space="preserve">Neeta </t>
  </si>
  <si>
    <t xml:space="preserve">delhi.south extension. </t>
  </si>
  <si>
    <t xml:space="preserve">1+1 </t>
  </si>
  <si>
    <t>drive way, one will go out, 2 nos. residential.open space, width.9.5 feet, length. big.</t>
  </si>
  <si>
    <t>he is ready to give, but our side, not reasible due to delhi</t>
  </si>
  <si>
    <t>Karthik (sabarisan)</t>
  </si>
  <si>
    <t>CHENNAI</t>
  </si>
  <si>
    <t>https://drive.google.com/drive/folders/1qdJeiTNB-qffT45NxrgAB7XKtw4UOkdg?usp=drive_link</t>
  </si>
  <si>
    <t>11 CARS</t>
  </si>
  <si>
    <t>2 Units pit stack, 3x2 puzzle, 1 two post stack parking, location: anna nagar , chinthamani</t>
  </si>
  <si>
    <t>nagendran raja/Pradeep</t>
  </si>
  <si>
    <t>Pradeep - sr Architect
 91889 54139</t>
  </si>
  <si>
    <t>kerala</t>
  </si>
  <si>
    <t>https://drive.google.com/drive/folders/1UUIuXc_3O3i8lITZ6Zr9tXw61Ts_nK01?usp=drive_link</t>
  </si>
  <si>
    <t xml:space="preserve">drawing sent, waiting for approval, site visit fixed. </t>
  </si>
  <si>
    <t xml:space="preserve">given vasanthi contact, green motors, coimbatore, </t>
  </si>
  <si>
    <t>19/8, she didnot contacted yet, need to arrange person. for visit the site</t>
  </si>
  <si>
    <t>tower parking system</t>
  </si>
  <si>
    <t>Pratic Jaiswal</t>
  </si>
  <si>
    <t>88885 77786</t>
  </si>
  <si>
    <t>https://drive.google.com/drive/folders/1wYc1SlIB-JMH5S5Lpdr18DgwWQ-W6ebD?usp=drive_link</t>
  </si>
  <si>
    <t>stack</t>
  </si>
  <si>
    <t>price is high</t>
  </si>
  <si>
    <t>19/8 - today sent msg.</t>
  </si>
  <si>
    <t>Koppa</t>
  </si>
  <si>
    <t>30x80, single phase motorl. commerical</t>
  </si>
  <si>
    <t>Srinivasan</t>
  </si>
  <si>
    <t>Financial services</t>
  </si>
  <si>
    <t>+919443137171</t>
  </si>
  <si>
    <t>Thiruvarur</t>
  </si>
  <si>
    <t>sent details in wa</t>
  </si>
  <si>
    <t>Arun Agarwal</t>
  </si>
  <si>
    <t>Bidla Traders</t>
  </si>
  <si>
    <t>+917978980411</t>
  </si>
  <si>
    <t>Semiliguda</t>
  </si>
  <si>
    <t>Aditi Zilpe</t>
  </si>
  <si>
    <t>EMAAR</t>
  </si>
  <si>
    <t>Gurgaon, Haryana</t>
  </si>
  <si>
    <t>100-300</t>
  </si>
  <si>
    <t xml:space="preserve">100 - 300 parking space, electro magnite.highrise tower, ongoing projects.  email sent. </t>
  </si>
  <si>
    <t>19/8, sent message</t>
  </si>
  <si>
    <t>sudam shinde/Poonam</t>
  </si>
  <si>
    <t>Shayona Corporation</t>
  </si>
  <si>
    <t>mumbai</t>
  </si>
  <si>
    <t>https://drive.google.com/drive/folders/1xr006MtC2xqELvhfVurcyNfnrNdx4o0O?usp=drive_link</t>
  </si>
  <si>
    <t xml:space="preserve">tender </t>
  </si>
  <si>
    <t>quote and preliminary drawing has sent, asked details spec comparison with their spec</t>
  </si>
  <si>
    <t>11/7, spoke, she said, not yet approved</t>
  </si>
  <si>
    <t>19/8, sent message. waiting for reply</t>
  </si>
  <si>
    <t>Anju Chouhan</t>
  </si>
  <si>
    <t>SS Fashion &amp; Accesoreis</t>
  </si>
  <si>
    <t>Faridabad, Haryana</t>
  </si>
  <si>
    <t xml:space="preserve">50, existing building. standard. G+1, free open, </t>
  </si>
  <si>
    <t>Gautam Dhavale</t>
  </si>
  <si>
    <t>ikon realty</t>
  </si>
  <si>
    <t>+918888115566</t>
  </si>
  <si>
    <t>120</t>
  </si>
  <si>
    <t>https://drive.google.com/drive/folders/1RlB5HiptR2D9bodmfiIGo_Qlq3-3WrBl?usp=drive_link</t>
  </si>
  <si>
    <t>120 cars, 11 sq.ft.36 metr hight. solution. will start mont,  will share drawing in wa</t>
  </si>
  <si>
    <t>Ashok Chawla</t>
  </si>
  <si>
    <t>for home</t>
  </si>
  <si>
    <t>+919146570806</t>
  </si>
  <si>
    <t>nagpur</t>
  </si>
  <si>
    <t>2floor 4th 5th slab hight per floor 9mtr</t>
  </si>
  <si>
    <t>will share details in wa</t>
  </si>
  <si>
    <t>George payyappilly</t>
  </si>
  <si>
    <t>Price please</t>
  </si>
  <si>
    <t>+919447701974</t>
  </si>
  <si>
    <t>Kochi Ernakulam</t>
  </si>
  <si>
    <t>yes</t>
  </si>
  <si>
    <t>spam</t>
  </si>
  <si>
    <t>Joseph Fernandes</t>
  </si>
  <si>
    <t>HOTEL MENINO EXECUTIVE</t>
  </si>
  <si>
    <t>+919823178533</t>
  </si>
  <si>
    <t>PONDA</t>
  </si>
  <si>
    <t>will contact his office perosn. shared proj details inw a</t>
  </si>
  <si>
    <t>19/8, - sent message</t>
  </si>
  <si>
    <t>Balu B Retnamma</t>
  </si>
  <si>
    <t>Business/consultant</t>
  </si>
  <si>
    <t>+9719847991258</t>
  </si>
  <si>
    <t>300</t>
  </si>
  <si>
    <t xml:space="preserve">conslultant
dubai, robotoic parking, 10 yrs back. americal technology, 
,steel / civil construction, bulj kalifa, malaysica ever sunday, singapore, eversun. (contractor) sub contractor. 1800 cars. </t>
  </si>
  <si>
    <t>MV Marwada</t>
  </si>
  <si>
    <t>Interior Design Magazine</t>
  </si>
  <si>
    <t>+9108829857276</t>
  </si>
  <si>
    <t>Kuchaman City</t>
  </si>
  <si>
    <t>not required now</t>
  </si>
  <si>
    <t>Purushottam Kumar</t>
  </si>
  <si>
    <t>MPB</t>
  </si>
  <si>
    <t>+919938470122</t>
  </si>
  <si>
    <t>sitamarhi</t>
  </si>
  <si>
    <t>4</t>
  </si>
  <si>
    <t>Yogesh</t>
  </si>
  <si>
    <t>residential</t>
  </si>
  <si>
    <t>Bengaluru</t>
  </si>
  <si>
    <t xml:space="preserve">1+2, outside, dead end road. compound. 
photo. </t>
  </si>
  <si>
    <t>Mukul Jangid</t>
  </si>
  <si>
    <t>tolas elevators</t>
  </si>
  <si>
    <t>Jaipur</t>
  </si>
  <si>
    <t>2.5 metrx5 mtrs, 1+1, 7 units. 3.6 mtres. same place.</t>
  </si>
  <si>
    <t>Pradip Mohanty</t>
  </si>
  <si>
    <t>Sarvodaya Samiti</t>
  </si>
  <si>
    <t>+919937053637</t>
  </si>
  <si>
    <t>A.V.R..Naidu</t>
  </si>
  <si>
    <t>venkhata kalyani agencies</t>
  </si>
  <si>
    <t>+19177944455</t>
  </si>
  <si>
    <t>kakinada</t>
  </si>
  <si>
    <t>just an enquiry, not immediate</t>
  </si>
  <si>
    <t>+918860061978</t>
  </si>
  <si>
    <t>delhi</t>
  </si>
  <si>
    <t>5625x84 sqft available shared details in wa</t>
  </si>
  <si>
    <t>Sibin</t>
  </si>
  <si>
    <t>self-Employed</t>
  </si>
  <si>
    <t>service enquiry</t>
  </si>
  <si>
    <t>Santhosh P N</t>
  </si>
  <si>
    <t>Self-employed</t>
  </si>
  <si>
    <t>+919747037850</t>
  </si>
  <si>
    <t>Satish Paralkar</t>
  </si>
  <si>
    <t>VardeParalkar &amp; Associates</t>
  </si>
  <si>
    <t>+919870572370</t>
  </si>
  <si>
    <t>1-7010</t>
  </si>
  <si>
    <t>called, he asked us to share details in wa, call cut</t>
  </si>
  <si>
    <t>Harish kumar Dhodi</t>
  </si>
  <si>
    <t>Thakur Infratec</t>
  </si>
  <si>
    <t>+918449643684</t>
  </si>
  <si>
    <t>dehradun</t>
  </si>
  <si>
    <t>Aryn kumar</t>
  </si>
  <si>
    <t>Individual</t>
  </si>
  <si>
    <t>coimabatore</t>
  </si>
  <si>
    <t>3 cars</t>
  </si>
  <si>
    <t xml:space="preserve">NEED SITE VISIT </t>
  </si>
  <si>
    <t>Karthi Spoke with him, assinged to ram</t>
  </si>
  <si>
    <t>19/8-asked to check ram</t>
  </si>
  <si>
    <t>Google Ads</t>
  </si>
  <si>
    <t>20-08-2026</t>
  </si>
  <si>
    <t>two post stack parking</t>
  </si>
  <si>
    <t>Maanjeet Singh Kushwaha</t>
  </si>
  <si>
    <t>Utkarsh Foundation School, Bhagalpur</t>
  </si>
  <si>
    <t>+919709499830</t>
  </si>
  <si>
    <t>bhagalpur,bihar</t>
  </si>
  <si>
    <t>busy, will call back. not in wa</t>
  </si>
  <si>
    <t>Kiran</t>
  </si>
  <si>
    <t>olive planet</t>
  </si>
  <si>
    <t>+919731018761</t>
  </si>
  <si>
    <t>will call back, currently bussy, in need, details shared in wa</t>
  </si>
  <si>
    <t>19/8 - sent message</t>
  </si>
  <si>
    <t>sudhansu sahu</t>
  </si>
  <si>
    <t>Soosan HEAVY Industries</t>
  </si>
  <si>
    <t>+9199383 70700</t>
  </si>
  <si>
    <t>bhuvaneshwar.odisha</t>
  </si>
  <si>
    <t>500+</t>
  </si>
  <si>
    <t>asked us to send details, in planning stage, then will decide</t>
  </si>
  <si>
    <t>MANSOOR</t>
  </si>
  <si>
    <t>Premier Electrical Contracting</t>
  </si>
  <si>
    <t>+919946760520</t>
  </si>
  <si>
    <t>kannur</t>
  </si>
  <si>
    <t>24</t>
  </si>
  <si>
    <t>call interrupted, will call back</t>
  </si>
  <si>
    <t>Hitesh Kumar</t>
  </si>
  <si>
    <t>lawer</t>
  </si>
  <si>
    <t>+919499260002</t>
  </si>
  <si>
    <t>sikar</t>
  </si>
  <si>
    <t>20</t>
  </si>
  <si>
    <t>11 car parlong, commercial
spacce.2.5x5 mtrs., willshare drawing</t>
  </si>
  <si>
    <t>17/7 - called, no response, then sent followu up message</t>
  </si>
  <si>
    <t>30th jne</t>
  </si>
  <si>
    <t>Naveen Karthikeyan</t>
  </si>
  <si>
    <t>Pondy Live</t>
  </si>
  <si>
    <t>+919843236533</t>
  </si>
  <si>
    <t>Need for our convention centre</t>
  </si>
  <si>
    <t>Athar Khan</t>
  </si>
  <si>
    <t>HAPPY HOME HOUSING PALACE "A" FLAT OWNERS WELFARE ASSOCIATION UPPER PALLY HYDERABAD 500048</t>
  </si>
  <si>
    <t>+919700812357</t>
  </si>
  <si>
    <t>quotation</t>
  </si>
  <si>
    <t>Ganesh Nayak 6-1-91B Stone Park bhujang rao road volakadu Udupi Karnataka</t>
  </si>
  <si>
    <t>Balaji hospitality services pvt ltd</t>
  </si>
  <si>
    <t>+919141336386</t>
  </si>
  <si>
    <t>Udupi</t>
  </si>
  <si>
    <t>Driving now, wil call u back</t>
  </si>
  <si>
    <t>MA Nayeem Mohammed</t>
  </si>
  <si>
    <t>Hillton Group of Companies</t>
  </si>
  <si>
    <t>+919704687086</t>
  </si>
  <si>
    <t>will get back in half an hour</t>
  </si>
  <si>
    <t>Pankaj Kumar Srivastava</t>
  </si>
  <si>
    <t>+919868690000</t>
  </si>
  <si>
    <t>Hajipur, Vaishali</t>
  </si>
  <si>
    <t>will share once plan do, shared details in wa</t>
  </si>
  <si>
    <t>Gopi Moorhty</t>
  </si>
  <si>
    <t>KAMAKSHI DAIRY FRESH</t>
  </si>
  <si>
    <t>+919443363464</t>
  </si>
  <si>
    <t>Sholinghur chennai</t>
  </si>
  <si>
    <t>Sharath achar</t>
  </si>
  <si>
    <t>aldur</t>
  </si>
  <si>
    <t>+919481578504</t>
  </si>
  <si>
    <t>CHIKMGALORE</t>
  </si>
  <si>
    <t>Car parking</t>
  </si>
  <si>
    <t xml:space="preserve">he will call back, </t>
  </si>
  <si>
    <t>Amitabh Sinha</t>
  </si>
  <si>
    <t>Shri Narayan Association</t>
  </si>
  <si>
    <t>+919608002668</t>
  </si>
  <si>
    <t>Dhanbad</t>
  </si>
  <si>
    <t>10</t>
  </si>
  <si>
    <t xml:space="preserve">Sri prem jith. </t>
  </si>
  <si>
    <t>Desgin Pro Architect</t>
  </si>
  <si>
    <t>Besant Nagar</t>
  </si>
  <si>
    <t>planning stage.</t>
  </si>
  <si>
    <t xml:space="preserve">nagercoil, apoproval, drawing, besant desgin pro architect. 30 nos. </t>
  </si>
  <si>
    <t>21/7 - spoke with him, wating for approval</t>
  </si>
  <si>
    <t xml:space="preserve">25 car. 2 nos. </t>
  </si>
  <si>
    <t>duplicate lead, aleady in followup. again called in india mart</t>
  </si>
  <si>
    <t>Prakash Joshi</t>
  </si>
  <si>
    <t>J P Associates, Vadodara</t>
  </si>
  <si>
    <t>+919426564702</t>
  </si>
  <si>
    <t xml:space="preserve">4 to 5 months, </t>
  </si>
  <si>
    <t>shivaraj</t>
  </si>
  <si>
    <t>Shivakrupa ENTERPISES</t>
  </si>
  <si>
    <t>+919845049630</t>
  </si>
  <si>
    <t>ILKAL</t>
  </si>
  <si>
    <t xml:space="preserve">Investor, looking for rental purpose. commercial, layout so many place. 40 cars. </t>
  </si>
  <si>
    <t>Dilkash Ji</t>
  </si>
  <si>
    <t>SUPER</t>
  </si>
  <si>
    <t>+919973093792</t>
  </si>
  <si>
    <t xml:space="preserve">Investor, looking for rental purpose. commercial, </t>
  </si>
  <si>
    <t>Kavitha Deepak</t>
  </si>
  <si>
    <t>KD Pharama</t>
  </si>
  <si>
    <t>rotary parking</t>
  </si>
  <si>
    <t>wrong enquiry, not intested</t>
  </si>
  <si>
    <t>Suthagar Manickam</t>
  </si>
  <si>
    <t>M&gt;S Vehicle Shelter</t>
  </si>
  <si>
    <t>Aruppukottai</t>
  </si>
  <si>
    <t>Fshaind</t>
  </si>
  <si>
    <t>now in train, will call you later</t>
  </si>
  <si>
    <t>Killpauk</t>
  </si>
  <si>
    <t>Ram and Karhting is going for visit. Archith ref.</t>
  </si>
  <si>
    <t>Referral</t>
  </si>
  <si>
    <t>Vani (consultant)</t>
  </si>
  <si>
    <t>Green Motors</t>
  </si>
  <si>
    <t>Ram visited and po r4eceived, advance will pay todyay. archith ref.</t>
  </si>
  <si>
    <t>Dhanasekhar</t>
  </si>
  <si>
    <t>Dr. Guruprasad, Pediatic hospital</t>
  </si>
  <si>
    <t>Rajamundry</t>
  </si>
  <si>
    <t>completed handover, payment not done</t>
  </si>
  <si>
    <t>Pankaj kumar</t>
  </si>
  <si>
    <t>rudra associate</t>
  </si>
  <si>
    <t>+919839254725</t>
  </si>
  <si>
    <t>machlishahar jaunpur up</t>
  </si>
  <si>
    <t>commercial,after 3 months. 200 meetrs, he need to talk in hindi</t>
  </si>
  <si>
    <t>Ravi Kumar D K</t>
  </si>
  <si>
    <t>RGC PVT LTD</t>
  </si>
  <si>
    <t>+919741100255</t>
  </si>
  <si>
    <t>350</t>
  </si>
  <si>
    <t>in planning stage, once drawing done, will share, meanwhile sharing our details inw a</t>
  </si>
  <si>
    <t>Joel</t>
  </si>
  <si>
    <t>Freelancer</t>
  </si>
  <si>
    <t>+919207412603</t>
  </si>
  <si>
    <t>Kottayam</t>
  </si>
  <si>
    <t>Na</t>
  </si>
  <si>
    <t>babulal patel</t>
  </si>
  <si>
    <t>chhaganlal gangaram patel</t>
  </si>
  <si>
    <t>+919601579760</t>
  </si>
  <si>
    <t>Unjha</t>
  </si>
  <si>
    <t>Vimalkumar Lad</t>
  </si>
  <si>
    <t>+917621017144</t>
  </si>
  <si>
    <t>valsad</t>
  </si>
  <si>
    <t xml:space="preserve">will ask his office staff to call </t>
  </si>
  <si>
    <t>RUBAN MANASAH</t>
  </si>
  <si>
    <t>power links</t>
  </si>
  <si>
    <t>+919566863798</t>
  </si>
  <si>
    <t>kovilpatti</t>
  </si>
  <si>
    <t>50 cars</t>
  </si>
  <si>
    <t>B2B, consultant</t>
  </si>
  <si>
    <t>Sandeep</t>
  </si>
  <si>
    <t>4.4 mtrs, 2 cars to be parked, immediate. visit required.</t>
  </si>
  <si>
    <t>19/8 - assigned to ram</t>
  </si>
  <si>
    <t>Kirran</t>
  </si>
  <si>
    <t>Hospital project</t>
  </si>
  <si>
    <t xml:space="preserve"> 88949 33200</t>
  </si>
  <si>
    <t>300-450</t>
  </si>
  <si>
    <t>MLCP</t>
  </si>
  <si>
    <t>spoke and he said will reshare the requirement. again called, he said will share the requirement</t>
  </si>
  <si>
    <t>1/7 - asked again, he said will share</t>
  </si>
  <si>
    <t>19/8 - asked requirement again, not received any eamil</t>
  </si>
  <si>
    <t>Imtiyaz Ahmad Thoker</t>
  </si>
  <si>
    <t>Global Food Bazar and Service Providers</t>
  </si>
  <si>
    <t>+919622652509</t>
  </si>
  <si>
    <t>Pulwam</t>
  </si>
  <si>
    <t>shuttle/robotic_parking_within_3_months</t>
  </si>
  <si>
    <t xml:space="preserve">call not going, </t>
  </si>
  <si>
    <t>Krishna Sundara</t>
  </si>
  <si>
    <t>Reliance Associates</t>
  </si>
  <si>
    <t>+919842411230</t>
  </si>
  <si>
    <t>Tiruchirappalli</t>
  </si>
  <si>
    <t>22</t>
  </si>
  <si>
    <t xml:space="preserve">immediate, complex, 2 level. pit level, stilt, basement. 4 to 5 feet. from there. below. </t>
  </si>
  <si>
    <t>many time called and sent message, no respones</t>
  </si>
  <si>
    <t>Email Campaign</t>
  </si>
  <si>
    <t>11+11</t>
  </si>
  <si>
    <t>charu Ahlawat</t>
  </si>
  <si>
    <t>Ahlawat transformers p Ltd</t>
  </si>
  <si>
    <t>+919837054806</t>
  </si>
  <si>
    <t>Muzaffarnagar</t>
  </si>
  <si>
    <t>tower_parking_system.just_consultation</t>
  </si>
  <si>
    <t>Bhuvanesh</t>
  </si>
  <si>
    <t>Cinnmamon Homes</t>
  </si>
  <si>
    <t>96001 27725</t>
  </si>
  <si>
    <t>Kattupakkam, chennai</t>
  </si>
  <si>
    <t>https://drive.google.com/drive/folders/1bZCCH7HoMEfbhCC8CQu6Uqlkw5H-Z7Jl?usp=drive_link</t>
  </si>
  <si>
    <t>puzzle parking</t>
  </si>
  <si>
    <t>spoke with him, shared drawing, need to say feasiblity</t>
  </si>
  <si>
    <t>Deepika karthik</t>
  </si>
  <si>
    <t>spoke, they will get back soon</t>
  </si>
  <si>
    <t>Subrata Das</t>
  </si>
  <si>
    <t>PMDCS</t>
  </si>
  <si>
    <t>+919836666902</t>
  </si>
  <si>
    <t>tower  Parking system</t>
  </si>
  <si>
    <t>Poe</t>
  </si>
  <si>
    <t>Guidyatham</t>
  </si>
  <si>
    <t>Rotary parking</t>
  </si>
  <si>
    <t>Kumar</t>
  </si>
  <si>
    <t>mahendra varma</t>
  </si>
  <si>
    <t>Subbulakshmi</t>
  </si>
  <si>
    <t>hydrebad</t>
  </si>
  <si>
    <t>wrongly called instead to other</t>
  </si>
  <si>
    <t>Jayanthi / Vinoth</t>
  </si>
  <si>
    <t>2 .7.2026 Site Visit Planned</t>
  </si>
  <si>
    <t>visited and will get back</t>
  </si>
  <si>
    <t>11/7 - spoke, he said will udpate</t>
  </si>
  <si>
    <t>16/8 - soke, will update once he get approval</t>
  </si>
  <si>
    <t>Diinesh Agarwal</t>
  </si>
  <si>
    <t>shree</t>
  </si>
  <si>
    <t>+919777831891</t>
  </si>
  <si>
    <t>100 or more</t>
  </si>
  <si>
    <t>Imbichiammu T Mamu</t>
  </si>
  <si>
    <t>Wind Energy Consultant in Coimbatore</t>
  </si>
  <si>
    <t>+919387262774</t>
  </si>
  <si>
    <t>Kozhikode (Calicut)</t>
  </si>
  <si>
    <t>phone is not in whatsapp</t>
  </si>
  <si>
    <t>tried calling, line busy</t>
  </si>
  <si>
    <t>Pani Lucky</t>
  </si>
  <si>
    <t>Pl advertising</t>
  </si>
  <si>
    <t>+918798477550</t>
  </si>
  <si>
    <t>Itanagar Arunachal pradesh</t>
  </si>
  <si>
    <t>90</t>
  </si>
  <si>
    <t>Ethiraj Sribharathi</t>
  </si>
  <si>
    <t>sri Bharathi constructions</t>
  </si>
  <si>
    <t>+919443112583</t>
  </si>
  <si>
    <t>trichy</t>
  </si>
  <si>
    <t>have 15 ft. asked quote, in starting stage</t>
  </si>
  <si>
    <t>Shjju Melethil</t>
  </si>
  <si>
    <t>Inon International</t>
  </si>
  <si>
    <t>+919074979507</t>
  </si>
  <si>
    <t>250</t>
  </si>
  <si>
    <t>line busy</t>
  </si>
  <si>
    <t>Arul Nithi</t>
  </si>
  <si>
    <t>MRNenterprises</t>
  </si>
  <si>
    <t>+919894576701</t>
  </si>
  <si>
    <t>Villupuram</t>
  </si>
  <si>
    <t>rental purpose</t>
  </si>
  <si>
    <t>planning stage, budget</t>
  </si>
  <si>
    <t>Alok upadhyay</t>
  </si>
  <si>
    <t>JADAMBA TRADERS</t>
  </si>
  <si>
    <t>+917614019603</t>
  </si>
  <si>
    <t>JABALPUR</t>
  </si>
  <si>
    <t>y</t>
  </si>
  <si>
    <t>Devendra Lunagariya</t>
  </si>
  <si>
    <t>Triranga India Precast LLP</t>
  </si>
  <si>
    <t>+919727200111</t>
  </si>
  <si>
    <t>Rajkot</t>
  </si>
  <si>
    <t>1000 cars</t>
  </si>
  <si>
    <t xml:space="preserve">for corporation, 250 to 300 nos, ref. amirtsar video. need to send and quote also, </t>
  </si>
  <si>
    <t>TUSHAR GHOSH</t>
  </si>
  <si>
    <t>+918777713001</t>
  </si>
  <si>
    <t>vinod Kumar G</t>
  </si>
  <si>
    <t>jawahar digitals</t>
  </si>
  <si>
    <t>+919746101101</t>
  </si>
  <si>
    <t>Parippally</t>
  </si>
  <si>
    <t>Sonu Nksharma</t>
  </si>
  <si>
    <t>Indore, India</t>
  </si>
  <si>
    <t>Mhow</t>
  </si>
  <si>
    <t xml:space="preserve">investor, 7 to 8 temple , need to know budget, 24x50 sq ft. 8 floor. </t>
  </si>
  <si>
    <t>amitesh Raikwar</t>
  </si>
  <si>
    <t>na</t>
  </si>
  <si>
    <t>2</t>
  </si>
  <si>
    <t>Shakeek</t>
  </si>
  <si>
    <t>Nungambakkam</t>
  </si>
  <si>
    <t>stack parking</t>
  </si>
  <si>
    <t xml:space="preserve">1.5 ft. 1200 sqft. still 3 car parking, 
additional car parking 
nungambakkam location
indl. house, g+4 consutrtion in progress, foundation stage. </t>
  </si>
  <si>
    <t>Das</t>
  </si>
  <si>
    <t>S. S. Group</t>
  </si>
  <si>
    <t>Durgapur</t>
  </si>
  <si>
    <t>commercial purpose
200 cars - durgapur-west bengal</t>
  </si>
  <si>
    <t>Amit (Assitant Engineer)</t>
  </si>
  <si>
    <t>NDMC</t>
  </si>
  <si>
    <t>1700 SQFT METR stack parking
immediate., DRAWING AND QUOTE SENT. ON 7.726</t>
  </si>
  <si>
    <t>Sumit Kapoor</t>
  </si>
  <si>
    <t>not yet</t>
  </si>
  <si>
    <t>+919412417989</t>
  </si>
  <si>
    <t>Roshan Prasad</t>
  </si>
  <si>
    <t>GRU constructions</t>
  </si>
  <si>
    <t>+919304471162</t>
  </si>
  <si>
    <t>k.m.amjathkhan</t>
  </si>
  <si>
    <t>loyalty building construction company</t>
  </si>
  <si>
    <t>+919894390074</t>
  </si>
  <si>
    <t>periyakulam, Theni</t>
  </si>
  <si>
    <t>ten to twenty</t>
  </si>
  <si>
    <t>asked us to shar details in whatsapp, he is consultant</t>
  </si>
  <si>
    <t>avani nepal</t>
  </si>
  <si>
    <t xml:space="preserve">2cars, 1 unit.suvs.  dimensions. </t>
  </si>
  <si>
    <t>ranjit laxman</t>
  </si>
  <si>
    <t>PWD Maharashtra</t>
  </si>
  <si>
    <t>PL Advertising</t>
  </si>
  <si>
    <t xml:space="preserve"> U.P</t>
  </si>
  <si>
    <t>tower parking</t>
  </si>
  <si>
    <t>sent quote for 100 nos tower parking</t>
  </si>
  <si>
    <t>Puvichandran - Admin</t>
  </si>
  <si>
    <t xml:space="preserve">Accurate solutions, </t>
  </si>
  <si>
    <t>chennai, Royapetta</t>
  </si>
  <si>
    <t>bike parking 100nos</t>
  </si>
  <si>
    <t xml:space="preserve">closed 130. 1+1, ground floor. 5 yrs. commercial, NOn Accurate solution, 350 staffs, 15 yrs. 5 rental. handle. stilt. </t>
  </si>
  <si>
    <t>Paresh</t>
  </si>
  <si>
    <t>The Avenue</t>
  </si>
  <si>
    <t>+919974833999</t>
  </si>
  <si>
    <t>1000</t>
  </si>
  <si>
    <t>call me after wednester, currently not in station</t>
  </si>
  <si>
    <t>18/7 - tried calling no responses, sent message</t>
  </si>
  <si>
    <t>hasan</t>
  </si>
  <si>
    <t>Hasa Traders</t>
  </si>
  <si>
    <t>+919789417572</t>
  </si>
  <si>
    <t>myl</t>
  </si>
  <si>
    <t>cr</t>
  </si>
  <si>
    <t>call disconnected</t>
  </si>
  <si>
    <t>Veeresh Angadi Rudrappa</t>
  </si>
  <si>
    <t>veeresh ENT hospital</t>
  </si>
  <si>
    <t>+919449580761</t>
  </si>
  <si>
    <t>Davangere</t>
  </si>
  <si>
    <t>1) Open space 62 x 70 feet. 2) 60 x 80 feet 3 lvl hospital Building</t>
  </si>
  <si>
    <t>peerzada Anzar Azmat</t>
  </si>
  <si>
    <t>concept engineering service</t>
  </si>
  <si>
    <t>+919541225351</t>
  </si>
  <si>
    <t>Srinagar</t>
  </si>
  <si>
    <t>500 plus</t>
  </si>
  <si>
    <t>Neha Bhardwaz</t>
  </si>
  <si>
    <t>Advocate at Civil Court Munger</t>
  </si>
  <si>
    <t>+917631168379</t>
  </si>
  <si>
    <t>aprpox 10k sq.ft. 3 cr.  investor local individua</t>
  </si>
  <si>
    <t>Jeya Kannan</t>
  </si>
  <si>
    <t>C.N.High School</t>
  </si>
  <si>
    <t>+919942438800</t>
  </si>
  <si>
    <t>Rajapalayam</t>
  </si>
  <si>
    <t>100x35 feet space available. Tower parking 2 units LR 13 floors x 2 units. Drawing and quote to be preparefor a Kalyana Mandapam</t>
  </si>
  <si>
    <t>Layout and Quote sent on 8July by whatsup by NSM</t>
  </si>
  <si>
    <t>Ravindra Muttal</t>
  </si>
  <si>
    <t>Dharwad</t>
  </si>
  <si>
    <t>+9109448371522</t>
  </si>
  <si>
    <t>3to4 cars</t>
  </si>
  <si>
    <t>Prince Daimary Prince</t>
  </si>
  <si>
    <t>kime Car wash</t>
  </si>
  <si>
    <t>+18787724639</t>
  </si>
  <si>
    <t>udalguri</t>
  </si>
  <si>
    <t>Faisal Ali Farooqui</t>
  </si>
  <si>
    <t>+919307555266</t>
  </si>
  <si>
    <t>Unnao.</t>
  </si>
  <si>
    <t>Ranjit Pradhan</t>
  </si>
  <si>
    <t>KARO MINING &amp; MINERALS</t>
  </si>
  <si>
    <t>+919776992999</t>
  </si>
  <si>
    <t>Sample Videos sent to him. Can call on 8th july</t>
  </si>
  <si>
    <t>Divya Raaj Vinayak</t>
  </si>
  <si>
    <t>DRV Enterprises</t>
  </si>
  <si>
    <t>+919934151361</t>
  </si>
  <si>
    <t>Raminder Singh Boparai</t>
  </si>
  <si>
    <t>Ramindra agro</t>
  </si>
  <si>
    <t>+919988160600</t>
  </si>
  <si>
    <t>Amristar</t>
  </si>
  <si>
    <t>Send videos.call on 8th july</t>
  </si>
  <si>
    <t>David Benny</t>
  </si>
  <si>
    <t>trw will call me, shared details in wa, tried calling again on 6th not responded</t>
  </si>
  <si>
    <t>jegan joseph sounder</t>
  </si>
  <si>
    <t xml:space="preserve">9486211895 / </t>
  </si>
  <si>
    <t>mustafa-9865611009</t>
  </si>
  <si>
    <t>given enginner contact.</t>
  </si>
  <si>
    <t>he has sent drawing.</t>
  </si>
  <si>
    <t>Venkata Ramanan</t>
  </si>
  <si>
    <t>just an enquiry, not interested</t>
  </si>
  <si>
    <t>Sabin Joseph</t>
  </si>
  <si>
    <t>revival</t>
  </si>
  <si>
    <t>+919074006265</t>
  </si>
  <si>
    <t>Kochi-shi</t>
  </si>
  <si>
    <t>Rcd layout thru whatsup</t>
  </si>
  <si>
    <t>suresh babu</t>
  </si>
  <si>
    <t>Balan Farm Convention Centre</t>
  </si>
  <si>
    <t>+919448270820</t>
  </si>
  <si>
    <t>200 cars</t>
  </si>
  <si>
    <t>He expect site visit. Assigned to Ajith</t>
  </si>
  <si>
    <t>D Sah</t>
  </si>
  <si>
    <t>STS</t>
  </si>
  <si>
    <t>+919681547160</t>
  </si>
  <si>
    <t>Raipur, Bhopal, Hooghly, West Bengal</t>
  </si>
  <si>
    <t>will back back</t>
  </si>
  <si>
    <t>Prasanta borpatra gohain</t>
  </si>
  <si>
    <t>sunfeast inn / Mohanbari PB Fuel Station</t>
  </si>
  <si>
    <t>+9109435031217</t>
  </si>
  <si>
    <t>Dibrugarh</t>
  </si>
  <si>
    <t xml:space="preserve">   </t>
  </si>
  <si>
    <t>Johnson</t>
  </si>
  <si>
    <t>starepc</t>
  </si>
  <si>
    <t>+919487742856</t>
  </si>
  <si>
    <t>just for enquiry, asked for his friend</t>
  </si>
  <si>
    <t>T K Mishra</t>
  </si>
  <si>
    <t>+919718721599</t>
  </si>
  <si>
    <t>Greater Noida</t>
  </si>
  <si>
    <t>Er Kathireshen V</t>
  </si>
  <si>
    <t>Sree Nataraj Traders</t>
  </si>
  <si>
    <t>+919786869598</t>
  </si>
  <si>
    <t>SALEM District</t>
  </si>
  <si>
    <t>50+</t>
  </si>
  <si>
    <t>2000 sq.fft. open space. need drawing, and quote,immediate</t>
  </si>
  <si>
    <t>Ahmed Younus</t>
  </si>
  <si>
    <t>Alpha travels</t>
  </si>
  <si>
    <t>+919393526852</t>
  </si>
  <si>
    <t xml:space="preserve">open space, investor, immediate
500 yards. construction. expense, 100 or more. </t>
  </si>
  <si>
    <t>Ramesh Babu</t>
  </si>
  <si>
    <t>Sub Inspector Of Police</t>
  </si>
  <si>
    <t>+919154446434</t>
  </si>
  <si>
    <t>palamaner</t>
  </si>
  <si>
    <t>Sikkander Basha</t>
  </si>
  <si>
    <t>national metal treading corpration</t>
  </si>
  <si>
    <t>+919843011330</t>
  </si>
  <si>
    <t>20-30</t>
  </si>
  <si>
    <t>in busy right now, will call back</t>
  </si>
  <si>
    <t>Chitoor Muppala Sudhaakar</t>
  </si>
  <si>
    <t>SSR CONSULTANTS</t>
  </si>
  <si>
    <t>+919060512322</t>
  </si>
  <si>
    <t>market need at Bengaluru</t>
  </si>
  <si>
    <t>Er</t>
  </si>
  <si>
    <t>aagrr</t>
  </si>
  <si>
    <t>+917888443912</t>
  </si>
  <si>
    <t>arniwal</t>
  </si>
  <si>
    <t>switched off</t>
  </si>
  <si>
    <t>dhinakaran</t>
  </si>
  <si>
    <t>VELLS EQUIPMENTS</t>
  </si>
  <si>
    <t>+919965228280</t>
  </si>
  <si>
    <t>mettur</t>
  </si>
  <si>
    <t>20. cars</t>
  </si>
  <si>
    <t>for rental.  1+1</t>
  </si>
  <si>
    <t xml:space="preserve">for rental, 50x100 ft. planning for budget. approx price need. open area. 
25 cars. basic. 2 side road. corner site. </t>
  </si>
  <si>
    <t>Anshuman Nagen</t>
  </si>
  <si>
    <t>ADVOCATE</t>
  </si>
  <si>
    <t>+919097326555</t>
  </si>
  <si>
    <t>Gaya</t>
  </si>
  <si>
    <t>12 ft, 3k sq.f.t basement area, exisiting buildomg, need 20 30 cars, 1+1, asking product brochure. futurere , 20k sq.ft.</t>
  </si>
  <si>
    <t>Bidit Banerjee</t>
  </si>
  <si>
    <t>+919830869799</t>
  </si>
  <si>
    <t>Kolkata/ Jharsuguda Orissa</t>
  </si>
  <si>
    <t>30 numbers car</t>
  </si>
  <si>
    <t>Jayanth B B</t>
  </si>
  <si>
    <t>Event manager to govt of Karnataka</t>
  </si>
  <si>
    <t>+918970698529</t>
  </si>
  <si>
    <t>max</t>
  </si>
  <si>
    <t>open space. 3k sq. ft..investor./property, need quote</t>
  </si>
  <si>
    <t>Mir Mushtaq</t>
  </si>
  <si>
    <t>mir</t>
  </si>
  <si>
    <t>srinager j and k kralpora kupwara</t>
  </si>
  <si>
    <t>currently switched off</t>
  </si>
  <si>
    <t>E Star Staff</t>
  </si>
  <si>
    <t>Suresh Kumar</t>
  </si>
  <si>
    <t>pennagaram, TN</t>
  </si>
  <si>
    <t>wrong enquiry</t>
  </si>
  <si>
    <t>Yuvaraj Kamle</t>
  </si>
  <si>
    <t>Cooperativehousing</t>
  </si>
  <si>
    <t>Shakeel Mohammed (Architect)</t>
  </si>
  <si>
    <t>Syed Ibrahim (Client)</t>
  </si>
  <si>
    <t>thirunelveli</t>
  </si>
  <si>
    <t>pit puzzle parking</t>
  </si>
  <si>
    <t>8x5.5mtr pit depth 2 mtr</t>
  </si>
  <si>
    <t>Pit Puzzle Parking</t>
  </si>
  <si>
    <t>Kanda Samy</t>
  </si>
  <si>
    <t>50-100</t>
  </si>
  <si>
    <t>texttile showroom, 5 cent, open space. 1+1, just asked details</t>
  </si>
  <si>
    <t>Puzzle Parking system</t>
  </si>
  <si>
    <t>dr lakshmi rr</t>
  </si>
  <si>
    <t>RNR, tried many times</t>
  </si>
  <si>
    <t>Jeevanantham S</t>
  </si>
  <si>
    <t>Quote send</t>
  </si>
  <si>
    <t>4 unit stack</t>
  </si>
  <si>
    <t>karthi spoke with them, they sent drawing file, tried not responding</t>
  </si>
  <si>
    <t>parv aggarwal</t>
  </si>
  <si>
    <t>kaasa</t>
  </si>
  <si>
    <t>tried calling not responded</t>
  </si>
  <si>
    <t>Molhd Azam</t>
  </si>
  <si>
    <t>Food Processing Zone</t>
  </si>
  <si>
    <t>Lucknow, UP</t>
  </si>
  <si>
    <t>Prabha Singh</t>
  </si>
  <si>
    <t>Wheel India</t>
  </si>
  <si>
    <t>ASRS</t>
  </si>
  <si>
    <t>ASRS automatic system, for rack, wants visit the site.</t>
  </si>
  <si>
    <t>Rakesh Sing</t>
  </si>
  <si>
    <t>Robotic car parking</t>
  </si>
  <si>
    <t>Jaya Ganesh</t>
  </si>
  <si>
    <t>Taamaesek</t>
  </si>
  <si>
    <t>mylapore ,chennai</t>
  </si>
  <si>
    <t>Mechanical Car Parking System</t>
  </si>
  <si>
    <t>quote sent, for 70 nos, drawing in progress</t>
  </si>
  <si>
    <t>Ajay C K</t>
  </si>
  <si>
    <t>Nelcast Private ltd</t>
  </si>
  <si>
    <t>stack parking 8 units</t>
  </si>
  <si>
    <t>Stack parking 6 units. PO received</t>
  </si>
  <si>
    <t>Satyam Aggarwal</t>
  </si>
  <si>
    <t>AR industries</t>
  </si>
  <si>
    <t>ludhina</t>
  </si>
  <si>
    <t>immediate,Shuttle Parking System</t>
  </si>
  <si>
    <t>50x50, 20 cars. open space.</t>
  </si>
  <si>
    <t>Sampath Kumar Ramadugu</t>
  </si>
  <si>
    <t>Agriculture</t>
  </si>
  <si>
    <t>Karimnagar, Telangana</t>
  </si>
  <si>
    <t>Sourav Guha</t>
  </si>
  <si>
    <t>Ma Tara Traders</t>
  </si>
  <si>
    <t>Burdwan</t>
  </si>
  <si>
    <t xml:space="preserve">with in 3 months </t>
  </si>
  <si>
    <t>John Janong</t>
  </si>
  <si>
    <t>Self Business</t>
  </si>
  <si>
    <t>Shillong Meghalaya</t>
  </si>
  <si>
    <t>Looking For budget details</t>
  </si>
  <si>
    <t>Rakeshdas</t>
  </si>
  <si>
    <t>Kritikas Restaura</t>
  </si>
  <si>
    <t>Bliss Realised Inderjeet Sing</t>
  </si>
  <si>
    <t>Satguru's universe</t>
  </si>
  <si>
    <t>hydrabad</t>
  </si>
  <si>
    <t>asked, car lift for his car detaling shop. not tower parking enquiry</t>
  </si>
  <si>
    <t>GRT Construction</t>
  </si>
  <si>
    <t>KARTHICK</t>
  </si>
  <si>
    <t>vinoth joe Marshal s</t>
  </si>
  <si>
    <t>CMC Hospital Vellore</t>
  </si>
  <si>
    <t>Vellore</t>
  </si>
  <si>
    <t>july 4th week Meeting</t>
  </si>
  <si>
    <t>Spoke With Him, and Email Sent . lead Assigned to Archith &amp; Ajith</t>
  </si>
  <si>
    <t>PUZZLE OR SHUTTLE PARKING</t>
  </si>
  <si>
    <t>Praveen Kumar</t>
  </si>
  <si>
    <t>commerical</t>
  </si>
  <si>
    <t xml:space="preserve">need 50 stack parking </t>
  </si>
  <si>
    <t>STACK PARKING</t>
  </si>
  <si>
    <t>Manikandan</t>
  </si>
  <si>
    <t>Manikandan Associates</t>
  </si>
  <si>
    <t>Thoothukudi</t>
  </si>
  <si>
    <t>cleint nmae-sridharan</t>
  </si>
  <si>
    <t>16/7 - quotation sent for 14 nos stack parking</t>
  </si>
  <si>
    <t>19/8 - waiting for approval, will come for sure</t>
  </si>
  <si>
    <t>Karthick</t>
  </si>
  <si>
    <t>Naresh</t>
  </si>
  <si>
    <t xml:space="preserve">IT Parks - Bascon futura sv </t>
  </si>
  <si>
    <t xml:space="preserve">Visited site. Quote, Layout given, Waiting for client </t>
  </si>
  <si>
    <t>Raju D</t>
  </si>
  <si>
    <t>RAJU CONSTRUCTION COMPANY</t>
  </si>
  <si>
    <t>open space</t>
  </si>
  <si>
    <t>75 cents open land ,we quoted price was 1,80,000 per unit</t>
  </si>
  <si>
    <t>UDAY NARAYAN BHELKE</t>
  </si>
  <si>
    <t>ATHESH DEVELOPERS</t>
  </si>
  <si>
    <t>SADASHIV PETH, PUNE</t>
  </si>
  <si>
    <t>PIT Puzzle Parking</t>
  </si>
  <si>
    <t>REQUIRED PIT PUZZLE PARKING</t>
  </si>
  <si>
    <t>UDAYBHELKE@YAHOO.CO.IN</t>
  </si>
  <si>
    <t>Guru</t>
  </si>
  <si>
    <t>Adhya Buildscape  Private Ltd</t>
  </si>
  <si>
    <t>Madhuranthagam</t>
  </si>
  <si>
    <t>29/7 -He will check with client and send layout to us.</t>
  </si>
  <si>
    <t>Approval Client</t>
  </si>
  <si>
    <t>Sundarm</t>
  </si>
  <si>
    <t>Niranjan L</t>
  </si>
  <si>
    <t>INDIVIDUAL VILLA</t>
  </si>
  <si>
    <t>COVAI</t>
  </si>
  <si>
    <t>Stack Parking</t>
  </si>
  <si>
    <t xml:space="preserve">assigned to Archith, </t>
  </si>
  <si>
    <t>MOideen</t>
  </si>
  <si>
    <t>commerical purpose</t>
  </si>
  <si>
    <t>want to rent out, adambakkam, velanchery having space for parking facility</t>
  </si>
  <si>
    <t xml:space="preserve">AADHAVAN </t>
  </si>
  <si>
    <t>AADHI BUILDERS</t>
  </si>
  <si>
    <t>VATSHALYA KAushal</t>
  </si>
  <si>
    <t>3 LEVEL STACK PARKING SYSTEM</t>
  </si>
  <si>
    <t>10 UNITS 3CARS EACH</t>
  </si>
  <si>
    <t>Site is not started yet, 
This is the tentative quotations for rate approval based on which further work will be started.</t>
  </si>
  <si>
    <t>Ishan Aalam</t>
  </si>
  <si>
    <t xml:space="preserve">bus parking </t>
  </si>
  <si>
    <t>18 bus parking with puzzle parking setup</t>
  </si>
  <si>
    <t>BUS PARKING</t>
  </si>
  <si>
    <t>Jay Praksh</t>
  </si>
  <si>
    <t>individual</t>
  </si>
  <si>
    <t>just searching, wrong enquiry</t>
  </si>
  <si>
    <t>Dineshkumar/vagini</t>
  </si>
  <si>
    <t>30x10, open space</t>
  </si>
  <si>
    <t>stack paring</t>
  </si>
  <si>
    <t>Sunil Kumar</t>
  </si>
  <si>
    <t>Grand Region</t>
  </si>
  <si>
    <t>50-60</t>
  </si>
  <si>
    <t>kuppusami lhosptila, residency opp</t>
  </si>
  <si>
    <t>sharing drawing, and details,</t>
  </si>
  <si>
    <t>drawing sent on 23.7.26</t>
  </si>
  <si>
    <t>quotation sent on 4.8.26</t>
  </si>
  <si>
    <t>3.8.26</t>
  </si>
  <si>
    <t>Divya Singh</t>
  </si>
  <si>
    <t>by mistake she enquired.</t>
  </si>
  <si>
    <t>#ERROR!</t>
  </si>
  <si>
    <t>chengalpattu</t>
  </si>
  <si>
    <t>pit puzzle</t>
  </si>
  <si>
    <t>vetri</t>
  </si>
  <si>
    <t>Thirumalai</t>
  </si>
  <si>
    <t>Tenkasi</t>
  </si>
  <si>
    <t>wrong no</t>
  </si>
  <si>
    <t>thirusdxb@gmail.com</t>
  </si>
  <si>
    <t>Anilkumar</t>
  </si>
  <si>
    <t>NBCC India Limited</t>
  </si>
  <si>
    <t>73031 48877</t>
  </si>
  <si>
    <t>Quote Send Pit Stack Parking</t>
  </si>
  <si>
    <t>Pit Stack Parking</t>
  </si>
  <si>
    <t>ezhilarasan boobalan</t>
  </si>
  <si>
    <t>IT PARKS</t>
  </si>
  <si>
    <t>CHENNAI, Thiruvanmaiyur</t>
  </si>
  <si>
    <t>AMC</t>
  </si>
  <si>
    <t>PUZZLE PARKING</t>
  </si>
  <si>
    <t>Princy Raja</t>
  </si>
  <si>
    <t>Apartments</t>
  </si>
  <si>
    <t>Mogapiur</t>
  </si>
  <si>
    <t>SIte Visits Planned for 1 Aug 2026</t>
  </si>
  <si>
    <t>JC private limited</t>
  </si>
  <si>
    <t>Quotation sent</t>
  </si>
  <si>
    <t>Sent</t>
  </si>
  <si>
    <t>Two post Stack parking</t>
  </si>
  <si>
    <t>Suresh Natarajan</t>
  </si>
  <si>
    <t>Land &amp; Buildings</t>
  </si>
  <si>
    <t>not reachable</t>
  </si>
  <si>
    <t>Shuttle Robotic Parking</t>
  </si>
  <si>
    <t>Suresh</t>
  </si>
  <si>
    <t>morais developers pvt ltd</t>
  </si>
  <si>
    <t>pit Stack parking</t>
  </si>
  <si>
    <t xml:space="preserve">we Planned for Techincal Meeting at Trichy( next week Aug 3rd to Aug 8th) </t>
  </si>
  <si>
    <t>Ramasami.K</t>
  </si>
  <si>
    <t>Farmer,Real&amp;finance consultant and social activist</t>
  </si>
  <si>
    <t>+919360581961</t>
  </si>
  <si>
    <t xml:space="preserve">Tiruvannamalai </t>
  </si>
  <si>
    <t>100 to 500</t>
  </si>
  <si>
    <t>Just Consultant</t>
  </si>
  <si>
    <t>Andrew</t>
  </si>
  <si>
    <t>Eden</t>
  </si>
  <si>
    <t>+9196770 95077</t>
  </si>
  <si>
    <t>90 x 45 , 90 side road, 50 cars to be parked</t>
  </si>
  <si>
    <t>NSM: 6/8 - Sent layout and detailed drawings thru whatsup - Puzzle parking 11 columns x 5 Rowas - 48 to 51 cars.</t>
  </si>
  <si>
    <t>asking drawing. he said will come back</t>
  </si>
  <si>
    <t>ramakrishnan</t>
  </si>
  <si>
    <t>kepler consulting</t>
  </si>
  <si>
    <t>chennai- Senoy Nagar</t>
  </si>
  <si>
    <t>stall</t>
  </si>
  <si>
    <t xml:space="preserve">came to stall, archith spoke </t>
  </si>
  <si>
    <t>Others</t>
  </si>
  <si>
    <t>chennai - medavakkam</t>
  </si>
  <si>
    <t>Waiting for drg from client</t>
  </si>
  <si>
    <t>Anumesh</t>
  </si>
  <si>
    <t>madurai</t>
  </si>
  <si>
    <t>stack Parking</t>
  </si>
  <si>
    <t>Ajith sent quote</t>
  </si>
  <si>
    <t>Jeya Prakash</t>
  </si>
  <si>
    <t>foxmandal &amp; Associates</t>
  </si>
  <si>
    <t>Sankaran RamaMurthy</t>
  </si>
  <si>
    <t>Thiruvannamalai</t>
  </si>
  <si>
    <t>90x80 ft open space - 90 side entry/exit - how many cars can park stacker car parking</t>
  </si>
  <si>
    <t>20 units stack drawing need to send</t>
  </si>
  <si>
    <t>Sukumar</t>
  </si>
  <si>
    <t>smart home technologies</t>
  </si>
  <si>
    <t>Ask us to send our product details thru whatsup. He will update about no of cars required aqnd available size.</t>
  </si>
  <si>
    <t>details shared in whatsapp by kanchana</t>
  </si>
  <si>
    <t>9,00,000
73,50,0000</t>
  </si>
  <si>
    <t>Yogavendhan Manohar</t>
  </si>
  <si>
    <t>Manoj oil corporation</t>
  </si>
  <si>
    <t>zaaaaaz</t>
  </si>
  <si>
    <t>Waiting for layout from Thiru</t>
  </si>
  <si>
    <t>option 1 - 5 units 1.80 lakhs
opiton-2 puzzle -25-4 - 21 cars @ 3.5 lakhs per car</t>
  </si>
  <si>
    <t>quote and drawing need to send</t>
  </si>
  <si>
    <t>MURUGAIYAN V</t>
  </si>
  <si>
    <t>Not Applicable</t>
  </si>
  <si>
    <t>CHIDAMBARAM 608 001</t>
  </si>
  <si>
    <t>kanchipuram</t>
  </si>
  <si>
    <t>consultant, with vacant land.</t>
  </si>
  <si>
    <t>Mohamed Aathif</t>
  </si>
  <si>
    <t>ramnad</t>
  </si>
  <si>
    <t>Santhanakrishnan</t>
  </si>
  <si>
    <t>disconnecting call</t>
  </si>
  <si>
    <t>Chirag kapoor</t>
  </si>
  <si>
    <t>Chennai, Annanager</t>
  </si>
  <si>
    <t>NSM: 6/8: Introduction and, Brouchure, estar presentation videos sent thru whatsup on 6th Aug.</t>
  </si>
  <si>
    <t xml:space="preserve">details shared in wa
resent. </t>
  </si>
  <si>
    <t>Navalkodi</t>
  </si>
  <si>
    <t>Sudha</t>
  </si>
  <si>
    <t>Jaisabareesan</t>
  </si>
  <si>
    <t>Titan Engineering  &amp; Automation Limited</t>
  </si>
  <si>
    <t>sent details in WHATSAPP</t>
  </si>
  <si>
    <t xml:space="preserve">Sreerag, </t>
  </si>
  <si>
    <t>Tristar</t>
  </si>
  <si>
    <t>Kozhikode</t>
  </si>
  <si>
    <t>sent reply email, shared details in whatapp</t>
  </si>
  <si>
    <t xml:space="preserve">10 suv, </t>
  </si>
  <si>
    <t>Chettinadu Hotel</t>
  </si>
  <si>
    <t>no space</t>
  </si>
  <si>
    <t>Aravind varuna Associates</t>
  </si>
  <si>
    <t>Anna nagar</t>
  </si>
  <si>
    <t>stacker and side tower parking</t>
  </si>
  <si>
    <t>Tower parking</t>
  </si>
  <si>
    <t>ved</t>
  </si>
  <si>
    <t>SRK Tele Energy India Pvt Ltd</t>
  </si>
  <si>
    <t>details shared</t>
  </si>
  <si>
    <t>vedprakash@flexsol.in</t>
  </si>
  <si>
    <t>Mohsin</t>
  </si>
  <si>
    <t>service enquiry, not relavant</t>
  </si>
  <si>
    <t>spam call</t>
  </si>
  <si>
    <t>tamscorpion@ymail.com</t>
  </si>
  <si>
    <t>Subham Ydhav</t>
  </si>
  <si>
    <t>Residential community</t>
  </si>
  <si>
    <t>asked details, in whatsapp</t>
  </si>
  <si>
    <t>Kumarappan</t>
  </si>
  <si>
    <t>Commercial purpose</t>
  </si>
  <si>
    <t>98408 94601</t>
  </si>
  <si>
    <t>Ambattr, chenna-</t>
  </si>
  <si>
    <t>4+1</t>
  </si>
  <si>
    <t>Shuttle Parking</t>
  </si>
  <si>
    <t>spoke and schedule for visit</t>
  </si>
  <si>
    <t>Next followup Saturday 23-08-2026</t>
  </si>
  <si>
    <t>visted on 6th aug, measurement taken</t>
  </si>
  <si>
    <t>sending quote, 7th aug</t>
  </si>
  <si>
    <t>Expo/Stall</t>
  </si>
  <si>
    <t>Gouse Mohideen</t>
  </si>
  <si>
    <t>Shopping Mall</t>
  </si>
  <si>
    <t>need Proposal &amp; Quote</t>
  </si>
  <si>
    <t>Kumaresan</t>
  </si>
  <si>
    <t>Hospital</t>
  </si>
  <si>
    <t>Ambattur</t>
  </si>
  <si>
    <t>given quote for stack parking, 5 units</t>
  </si>
  <si>
    <t>SELC</t>
  </si>
  <si>
    <t>will confir once she discuss with team</t>
  </si>
  <si>
    <t>Velraj</t>
  </si>
  <si>
    <t>Lakshmi Electrical Steels</t>
  </si>
  <si>
    <t>ASRS enquiry, he has sent photos,told, will check</t>
  </si>
  <si>
    <t>Sundaresan kumaresan</t>
  </si>
  <si>
    <t>Thangam Builders</t>
  </si>
  <si>
    <t>he is in meeting, will cal lback</t>
  </si>
  <si>
    <t>Rajendran</t>
  </si>
  <si>
    <t>Stack Parking System</t>
  </si>
  <si>
    <t xml:space="preserve">project,engineer, </t>
  </si>
  <si>
    <t>Anto Ak</t>
  </si>
  <si>
    <t>Carzonwheelzautohub</t>
  </si>
  <si>
    <t>Thiruvananthapuram</t>
  </si>
  <si>
    <t xml:space="preserve">9k sqft, 30 to 50 cars already,  </t>
  </si>
  <si>
    <t>Rajendrakumar</t>
  </si>
  <si>
    <t>nicmax attur</t>
  </si>
  <si>
    <t>919894341757/9894740155</t>
  </si>
  <si>
    <t>Attur</t>
  </si>
  <si>
    <t>chromeept model, shuttle parking</t>
  </si>
  <si>
    <t>The space we have is 50ftx45 ft. Road face is 50ft.
Share t budget for 130 Cars parking Model 2.</t>
  </si>
  <si>
    <t>Kodiswaran MS/Jaisabareesan</t>
  </si>
  <si>
    <t>Titan company</t>
  </si>
  <si>
    <t>Shuttle parking system</t>
  </si>
  <si>
    <t>have shared details in wa</t>
  </si>
  <si>
    <t>1.8.26</t>
  </si>
  <si>
    <t>Raj Kumar</t>
  </si>
  <si>
    <t>Sri venkateswara suppliers</t>
  </si>
  <si>
    <t>Mayilauthurai</t>
  </si>
  <si>
    <t>Musthafa Cameo</t>
  </si>
  <si>
    <t>CAMEO ARTS</t>
  </si>
  <si>
    <t>just consultation</t>
  </si>
  <si>
    <t>Sathish Kumarr</t>
  </si>
  <si>
    <t>Ootacamund (Ooty)</t>
  </si>
  <si>
    <t>Kumar Muni</t>
  </si>
  <si>
    <t>S P S Head Sales and Operations</t>
  </si>
  <si>
    <t>need 100 stack parking, will share drawing</t>
  </si>
  <si>
    <t>Kumanan Loganathan</t>
  </si>
  <si>
    <t>vellore</t>
  </si>
  <si>
    <t>Suresh Babu Venkatachalam</t>
  </si>
  <si>
    <t>Rustoppers</t>
  </si>
  <si>
    <t>Faisal Ahamed iqbal</t>
  </si>
  <si>
    <t>Business Owner</t>
  </si>
  <si>
    <t>600, 1000 sq.ft. 10, cars, looking for hotel, details shared in wa</t>
  </si>
  <si>
    <t>KAVI SEEMAN</t>
  </si>
  <si>
    <t>details shared, and tried calling</t>
  </si>
  <si>
    <t>Ahmed Asvak</t>
  </si>
  <si>
    <t>Pollachi</t>
  </si>
  <si>
    <t>4 to 6</t>
  </si>
  <si>
    <t>4 post car parking</t>
  </si>
  <si>
    <t>22x22 ft, puzzle parking, given quote for puzzhle and stack parking</t>
  </si>
  <si>
    <t>Senthilnathan</t>
  </si>
  <si>
    <t>k2b family restaurant</t>
  </si>
  <si>
    <t>+919842846123</t>
  </si>
  <si>
    <t>KALLAKURICHI</t>
  </si>
  <si>
    <t>Govardhanan Naickenpalayam Ramanathan</t>
  </si>
  <si>
    <t>Tamil Nadu Forest department.Chennai</t>
  </si>
  <si>
    <t>+919444211252</t>
  </si>
  <si>
    <t>four</t>
  </si>
  <si>
    <t>Suretech Automachine Private Limited</t>
  </si>
  <si>
    <t>+919677726967</t>
  </si>
  <si>
    <t>pondicherry</t>
  </si>
  <si>
    <t>This is govt project</t>
  </si>
  <si>
    <t>V. Gajendran</t>
  </si>
  <si>
    <t>home for chicķen</t>
  </si>
  <si>
    <t>+917299960001</t>
  </si>
  <si>
    <t>Tiruvallur</t>
  </si>
  <si>
    <t xml:space="preserve">bike 50 </t>
  </si>
  <si>
    <t>Alwyn</t>
  </si>
  <si>
    <t>Iva infrastructure</t>
  </si>
  <si>
    <t>+918148204774</t>
  </si>
  <si>
    <t>Devinder Singh</t>
  </si>
  <si>
    <t>Hotel Livin Square</t>
  </si>
  <si>
    <t>+919850065006</t>
  </si>
  <si>
    <t>Nashik</t>
  </si>
  <si>
    <t>11-50</t>
  </si>
  <si>
    <t>Akbar Hussain</t>
  </si>
  <si>
    <t>Govt licence Electrical Contractor</t>
  </si>
  <si>
    <t>+918099777788</t>
  </si>
  <si>
    <t>Atul Jain</t>
  </si>
  <si>
    <t>personal</t>
  </si>
  <si>
    <t>+919953489968</t>
  </si>
  <si>
    <t>9</t>
  </si>
  <si>
    <t>Punnoose Andrews</t>
  </si>
  <si>
    <t>Nanthiat Builders</t>
  </si>
  <si>
    <t>+9193495 03683</t>
  </si>
  <si>
    <t>plannig stage</t>
  </si>
  <si>
    <t>shared details in whatsapp, not immediate</t>
  </si>
  <si>
    <t>Jude Bernard B</t>
  </si>
  <si>
    <t>yourbroker.in</t>
  </si>
  <si>
    <t>+919367921320</t>
  </si>
  <si>
    <t>Dindigul</t>
  </si>
  <si>
    <t>Pathiyat Ramakrishnan</t>
  </si>
  <si>
    <t>Karp real estate</t>
  </si>
  <si>
    <t>+919880001500</t>
  </si>
  <si>
    <t>Palghat</t>
  </si>
  <si>
    <t>Varatharajan</t>
  </si>
  <si>
    <t>dosa infinity</t>
  </si>
  <si>
    <t>+919843578078</t>
  </si>
  <si>
    <t>Perambalur</t>
  </si>
  <si>
    <t>SAHITH K</t>
  </si>
  <si>
    <t>kerala, guruvayur</t>
  </si>
  <si>
    <t>designing stage</t>
  </si>
  <si>
    <t xml:space="preserve">commericla building, designing stage. asked rotary, convinced for other model, aksed for dimentions, </t>
  </si>
  <si>
    <t>Bhuvaneshwar architect</t>
  </si>
  <si>
    <t xml:space="preserve">Decathlon
</t>
  </si>
  <si>
    <t>thiruppur</t>
  </si>
  <si>
    <t>6 level tower Parking</t>
  </si>
  <si>
    <t>13.08.2026</t>
  </si>
  <si>
    <t>veeramani, archit- ME</t>
  </si>
  <si>
    <t>dharmapuri</t>
  </si>
  <si>
    <t>pit puzzle drawing</t>
  </si>
  <si>
    <t>designing stage, for hospital project, drawing will be shared by eve.</t>
  </si>
  <si>
    <t>Ayub Khan</t>
  </si>
  <si>
    <t>Chetpet</t>
  </si>
  <si>
    <t>Quote Send</t>
  </si>
  <si>
    <t>13.8.2026</t>
  </si>
  <si>
    <t>Natwest Chadrasekhan</t>
  </si>
  <si>
    <t>Natwest</t>
  </si>
  <si>
    <t>98409 65105</t>
  </si>
  <si>
    <t>Chennai,West mamabalam</t>
  </si>
  <si>
    <t>6 car [arkomg, no dependency
already sent drawing</t>
  </si>
  <si>
    <t>technical team told, not feasible with this size</t>
  </si>
  <si>
    <t>Ramalingam</t>
  </si>
  <si>
    <t>Birlliant Engg.</t>
  </si>
  <si>
    <t>98418 13589</t>
  </si>
  <si>
    <t>Aashish kumar</t>
  </si>
  <si>
    <t>Somit Finance</t>
  </si>
  <si>
    <t xml:space="preserve"> 99587 44339</t>
  </si>
  <si>
    <t>New Delhi</t>
  </si>
  <si>
    <t>Puzzle parking</t>
  </si>
  <si>
    <t>commercial project, asking us to visit the office.</t>
  </si>
  <si>
    <t>venugopal</t>
  </si>
  <si>
    <t>Quote sent</t>
  </si>
  <si>
    <t>14.8.2026</t>
  </si>
  <si>
    <t>Wyyuru Amarnath</t>
  </si>
  <si>
    <t>Sai Invent Consultancy</t>
  </si>
  <si>
    <t>Karthik Rajan</t>
  </si>
  <si>
    <t>house</t>
  </si>
  <si>
    <t>commercial, rental, space. 3k sq.ft. approx. budget 5 lakhs</t>
  </si>
  <si>
    <t>Gala</t>
  </si>
  <si>
    <t>Laxmi Construction Co.</t>
  </si>
  <si>
    <t>Prem basheer</t>
  </si>
  <si>
    <t>Uma garments</t>
  </si>
  <si>
    <t>Yes</t>
  </si>
  <si>
    <t>DrRaj Kiran Mbbs</t>
  </si>
  <si>
    <t>RK</t>
  </si>
  <si>
    <t>Vengikkal</t>
  </si>
  <si>
    <t>Wrong entry</t>
  </si>
  <si>
    <t>15.8.2026</t>
  </si>
  <si>
    <t>krish</t>
  </si>
  <si>
    <t>my residence</t>
  </si>
  <si>
    <t>6</t>
  </si>
  <si>
    <t>send</t>
  </si>
  <si>
    <t>Yuva Raj</t>
  </si>
  <si>
    <t>RNR, Details shared in whatsapp</t>
  </si>
  <si>
    <t>Paulraj Paul</t>
  </si>
  <si>
    <t>Pdm infra</t>
  </si>
  <si>
    <t>1-10</t>
  </si>
  <si>
    <t>Sketchify</t>
  </si>
  <si>
    <t>Infosys</t>
  </si>
  <si>
    <t>Cbe</t>
  </si>
  <si>
    <t>12</t>
  </si>
  <si>
    <t>spoke, asked me to share details in whatssa, will call back by 4 clk.</t>
  </si>
  <si>
    <t>YM Reddy</t>
  </si>
  <si>
    <t>they told not enquired.</t>
  </si>
  <si>
    <t>Prashanth Gokulanathan</t>
  </si>
  <si>
    <t>vinayaka Mission University Medical college Hospital , Salem</t>
  </si>
  <si>
    <t xml:space="preserve">Hotel Ramana Towers, At present 30 surface parking avaialble </t>
  </si>
  <si>
    <t>Paulose A</t>
  </si>
  <si>
    <t>RESIDENCE</t>
  </si>
  <si>
    <t xml:space="preserve">12 to 13 ft
hight - 11 ft. 
gate is 4 ft. above. lift is needed. </t>
  </si>
  <si>
    <t>shceduled for visit</t>
  </si>
  <si>
    <t>Dhiliepan Venkatasan</t>
  </si>
  <si>
    <t>Vanangaaman Security Service</t>
  </si>
  <si>
    <t xml:space="preserve">details shared </t>
  </si>
  <si>
    <t>16.8.2026</t>
  </si>
  <si>
    <t>Arun</t>
  </si>
  <si>
    <t>Jeyam enterprises</t>
  </si>
  <si>
    <t>Syed Anszary</t>
  </si>
  <si>
    <t>Casagrand</t>
  </si>
  <si>
    <t xml:space="preserve">call cut, </t>
  </si>
  <si>
    <t>Vignesh s</t>
  </si>
  <si>
    <t>Maintenance Engineer</t>
  </si>
  <si>
    <t>Aranthangi</t>
  </si>
  <si>
    <t>Rajinikanthan K</t>
  </si>
  <si>
    <t>Karlstorz Endoscopy care India Pvt ltd</t>
  </si>
  <si>
    <t>Call after two days</t>
  </si>
  <si>
    <t>Periyasamy A / Aaavindan</t>
  </si>
  <si>
    <t>Royal motors</t>
  </si>
  <si>
    <t>30 cars</t>
  </si>
  <si>
    <t xml:space="preserve">commercial building, rotary 10 -12 nos,stack parking 6 to 7 units, basement, </t>
  </si>
  <si>
    <t>quotation sent on 18.8.26</t>
  </si>
  <si>
    <t>Dinesh Kumar</t>
  </si>
  <si>
    <t>SVL</t>
  </si>
  <si>
    <t>Chennai, 
T nagar</t>
  </si>
  <si>
    <t>18 cars</t>
  </si>
  <si>
    <t>planni stage, 9 cars. 4.25 height space available, quote given</t>
  </si>
  <si>
    <t>18/8, once get approval will come back</t>
  </si>
  <si>
    <t>Visakarajan</t>
  </si>
  <si>
    <t>Sorgam Homes</t>
  </si>
  <si>
    <t>Mamallapuram</t>
  </si>
  <si>
    <t>4 car</t>
  </si>
  <si>
    <t>15x15 ft- each car, open area.</t>
  </si>
  <si>
    <t>17.8.2026</t>
  </si>
  <si>
    <t>DEVA MANI</t>
  </si>
  <si>
    <t>Murugappa Groups</t>
  </si>
  <si>
    <t>250, PONNERI</t>
  </si>
  <si>
    <t>MOHAMMED</t>
  </si>
  <si>
    <t>AFTER 8 MONTHS UNDER CONSTRUCTIONS ONLY</t>
  </si>
  <si>
    <t>stilt, 1+1, 6 units,  basement stage, will share drawing</t>
  </si>
  <si>
    <t>david</t>
  </si>
  <si>
    <t>already running parking business</t>
  </si>
  <si>
    <t>RNR, not responding</t>
  </si>
  <si>
    <t>Syed Asif</t>
  </si>
  <si>
    <t xml:space="preserve">Interested. in planning stage to construct a MArriage hall. </t>
  </si>
  <si>
    <t>Kolathur, Planning stage - 1+1 - 2 post and 4 post how many and cost. Also need a lift with passenger can take it into stilt lvl and park it. cost required.</t>
  </si>
  <si>
    <t>KHAISAR YAS</t>
  </si>
  <si>
    <t>KAUVERY HOSPITAL</t>
  </si>
  <si>
    <t>Visited site by Sundaram, Rajesh, Karthick. Proposal to be submitted soon</t>
  </si>
  <si>
    <t>Quote Given to Deepak for 17 units of stacker. Followup going on</t>
  </si>
  <si>
    <t>18.8.2026</t>
  </si>
  <si>
    <t>Bashkar Manavalan</t>
  </si>
  <si>
    <t>Hindustan Motors</t>
  </si>
  <si>
    <t>Stacker - Ground hollow block.</t>
  </si>
  <si>
    <t>NSM24/8: Photos sent. Quote to be send</t>
  </si>
  <si>
    <t>Pavan Voora</t>
  </si>
  <si>
    <t>voora group</t>
  </si>
  <si>
    <t>ambattur, IT PARK</t>
  </si>
  <si>
    <t>spoke with MD, want for ambattur project, details share din wa, he said will share drawing in email and come back.</t>
  </si>
  <si>
    <t>pavanvoora@voora.co.in</t>
  </si>
  <si>
    <t>Shubham KMart</t>
  </si>
  <si>
    <t>Raipur</t>
  </si>
  <si>
    <t>Need Quote</t>
  </si>
  <si>
    <t>Vasuda Karnani</t>
  </si>
  <si>
    <t>ARCHITECT</t>
  </si>
  <si>
    <t>DELHI</t>
  </si>
  <si>
    <t>SHUTTLE</t>
  </si>
  <si>
    <t>SITE GOA, PLANNING STAGE</t>
  </si>
  <si>
    <t>WE SUGGEST CHROMPET TYPE MODEL</t>
  </si>
  <si>
    <t>karipaka kiran  kumar</t>
  </si>
  <si>
    <t>Anna Nagar</t>
  </si>
  <si>
    <t>Puzzle Parking</t>
  </si>
  <si>
    <t xml:space="preserve">Need Puzzle Parking Drawing Approval Purpose </t>
  </si>
  <si>
    <t>19.8.2026</t>
  </si>
  <si>
    <t>Saravana</t>
  </si>
  <si>
    <t>RTP</t>
  </si>
  <si>
    <t>under_₹10_lakhs</t>
  </si>
  <si>
    <t xml:space="preserve">perambur, tvk nagar, 20x60 length, commerical rental. land owner. 20 ft road.  open space. </t>
  </si>
  <si>
    <t>Deva Bigboss</t>
  </si>
  <si>
    <t>SRI Saravanavels Driving School</t>
  </si>
  <si>
    <t>Call me</t>
  </si>
  <si>
    <t>Need Site Visit</t>
  </si>
  <si>
    <t>The Chennai Silks</t>
  </si>
  <si>
    <t>Hospitals</t>
  </si>
  <si>
    <t>vaasal Architect</t>
  </si>
  <si>
    <t>thiruchendur</t>
  </si>
  <si>
    <t xml:space="preserve">tower car parking, approval satge, building hight. will discuss with client and come back, sharing email id, they will send drawing. </t>
  </si>
  <si>
    <t>PRAKASH  MATH</t>
  </si>
  <si>
    <t>TATA MOTORS</t>
  </si>
  <si>
    <t>PUNE</t>
  </si>
  <si>
    <t>Ekand</t>
  </si>
  <si>
    <t>Ambika Caliber Infra LLP</t>
  </si>
  <si>
    <t xml:space="preserve">Quote send  </t>
  </si>
  <si>
    <t>Senthilkumaran</t>
  </si>
  <si>
    <t xml:space="preserve">Aadhavan </t>
  </si>
  <si>
    <t>Vijayaraja Developers</t>
  </si>
  <si>
    <t>Muttukadu</t>
  </si>
  <si>
    <t>shuttle parking</t>
  </si>
  <si>
    <t>details shared in whatsaap</t>
  </si>
  <si>
    <t>JSW</t>
  </si>
  <si>
    <t>TASK Inc</t>
  </si>
  <si>
    <t>Stack parking</t>
  </si>
  <si>
    <t>Call on 27th Thursday for further discussion</t>
  </si>
  <si>
    <t>20.8.2026</t>
  </si>
  <si>
    <t>Siva</t>
  </si>
  <si>
    <t>Anand Theatre</t>
  </si>
  <si>
    <t>20 +</t>
  </si>
  <si>
    <t>no_idea_-_i_need_a_quote</t>
  </si>
  <si>
    <t>Kamya</t>
  </si>
  <si>
    <t>Burmas &amp; Co</t>
  </si>
  <si>
    <t>Gudiyatam</t>
  </si>
  <si>
    <t>97</t>
  </si>
  <si>
    <t>₹25–50_lakhs</t>
  </si>
  <si>
    <t>LINE BUSY</t>
  </si>
  <si>
    <t>Kamalesh Rajan@3gmail.com</t>
  </si>
  <si>
    <t>MRK industries</t>
  </si>
  <si>
    <t>Shafak Thaika</t>
  </si>
  <si>
    <t>Pit Stack Parking System</t>
  </si>
  <si>
    <t>The current architectural direction is Partial Stilt + 4 commercial floors, with the overall building height to remain within 18.30 m. The current working planning setbacks for the preliminary study are: West / South Usman Road: 4.50 m,North / Damodaran Street: 3.00 m,East: 3.00 m,South: 3.00 m</t>
  </si>
  <si>
    <t>14 mtrs. fllor g+3, basemetn hight.</t>
  </si>
  <si>
    <t>shafakt@gmail.com</t>
  </si>
  <si>
    <t>Ananthi</t>
  </si>
  <si>
    <t>planning stage</t>
  </si>
  <si>
    <t>they went to aproval, so they asking quote and drawing for approval purpose</t>
  </si>
  <si>
    <t xml:space="preserve">JAGDISH </t>
  </si>
  <si>
    <t>CHANDRASHEKAHAR</t>
  </si>
  <si>
    <t>DEEPAK PATIL</t>
  </si>
  <si>
    <t>Hotel</t>
  </si>
  <si>
    <t>Estar Brouchure sent. Will talk to him on WEdnesday.</t>
  </si>
  <si>
    <t>Will be  decide after 2nd round of discussion.</t>
  </si>
  <si>
    <t>RAJENDRA</t>
  </si>
  <si>
    <t>vertical &amp; stack parking</t>
  </si>
  <si>
    <t>21.8.2026</t>
  </si>
  <si>
    <t xml:space="preserve">Murugan </t>
  </si>
  <si>
    <t>22.8.2026</t>
  </si>
  <si>
    <t>GANI IQBAL</t>
  </si>
  <si>
    <t>LKS GOLD HAVEN</t>
  </si>
  <si>
    <t>We need a parking solution for both bike and car parking. Please visit: https://maps.app.goo.gl/KeRvTeDA5NnWQSWP9?g_st=am</t>
  </si>
  <si>
    <t>Visited site NSM and Karthi on 27th Aug and gave options1 &amp; 2 with layouts and quotes. NSM following with Client.</t>
  </si>
  <si>
    <t>24.8.2026</t>
  </si>
  <si>
    <t>Murugan</t>
  </si>
  <si>
    <t>Bhargav Associates / Velammal Hospital</t>
  </si>
  <si>
    <t>25.8.2026</t>
  </si>
  <si>
    <t>Venkatesh K</t>
  </si>
  <si>
    <t>P G Sivakumar &amp; Associates</t>
  </si>
  <si>
    <t>all ready work With Equitas Hospital looking For new Commercial Building , approval stage</t>
  </si>
  <si>
    <t>Praveen</t>
  </si>
  <si>
    <t>26.8.2026</t>
  </si>
  <si>
    <t>Stepstone</t>
  </si>
  <si>
    <t>Mangadu</t>
  </si>
  <si>
    <t>Site Visit Complete ,Quote send</t>
  </si>
  <si>
    <t>Raghu</t>
  </si>
  <si>
    <t>Shasti Groups</t>
  </si>
  <si>
    <t>Multi Level Stack Parking</t>
  </si>
  <si>
    <t>raghup1995@gmail.com</t>
  </si>
  <si>
    <t>27.8.2026</t>
  </si>
  <si>
    <t>bharani</t>
  </si>
  <si>
    <t>bharani wedding hall</t>
  </si>
  <si>
    <t>Ragu</t>
  </si>
  <si>
    <t>28.8.2026</t>
  </si>
  <si>
    <t>Ranjana Priyadarshini</t>
  </si>
  <si>
    <t>Govt Project - Tender Uniqcore Construction India Pvt Ltd CMRL</t>
  </si>
  <si>
    <t>Arumpakkam</t>
  </si>
  <si>
    <t>Metro</t>
  </si>
  <si>
    <t>Hari Balaji S V</t>
  </si>
  <si>
    <t>Chennai Ambattur</t>
  </si>
  <si>
    <t>Vignesh Thangavel</t>
  </si>
  <si>
    <t xml:space="preserve"> Govt Project - Tender (Dhanam infra) CMRL</t>
  </si>
  <si>
    <t>metro</t>
  </si>
  <si>
    <t>Quote sent on 1 sep 2026</t>
  </si>
  <si>
    <t>31-08-2026</t>
  </si>
  <si>
    <t>Ajay Kumar</t>
  </si>
  <si>
    <t>Surya Prakash</t>
  </si>
  <si>
    <t>north india</t>
  </si>
  <si>
    <t>open space, need more than 100cars</t>
  </si>
  <si>
    <t>Raghul</t>
  </si>
  <si>
    <t>REFER ENQUIRIES MAIL, THEY SAID DETAILS IN MAIL</t>
  </si>
  <si>
    <t>Pratik</t>
  </si>
  <si>
    <t>Stack Parkihg Quote</t>
  </si>
  <si>
    <t>Prabhat Kutty</t>
  </si>
  <si>
    <t xml:space="preserve">CG Group -8129777799 - abijith. </t>
  </si>
  <si>
    <t>Palakkad</t>
  </si>
  <si>
    <t xml:space="preserve">open space, vertical parking system. </t>
  </si>
  <si>
    <t xml:space="preserve">2 parking system. </t>
  </si>
  <si>
    <t>Selva</t>
  </si>
  <si>
    <t>multi level stack parking</t>
  </si>
  <si>
    <t>31.08.2026</t>
  </si>
  <si>
    <t>Senthil kumar</t>
  </si>
  <si>
    <t>Kundrathur</t>
  </si>
  <si>
    <t>vertical Tower Parking /Rotary Parking</t>
  </si>
  <si>
    <t>shah shaifi</t>
  </si>
  <si>
    <t xml:space="preserve"> virunthavan</t>
  </si>
  <si>
    <t>1.9.2026</t>
  </si>
  <si>
    <t>M.K. Anand</t>
  </si>
  <si>
    <t>See Change Consulting</t>
  </si>
  <si>
    <t>94440 25283</t>
  </si>
  <si>
    <t>Chennai Chromepet</t>
  </si>
  <si>
    <t>stack parking 1+1 - 1 unit</t>
  </si>
  <si>
    <t xml:space="preserve">already in followup, need to visit site. </t>
  </si>
  <si>
    <t>Abdullah</t>
  </si>
  <si>
    <t>Architect</t>
  </si>
  <si>
    <t>Chennai Chetpet</t>
  </si>
  <si>
    <t xml:space="preserve">open space, next to transformer so aske us to check feasiboity. </t>
  </si>
  <si>
    <t>Prashabth</t>
  </si>
  <si>
    <t>chennai, Adyar</t>
  </si>
  <si>
    <t>15-20</t>
  </si>
  <si>
    <t>madhya kailash - adyar. resident. 
width, 2.4 mtrs. lengh 4 mtrs, open space. 
90 flats. open parking and stilt, 15 cars open parking, stilt-3 can do it. 15 to 20</t>
  </si>
  <si>
    <t>mohammed ajmal</t>
  </si>
  <si>
    <t>kolkatta</t>
  </si>
  <si>
    <t>vijay bhaskar</t>
  </si>
  <si>
    <t>thoshi builder</t>
  </si>
  <si>
    <t>Bridge and Roof</t>
  </si>
  <si>
    <t>Bridge and roof -  CMRL</t>
  </si>
  <si>
    <t>2.9.2026</t>
  </si>
  <si>
    <t>Prabhakar</t>
  </si>
  <si>
    <t>Raheja Tower</t>
  </si>
  <si>
    <t>98416 05271</t>
  </si>
  <si>
    <t>urgent requirement</t>
  </si>
  <si>
    <t>asking us to visit the site today itself. urgent requirement</t>
  </si>
  <si>
    <t>visited on 3.9.26</t>
  </si>
  <si>
    <t>saravanan</t>
  </si>
  <si>
    <t>Consultant</t>
  </si>
  <si>
    <t>3.9.2026</t>
  </si>
  <si>
    <t>ramanathan/srividya</t>
  </si>
  <si>
    <t xml:space="preserve">open space, pammal, </t>
  </si>
  <si>
    <t>asked us to viit site on monday</t>
  </si>
  <si>
    <t xml:space="preserve">SRI GANESHKUMAR CONSTRUCTIONS
</t>
  </si>
  <si>
    <t>Request  for Quote</t>
  </si>
  <si>
    <t>sent reply mail for contact no.</t>
  </si>
  <si>
    <t>Kiran Techo Service Pvt Ltd</t>
  </si>
  <si>
    <t xml:space="preserve">Prakash </t>
  </si>
  <si>
    <t xml:space="preserve">sent dimensions, need to check. </t>
  </si>
  <si>
    <t>`</t>
  </si>
  <si>
    <t>``</t>
  </si>
  <si>
    <t>Surya Babu</t>
  </si>
  <si>
    <t>Telangana</t>
  </si>
  <si>
    <t>4 post stack parking</t>
  </si>
  <si>
    <t>will call back soon</t>
  </si>
  <si>
    <t>Harsh</t>
  </si>
  <si>
    <t>Kozhikody</t>
  </si>
  <si>
    <t>shared details in wa</t>
  </si>
  <si>
    <t>Nana Malik</t>
  </si>
  <si>
    <t>pathinamthitta</t>
  </si>
  <si>
    <t>4.9.2026</t>
  </si>
  <si>
    <t>K G S Technology</t>
  </si>
  <si>
    <t>Velacherry</t>
  </si>
  <si>
    <t>Sarath Kumar, Karuppaiya</t>
  </si>
  <si>
    <t>Commercial</t>
  </si>
  <si>
    <t>Tharamani</t>
  </si>
  <si>
    <t>Need Quote for Puzzle Parking</t>
  </si>
  <si>
    <t xml:space="preserve">Sarath </t>
  </si>
  <si>
    <t>Aachi Masala</t>
  </si>
  <si>
    <t>5.9.2026</t>
  </si>
  <si>
    <t>Sama</t>
  </si>
  <si>
    <t>Vijay Lakshmi Metal</t>
  </si>
  <si>
    <t>7.9.2026</t>
  </si>
  <si>
    <t>kugan</t>
  </si>
  <si>
    <t>justin</t>
  </si>
  <si>
    <t>Ramya</t>
  </si>
  <si>
    <t xml:space="preserve">Govt project Tender </t>
  </si>
  <si>
    <t>arumbakkam</t>
  </si>
  <si>
    <t>Pranay</t>
  </si>
  <si>
    <t>not responidng, RNR</t>
  </si>
  <si>
    <t>DHANUSH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</si>
</sst>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dd\.mm\.yyyy"/>
  </numFmts>
  <fonts count="29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rgb="FF1A2744"/>
      <name val="Arial"/>
    </font>
    <font>
      <sz val="11"/>
      <color rgb="FF1A2744"/>
      <name val="Arial"/>
    </font>
    <font>
      <u/>
      <sz val="11"/>
      <color rgb="FF1A2744"/>
      <name val="Arial"/>
    </font>
    <font>
      <b/>
      <sz val="11"/>
      <color rgb="FFB71C1C"/>
      <name val="Arial"/>
    </font>
    <font>
      <sz val="11"/>
      <color rgb="FFB71C1C"/>
      <name val="Arial"/>
    </font>
    <font>
      <sz val="11"/>
      <color theme="1"/>
      <name val="Calibri"/>
    </font>
    <font>
      <u/>
      <sz val="11"/>
      <color rgb="FF0000FF"/>
      <name val="Arial"/>
    </font>
    <font>
      <sz val="10"/>
      <color theme="1"/>
      <name val="Arial"/>
    </font>
    <font>
      <b/>
      <sz val="11"/>
      <color rgb="FF1B5E20"/>
      <name val="Arial"/>
    </font>
    <font>
      <sz val="11"/>
      <color rgb="FF1B5E20"/>
      <name val="Arial"/>
    </font>
    <font>
      <b/>
      <sz val="11"/>
      <color rgb="FF1E8449"/>
      <name val="Arial"/>
    </font>
    <font>
      <sz val="11"/>
      <color rgb="FF1E8449"/>
      <name val="Arial"/>
    </font>
    <font>
      <u/>
      <sz val="11"/>
      <color rgb="FF1E8449"/>
      <name val="Arial"/>
    </font>
    <font>
      <sz val="10"/>
      <color rgb="FF000000"/>
      <name val="Arial"/>
    </font>
    <font>
      <u/>
      <sz val="11"/>
      <color theme="1"/>
      <name val="Calibri"/>
    </font>
    <font>
      <sz val="11"/>
      <color rgb="FF333333"/>
      <name val="Arial"/>
    </font>
    <font>
      <sz val="11"/>
      <color rgb="FF000000"/>
      <name val="Calibri"/>
    </font>
    <font>
      <sz val="11"/>
      <color theme="1"/>
      <name val="Arial"/>
    </font>
    <font>
      <sz val="11"/>
      <color rgb="FF1C2B33"/>
      <name val="Arial"/>
    </font>
    <font>
      <sz val="11"/>
      <color rgb="FF1C2B33"/>
      <name val="Inherit"/>
    </font>
    <font>
      <sz val="11"/>
      <color rgb="FF1C1E21"/>
      <name val="Inherit"/>
    </font>
    <font>
      <sz val="11"/>
      <color rgb="FF1C1E21"/>
      <name val="Quattrocento Sans"/>
    </font>
    <font>
      <sz val="11"/>
      <color rgb="FF111827"/>
      <name val="Roboto"/>
    </font>
    <font>
      <sz val="11"/>
      <color rgb="FF2C363A"/>
      <name val="Roboto"/>
    </font>
    <font>
      <u/>
      <sz val="10"/>
      <color rgb="FF0000FF"/>
      <name val="Arial"/>
    </font>
    <font>
      <u/>
      <sz val="11"/>
      <color rgb="FF000000"/>
      <name val="Calibri"/>
    </font>
    <font>
      <sz val="1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DD2"/>
        <bgColor rgb="FFFFCDD2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9B8AD"/>
        <bgColor rgb="FFE9B8AD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4986E9"/>
        <bgColor rgb="FF4986E9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EFEFEF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right" vertical="center" wrapText="1"/>
    </xf>
    <xf numFmtId="0" fontId="3" fillId="11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 wrapText="1"/>
    </xf>
    <xf numFmtId="0" fontId="15" fillId="0" borderId="0" xfId="0" applyFont="1"/>
    <xf numFmtId="0" fontId="4" fillId="11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 vertical="center" wrapText="1"/>
    </xf>
    <xf numFmtId="0" fontId="7" fillId="8" borderId="0" xfId="0" applyFont="1" applyFill="1" applyAlignment="1">
      <alignment horizontal="center" vertical="center" wrapText="1"/>
    </xf>
    <xf numFmtId="165" fontId="7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vertical="center" wrapText="1"/>
    </xf>
    <xf numFmtId="0" fontId="7" fillId="8" borderId="0" xfId="0" applyFont="1" applyFill="1" applyAlignment="1">
      <alignment horizontal="right" vertical="center" wrapText="1"/>
    </xf>
    <xf numFmtId="0" fontId="7" fillId="8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 wrapText="1"/>
    </xf>
    <xf numFmtId="165" fontId="7" fillId="7" borderId="0" xfId="0" applyNumberFormat="1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7" fillId="12" borderId="0" xfId="0" applyFont="1" applyFill="1" applyAlignment="1">
      <alignment horizontal="center" vertical="center" wrapText="1"/>
    </xf>
    <xf numFmtId="165" fontId="7" fillId="12" borderId="0" xfId="0" applyNumberFormat="1" applyFont="1" applyFill="1" applyAlignment="1">
      <alignment horizontal="center" vertical="center" wrapText="1"/>
    </xf>
    <xf numFmtId="0" fontId="7" fillId="12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7" fillId="1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vertical="center" wrapText="1"/>
    </xf>
    <xf numFmtId="0" fontId="7" fillId="12" borderId="0" xfId="0" applyFont="1" applyFill="1" applyAlignment="1">
      <alignment horizontal="righ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vertical="center"/>
    </xf>
    <xf numFmtId="165" fontId="7" fillId="14" borderId="0" xfId="0" applyNumberFormat="1" applyFont="1" applyFill="1" applyAlignment="1">
      <alignment horizontal="center" vertical="center" wrapText="1"/>
    </xf>
    <xf numFmtId="0" fontId="7" fillId="14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8" fillId="3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 wrapText="1"/>
    </xf>
    <xf numFmtId="0" fontId="18" fillId="5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📋 Leads Tracker (1)-style" pivot="0" count="4" xr9:uid="{B3419BDB-284D-4396-9CC6-952BB5EE54E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3C5AA-08AC-4864-82B9-14E01395C4ED}" name="Table1" displayName="Table1" ref="A1:AE3000">
  <tableColumns count="31">
    <tableColumn id="1" xr3:uid="{2936DEE8-B476-4C61-8B83-B0C8BD3D2CB8}" name=" Enq no"/>
    <tableColumn id="2" xr3:uid="{CBA174D2-0D42-491C-A7B9-9A626B9BB492}" name="Date Received"/>
    <tableColumn id="3" xr3:uid="{C7ADEBFE-317F-4F51-BE43-52B428B2A82A}" name="Lead Name / Full Name"/>
    <tableColumn id="4" xr3:uid="{79519DEE-B2A2-4CC5-BDD5-FD11712604F7}" name="Company / Organisation"/>
    <tableColumn id="5" xr3:uid="{5DAA2B2A-CC9F-407F-A7DF-788D2C68BD88}" name="Contact No."/>
    <tableColumn id="6" xr3:uid="{F68C64F8-422C-40FC-94B1-AF9DB06C998C}" name="City"/>
    <tableColumn id="7" xr3:uid="{D4623E6B-D913-4F85-B7FF-661437B63FC8}" name="No. of Cars"/>
    <tableColumn id="8" xr3:uid="{CC83D666-08D0-4FB2-AD0E-98468C44E316}" name="Client Inputs/information"/>
    <tableColumn id="9" xr3:uid="{40EE7A41-02E6-4F1D-9ED3-5471FCE43BF4}" name="Client / Lead Note"/>
    <tableColumn id="10" xr3:uid="{21DAA626-889A-4C55-99AA-7D8479E21222}" name="Followup Note / Remarks-1"/>
    <tableColumn id="11" xr3:uid="{F49BEA94-9C4F-41AD-8BA4-A9EBD34F4F75}" name="Followup by NSM"/>
    <tableColumn id="12" xr3:uid="{F65CF695-C557-48CE-8AC0-16113CDF74A5}" name="Followup Note / Remarks-2"/>
    <tableColumn id="13" xr3:uid="{CA13B0F2-2A83-468F-AE2C-98A8834EA17B}" name="Followup Note / Remarks-2 2"/>
    <tableColumn id="14" xr3:uid="{07917415-BEF4-40DA-90AA-5FBCB41F1ED1}" name="Staus"/>
    <tableColumn id="15" xr3:uid="{003598E8-BE13-412F-A89D-A798CD5215C7}" name="Qutation Sent"/>
    <tableColumn id="16" xr3:uid="{3075F1E4-CDFD-47EE-80BA-71C74BD5ECDC}" name="Project Value"/>
    <tableColumn id="17" xr3:uid="{B83CFE94-13F8-4DDB-8C91-53002028A582}" name="Lead Source"/>
    <tableColumn id="18" xr3:uid="{3205BD6A-C8BB-487E-B956-5A9D1082386F}" name="Last Contacted"/>
    <tableColumn id="19" xr3:uid="{CA6D747A-55D8-4301-9677-7F48C0D2FA81}" name="Priority \ Stage"/>
    <tableColumn id="20" xr3:uid="{F3F2140A-7D5C-4011-BFD5-CD94F1E1C5DF}" name="Product / Type"/>
    <tableColumn id="21" xr3:uid="{71E470E1-2E79-47CA-B836-13F0F86AF2E1}" name="Primary Owner"/>
    <tableColumn id="22" xr3:uid="{13AA7686-C44F-4DE1-8D25-9291D06CC32A}" name="TAT Time"/>
    <tableColumn id="23" xr3:uid="{1F586A2A-38F0-4B4D-B571-92C1CF2CD290}" name="Assigned To (Technical)"/>
    <tableColumn id="24" xr3:uid="{38B25052-5574-49F1-AE44-20280AF076F1}" name="Secondary Support Person"/>
    <tableColumn id="25" xr3:uid="{DB213856-EFD2-407B-8121-BCF01C4F83F1}" name="Source Documents "/>
    <tableColumn id="26" xr3:uid="{4845CB6E-F237-4027-9F48-2BA185D3FB13}" name="Product / Svc Interested In"/>
    <tableColumn id="27" xr3:uid="{E0D05DFD-96E1-4B78-8DD6-75C29EDD499A}" name="Converted Date"/>
    <tableColumn id="28" xr3:uid="{D907C14A-9AA8-4E58-B85C-A3E9A6544F35}" name="Reason Lost"/>
    <tableColumn id="29" xr3:uid="{E6316342-4717-4083-905C-523A9B08B87F}" name="TAT (Days)"/>
    <tableColumn id="30" xr3:uid="{64F42443-06AE-43D2-8CE6-FC91D040C674}" name="Email ID"/>
    <tableColumn id="31" xr3:uid="{BBE1BAD2-EFF3-4EFD-AB95-2E1AE344ACF8}" name="Remarks / Additional Notes"/>
  </tableColumns>
  <tableStyleInfo name="📋 Leads Tracker (1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nkQ-La0ExP4ipStMlHRbItuaOOSpNG3?usp=drive_link" TargetMode="External"/><Relationship Id="rId13" Type="http://schemas.openxmlformats.org/officeDocument/2006/relationships/hyperlink" Target="https://drive.google.com/drive/folders/1xr006MtC2xqELvhfVurcyNfnrNdx4o0O?usp=drive_link" TargetMode="External"/><Relationship Id="rId18" Type="http://schemas.openxmlformats.org/officeDocument/2006/relationships/hyperlink" Target="https://maps.app.goo.gl/KeRvTeDA5NnWQSWP9?g_st=am" TargetMode="External"/><Relationship Id="rId3" Type="http://schemas.openxmlformats.org/officeDocument/2006/relationships/hyperlink" Target="https://drive.google.com/drive/folders/16emopToje9j1nPLglrEfJhJAFoK_PGtv?usp=drive_link" TargetMode="External"/><Relationship Id="rId7" Type="http://schemas.openxmlformats.org/officeDocument/2006/relationships/hyperlink" Target="https://drive.google.com/drive/folders/15WLv4HUR2DrCNxDRUS0gQPBJs3o04sNd?usp=drive_link" TargetMode="External"/><Relationship Id="rId12" Type="http://schemas.openxmlformats.org/officeDocument/2006/relationships/hyperlink" Target="https://drive.google.com/drive/folders/1wYc1SlIB-JMH5S5Lpdr18DgwWQ-W6ebD?usp=drive_link" TargetMode="External"/><Relationship Id="rId17" Type="http://schemas.openxmlformats.org/officeDocument/2006/relationships/hyperlink" Target="mailto:shafakt@gmail.com" TargetMode="External"/><Relationship Id="rId2" Type="http://schemas.openxmlformats.org/officeDocument/2006/relationships/hyperlink" Target="https://drive.google.com/drive/folders/1XVf6fQWthGd-GBojJeLgzKyhTnZkb6iO?usp=drive_link" TargetMode="External"/><Relationship Id="rId16" Type="http://schemas.openxmlformats.org/officeDocument/2006/relationships/hyperlink" Target="http://yourbroker.in/" TargetMode="External"/><Relationship Id="rId1" Type="http://schemas.openxmlformats.org/officeDocument/2006/relationships/hyperlink" Target="https://drive.google.com/drive/folders/1M6c-H8sNzUwfCqZPTKQBNOQlrL-K6Cy9?usp=drive_link" TargetMode="External"/><Relationship Id="rId6" Type="http://schemas.openxmlformats.org/officeDocument/2006/relationships/hyperlink" Target="https://drive.google.com/drive/folders/1Fe0rkFwSfBNXGOl__AcbsTAzFKFdcOJB?usp=drive_link" TargetMode="External"/><Relationship Id="rId11" Type="http://schemas.openxmlformats.org/officeDocument/2006/relationships/hyperlink" Target="https://drive.google.com/drive/folders/1UUIuXc_3O3i8lITZ6Zr9tXw61Ts_nK01?usp=drive_link" TargetMode="External"/><Relationship Id="rId5" Type="http://schemas.openxmlformats.org/officeDocument/2006/relationships/hyperlink" Target="https://drive.google.com/drive/folders/1zY3ctmYnAT2blSjh-tIjrYa43lh5XtVu?usp=drive_link" TargetMode="External"/><Relationship Id="rId15" Type="http://schemas.openxmlformats.org/officeDocument/2006/relationships/hyperlink" Target="https://drive.google.com/drive/folders/1bZCCH7HoMEfbhCC8CQu6Uqlkw5H-Z7Jl?usp=drive_link" TargetMode="External"/><Relationship Id="rId10" Type="http://schemas.openxmlformats.org/officeDocument/2006/relationships/hyperlink" Target="https://drive.google.com/drive/folders/1qdJeiTNB-qffT45NxrgAB7XKtw4UOkdg?usp=drive_link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drive.google.com/drive/folders/1PVMRS2I9erye8BhF1BQUfRqlFsMOKCXk?usp=drive_link" TargetMode="External"/><Relationship Id="rId9" Type="http://schemas.openxmlformats.org/officeDocument/2006/relationships/hyperlink" Target="https://drive.google.com/drive/folders/1Z1i8Tr51xJdjt5GsNu2qc8GK6RY7USgT?usp=drive_link" TargetMode="External"/><Relationship Id="rId14" Type="http://schemas.openxmlformats.org/officeDocument/2006/relationships/hyperlink" Target="https://drive.google.com/drive/folders/1RlB5HiptR2D9bodmfiIGo_Qlq3-3WrBl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1928-F7BB-4314-8701-322B78B89844}">
  <dimension ref="A1:AE3000"/>
  <sheetViews>
    <sheetView tabSelected="1" workbookViewId="0">
      <selection sqref="A1:XFD1048576"/>
    </sheetView>
  </sheetViews>
  <sheetFormatPr defaultColWidth="12.6640625" defaultRowHeight="14.4"/>
  <cols>
    <col min="1" max="1" width="18.109375" customWidth="1"/>
    <col min="2" max="2" width="13.21875" customWidth="1"/>
    <col min="3" max="3" width="22" customWidth="1"/>
    <col min="4" max="4" width="25.21875" customWidth="1"/>
    <col min="5" max="5" width="20.33203125" customWidth="1"/>
    <col min="6" max="6" width="15.6640625" customWidth="1"/>
    <col min="7" max="7" width="12.109375" customWidth="1"/>
    <col min="8" max="8" width="20.109375" customWidth="1"/>
    <col min="9" max="9" width="25.44140625" customWidth="1"/>
    <col min="10" max="10" width="33.77734375" customWidth="1"/>
    <col min="11" max="11" width="17.88671875" customWidth="1"/>
    <col min="12" max="12" width="17" customWidth="1"/>
    <col min="13" max="13" width="16.33203125" customWidth="1"/>
    <col min="14" max="14" width="21.33203125" customWidth="1"/>
    <col min="15" max="15" width="18.44140625" customWidth="1"/>
    <col min="16" max="16" width="14.33203125" customWidth="1"/>
    <col min="17" max="17" width="15.88671875" customWidth="1"/>
    <col min="18" max="18" width="14.6640625" customWidth="1"/>
    <col min="19" max="19" width="13.6640625" customWidth="1"/>
    <col min="20" max="20" width="36" customWidth="1"/>
    <col min="21" max="21" width="13.77734375" customWidth="1"/>
    <col min="22" max="22" width="7" customWidth="1"/>
    <col min="23" max="23" width="15.77734375" customWidth="1"/>
    <col min="24" max="24" width="14" customWidth="1"/>
    <col min="25" max="25" width="19.21875" customWidth="1"/>
    <col min="26" max="26" width="17.33203125" customWidth="1"/>
    <col min="27" max="27" width="12.21875" customWidth="1"/>
    <col min="28" max="28" width="19.21875" customWidth="1"/>
    <col min="29" max="29" width="8.77734375" customWidth="1"/>
    <col min="30" max="31" width="22.77734375" customWidth="1"/>
  </cols>
  <sheetData>
    <row r="1" spans="1:31" ht="6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52.5" customHeight="1">
      <c r="A2" s="5">
        <v>1</v>
      </c>
      <c r="B2" s="6">
        <v>46158</v>
      </c>
      <c r="C2" s="7" t="s">
        <v>31</v>
      </c>
      <c r="D2" s="7"/>
      <c r="E2" s="8">
        <v>9591045449</v>
      </c>
      <c r="F2" s="8" t="s">
        <v>32</v>
      </c>
      <c r="G2" s="8"/>
      <c r="H2" s="7"/>
      <c r="I2" s="7"/>
      <c r="J2" s="7" t="s">
        <v>33</v>
      </c>
      <c r="K2" s="7" t="s">
        <v>34</v>
      </c>
      <c r="L2" s="7"/>
      <c r="M2" s="7"/>
      <c r="N2" s="8" t="s">
        <v>35</v>
      </c>
      <c r="O2" s="8"/>
      <c r="P2" s="9"/>
      <c r="Q2" s="10" t="s">
        <v>36</v>
      </c>
      <c r="R2" s="8"/>
      <c r="S2" s="8" t="s">
        <v>37</v>
      </c>
      <c r="T2" s="8"/>
      <c r="U2" s="8" t="s">
        <v>38</v>
      </c>
      <c r="V2" s="8"/>
      <c r="W2" s="8"/>
      <c r="X2" s="8"/>
      <c r="Y2" s="8"/>
      <c r="Z2" s="8"/>
      <c r="AA2" s="8"/>
      <c r="AB2" s="8"/>
      <c r="AC2" s="8"/>
      <c r="AD2" s="7" t="s">
        <v>39</v>
      </c>
      <c r="AE2" s="7" t="s">
        <v>40</v>
      </c>
    </row>
    <row r="3" spans="1:31" ht="26.25" customHeight="1">
      <c r="A3" s="5">
        <v>2</v>
      </c>
      <c r="B3" s="6">
        <v>46158</v>
      </c>
      <c r="C3" s="7" t="s">
        <v>41</v>
      </c>
      <c r="D3" s="7"/>
      <c r="E3" s="8">
        <v>9945677490</v>
      </c>
      <c r="F3" s="8" t="s">
        <v>42</v>
      </c>
      <c r="G3" s="8"/>
      <c r="H3" s="7"/>
      <c r="I3" s="7"/>
      <c r="J3" s="7" t="s">
        <v>43</v>
      </c>
      <c r="K3" s="7"/>
      <c r="L3" s="7"/>
      <c r="M3" s="7"/>
      <c r="N3" s="8" t="s">
        <v>44</v>
      </c>
      <c r="O3" s="8"/>
      <c r="P3" s="9"/>
      <c r="Q3" s="10" t="s">
        <v>36</v>
      </c>
      <c r="R3" s="8" t="s">
        <v>45</v>
      </c>
      <c r="S3" s="8"/>
      <c r="T3" s="8"/>
      <c r="U3" s="8" t="s">
        <v>38</v>
      </c>
      <c r="V3" s="8"/>
      <c r="W3" s="8"/>
      <c r="X3" s="8"/>
      <c r="Y3" s="8"/>
      <c r="Z3" s="8"/>
      <c r="AA3" s="8"/>
      <c r="AB3" s="8"/>
      <c r="AC3" s="8"/>
      <c r="AD3" s="7" t="s">
        <v>46</v>
      </c>
      <c r="AE3" s="7" t="s">
        <v>40</v>
      </c>
    </row>
    <row r="4" spans="1:31" ht="26.25" customHeight="1">
      <c r="A4" s="5">
        <v>3</v>
      </c>
      <c r="B4" s="6">
        <v>46156</v>
      </c>
      <c r="C4" s="7" t="s">
        <v>47</v>
      </c>
      <c r="D4" s="7"/>
      <c r="E4" s="8">
        <v>9841062410</v>
      </c>
      <c r="F4" s="8" t="s">
        <v>48</v>
      </c>
      <c r="G4" s="8"/>
      <c r="H4" s="7"/>
      <c r="I4" s="11"/>
      <c r="J4" s="7" t="s">
        <v>49</v>
      </c>
      <c r="K4" s="7"/>
      <c r="L4" s="7"/>
      <c r="M4" s="7" t="s">
        <v>50</v>
      </c>
      <c r="N4" s="8" t="s">
        <v>35</v>
      </c>
      <c r="O4" s="8"/>
      <c r="P4" s="9"/>
      <c r="Q4" s="10" t="s">
        <v>36</v>
      </c>
      <c r="R4" s="8"/>
      <c r="S4" s="8"/>
      <c r="T4" s="8"/>
      <c r="U4" s="8" t="s">
        <v>38</v>
      </c>
      <c r="V4" s="8"/>
      <c r="W4" s="8"/>
      <c r="X4" s="8"/>
      <c r="Y4" s="8"/>
      <c r="Z4" s="8"/>
      <c r="AA4" s="8"/>
      <c r="AB4" s="8"/>
      <c r="AC4" s="8"/>
      <c r="AD4" s="7" t="s">
        <v>51</v>
      </c>
      <c r="AE4" s="7" t="s">
        <v>40</v>
      </c>
    </row>
    <row r="5" spans="1:31" ht="45.75" customHeight="1">
      <c r="A5" s="5">
        <v>4</v>
      </c>
      <c r="B5" s="6">
        <v>46156</v>
      </c>
      <c r="C5" s="7" t="s">
        <v>52</v>
      </c>
      <c r="D5" s="7"/>
      <c r="E5" s="8">
        <v>8075665623</v>
      </c>
      <c r="F5" s="8" t="s">
        <v>53</v>
      </c>
      <c r="G5" s="8"/>
      <c r="H5" s="7"/>
      <c r="I5" s="7"/>
      <c r="J5" s="7" t="s">
        <v>54</v>
      </c>
      <c r="K5" s="7" t="s">
        <v>55</v>
      </c>
      <c r="L5" s="7" t="s">
        <v>56</v>
      </c>
      <c r="M5" s="7"/>
      <c r="N5" s="8" t="s">
        <v>35</v>
      </c>
      <c r="O5" s="8"/>
      <c r="P5" s="9"/>
      <c r="Q5" s="10" t="s">
        <v>36</v>
      </c>
      <c r="R5" s="8" t="s">
        <v>57</v>
      </c>
      <c r="S5" s="8" t="s">
        <v>37</v>
      </c>
      <c r="T5" s="8"/>
      <c r="U5" s="8" t="s">
        <v>38</v>
      </c>
      <c r="V5" s="8"/>
      <c r="W5" s="8"/>
      <c r="X5" s="8"/>
      <c r="Y5" s="8"/>
      <c r="Z5" s="8"/>
      <c r="AA5" s="8"/>
      <c r="AB5" s="8"/>
      <c r="AC5" s="8"/>
      <c r="AD5" s="7" t="s">
        <v>58</v>
      </c>
      <c r="AE5" s="7" t="s">
        <v>40</v>
      </c>
    </row>
    <row r="6" spans="1:31" ht="22.5" customHeight="1">
      <c r="A6" s="5">
        <v>5</v>
      </c>
      <c r="B6" s="6">
        <v>46156</v>
      </c>
      <c r="C6" s="7" t="s">
        <v>59</v>
      </c>
      <c r="D6" s="7"/>
      <c r="E6" s="8">
        <v>8179377709</v>
      </c>
      <c r="F6" s="8" t="s">
        <v>60</v>
      </c>
      <c r="G6" s="8"/>
      <c r="H6" s="7"/>
      <c r="I6" s="7"/>
      <c r="J6" s="7" t="s">
        <v>61</v>
      </c>
      <c r="K6" s="7"/>
      <c r="L6" s="7"/>
      <c r="M6" s="7"/>
      <c r="N6" s="8" t="s">
        <v>44</v>
      </c>
      <c r="O6" s="8"/>
      <c r="P6" s="9"/>
      <c r="Q6" s="10" t="s">
        <v>36</v>
      </c>
      <c r="R6" s="8" t="s">
        <v>62</v>
      </c>
      <c r="S6" s="8"/>
      <c r="T6" s="8"/>
      <c r="U6" s="8" t="s">
        <v>38</v>
      </c>
      <c r="V6" s="8"/>
      <c r="W6" s="8" t="s">
        <v>63</v>
      </c>
      <c r="X6" s="8"/>
      <c r="Y6" s="8"/>
      <c r="Z6" s="8"/>
      <c r="AA6" s="8"/>
      <c r="AB6" s="8"/>
      <c r="AC6" s="8"/>
      <c r="AD6" s="7" t="s">
        <v>64</v>
      </c>
      <c r="AE6" s="7" t="s">
        <v>40</v>
      </c>
    </row>
    <row r="7" spans="1:31" ht="26.25" customHeight="1">
      <c r="A7" s="5">
        <v>6</v>
      </c>
      <c r="B7" s="6">
        <v>46156</v>
      </c>
      <c r="C7" s="7" t="s">
        <v>65</v>
      </c>
      <c r="D7" s="7"/>
      <c r="E7" s="8" t="s">
        <v>66</v>
      </c>
      <c r="F7" s="8" t="s">
        <v>67</v>
      </c>
      <c r="G7" s="8"/>
      <c r="H7" s="7"/>
      <c r="I7" s="7"/>
      <c r="J7" s="7" t="s">
        <v>68</v>
      </c>
      <c r="K7" s="7" t="s">
        <v>69</v>
      </c>
      <c r="L7" s="7" t="s">
        <v>56</v>
      </c>
      <c r="M7" s="7"/>
      <c r="N7" s="8" t="s">
        <v>70</v>
      </c>
      <c r="O7" s="8"/>
      <c r="P7" s="9"/>
      <c r="Q7" s="10" t="s">
        <v>71</v>
      </c>
      <c r="R7" s="8" t="s">
        <v>57</v>
      </c>
      <c r="S7" s="8" t="s">
        <v>37</v>
      </c>
      <c r="T7" s="8"/>
      <c r="U7" s="8" t="s">
        <v>38</v>
      </c>
      <c r="V7" s="8"/>
      <c r="W7" s="8"/>
      <c r="X7" s="8"/>
      <c r="Y7" s="8"/>
      <c r="Z7" s="8"/>
      <c r="AA7" s="8"/>
      <c r="AB7" s="8"/>
      <c r="AC7" s="8"/>
      <c r="AD7" s="7" t="s">
        <v>72</v>
      </c>
      <c r="AE7" s="7" t="s">
        <v>40</v>
      </c>
    </row>
    <row r="8" spans="1:31" ht="26.25" customHeight="1">
      <c r="A8" s="5">
        <v>7</v>
      </c>
      <c r="B8" s="6">
        <v>46156</v>
      </c>
      <c r="C8" s="7" t="s">
        <v>73</v>
      </c>
      <c r="D8" s="7"/>
      <c r="E8" s="8" t="s">
        <v>74</v>
      </c>
      <c r="F8" s="8" t="s">
        <v>75</v>
      </c>
      <c r="G8" s="8"/>
      <c r="H8" s="7"/>
      <c r="I8" s="7"/>
      <c r="J8" s="7" t="s">
        <v>76</v>
      </c>
      <c r="K8" s="7"/>
      <c r="L8" s="7"/>
      <c r="M8" s="7"/>
      <c r="N8" s="8" t="s">
        <v>77</v>
      </c>
      <c r="O8" s="8"/>
      <c r="P8" s="9"/>
      <c r="Q8" s="10" t="s">
        <v>36</v>
      </c>
      <c r="R8" s="8"/>
      <c r="S8" s="8"/>
      <c r="T8" s="8"/>
      <c r="U8" s="8" t="s">
        <v>38</v>
      </c>
      <c r="V8" s="8"/>
      <c r="W8" s="8"/>
      <c r="X8" s="8"/>
      <c r="Y8" s="8"/>
      <c r="Z8" s="8"/>
      <c r="AA8" s="8"/>
      <c r="AB8" s="8"/>
      <c r="AC8" s="8"/>
      <c r="AD8" s="7" t="s">
        <v>78</v>
      </c>
      <c r="AE8" s="7"/>
    </row>
    <row r="9" spans="1:31" ht="26.25" customHeight="1">
      <c r="A9" s="5">
        <v>8</v>
      </c>
      <c r="B9" s="6">
        <v>46156</v>
      </c>
      <c r="C9" s="7" t="s">
        <v>79</v>
      </c>
      <c r="D9" s="7" t="s">
        <v>80</v>
      </c>
      <c r="E9" s="8" t="s">
        <v>81</v>
      </c>
      <c r="F9" s="8" t="s">
        <v>82</v>
      </c>
      <c r="G9" s="8"/>
      <c r="H9" s="7"/>
      <c r="I9" s="7"/>
      <c r="J9" s="7" t="s">
        <v>83</v>
      </c>
      <c r="K9" s="7"/>
      <c r="L9" s="7"/>
      <c r="M9" s="7"/>
      <c r="N9" s="8" t="s">
        <v>35</v>
      </c>
      <c r="O9" s="8"/>
      <c r="P9" s="9"/>
      <c r="Q9" s="10" t="s">
        <v>36</v>
      </c>
      <c r="R9" s="8"/>
      <c r="S9" s="8"/>
      <c r="T9" s="8"/>
      <c r="U9" s="8" t="s">
        <v>38</v>
      </c>
      <c r="V9" s="8"/>
      <c r="W9" s="8"/>
      <c r="X9" s="8"/>
      <c r="Y9" s="8"/>
      <c r="Z9" s="8"/>
      <c r="AA9" s="8"/>
      <c r="AB9" s="8"/>
      <c r="AC9" s="8"/>
      <c r="AD9" s="7" t="s">
        <v>84</v>
      </c>
      <c r="AE9" s="7" t="s">
        <v>40</v>
      </c>
    </row>
    <row r="10" spans="1:31" ht="38.25" customHeight="1">
      <c r="A10" s="5">
        <v>9</v>
      </c>
      <c r="B10" s="6">
        <v>46156</v>
      </c>
      <c r="C10" s="7" t="s">
        <v>85</v>
      </c>
      <c r="D10" s="7"/>
      <c r="E10" s="8" t="s">
        <v>86</v>
      </c>
      <c r="F10" s="8" t="s">
        <v>87</v>
      </c>
      <c r="G10" s="8"/>
      <c r="H10" s="7"/>
      <c r="I10" s="7"/>
      <c r="J10" s="7" t="s">
        <v>88</v>
      </c>
      <c r="K10" s="7" t="s">
        <v>89</v>
      </c>
      <c r="L10" s="7" t="s">
        <v>90</v>
      </c>
      <c r="M10" s="7"/>
      <c r="N10" s="8" t="s">
        <v>35</v>
      </c>
      <c r="O10" s="8"/>
      <c r="P10" s="9"/>
      <c r="Q10" s="10" t="s">
        <v>36</v>
      </c>
      <c r="R10" s="8"/>
      <c r="S10" s="8" t="s">
        <v>37</v>
      </c>
      <c r="T10" s="8"/>
      <c r="U10" s="8" t="s">
        <v>38</v>
      </c>
      <c r="V10" s="8"/>
      <c r="W10" s="8"/>
      <c r="X10" s="8"/>
      <c r="Y10" s="8"/>
      <c r="Z10" s="8"/>
      <c r="AA10" s="8"/>
      <c r="AB10" s="8"/>
      <c r="AC10" s="8"/>
      <c r="AD10" s="7" t="s">
        <v>91</v>
      </c>
      <c r="AE10" s="7"/>
    </row>
    <row r="11" spans="1:31" ht="26.25" customHeight="1">
      <c r="A11" s="5">
        <v>10</v>
      </c>
      <c r="B11" s="6">
        <v>46155</v>
      </c>
      <c r="C11" s="7" t="s">
        <v>92</v>
      </c>
      <c r="D11" s="7"/>
      <c r="E11" s="8" t="s">
        <v>93</v>
      </c>
      <c r="F11" s="8" t="s">
        <v>94</v>
      </c>
      <c r="G11" s="8"/>
      <c r="H11" s="7"/>
      <c r="I11" s="7"/>
      <c r="J11" s="7" t="s">
        <v>95</v>
      </c>
      <c r="K11" s="7"/>
      <c r="L11" s="7"/>
      <c r="M11" s="7"/>
      <c r="N11" s="8" t="s">
        <v>35</v>
      </c>
      <c r="O11" s="8" t="s">
        <v>96</v>
      </c>
      <c r="P11" s="9"/>
      <c r="Q11" s="10" t="s">
        <v>36</v>
      </c>
      <c r="R11" s="8"/>
      <c r="S11" s="8"/>
      <c r="T11" s="8"/>
      <c r="U11" s="8" t="s">
        <v>38</v>
      </c>
      <c r="V11" s="8"/>
      <c r="W11" s="8"/>
      <c r="X11" s="8"/>
      <c r="Y11" s="8"/>
      <c r="Z11" s="8"/>
      <c r="AA11" s="8"/>
      <c r="AB11" s="8"/>
      <c r="AC11" s="8"/>
      <c r="AD11" s="7" t="s">
        <v>97</v>
      </c>
      <c r="AE11" s="7" t="s">
        <v>40</v>
      </c>
    </row>
    <row r="12" spans="1:31" ht="32.25" customHeight="1">
      <c r="A12" s="5">
        <v>11</v>
      </c>
      <c r="B12" s="6">
        <v>46155</v>
      </c>
      <c r="C12" s="7" t="s">
        <v>98</v>
      </c>
      <c r="D12" s="7" t="s">
        <v>99</v>
      </c>
      <c r="E12" s="8" t="s">
        <v>100</v>
      </c>
      <c r="F12" s="8" t="s">
        <v>101</v>
      </c>
      <c r="G12" s="8"/>
      <c r="H12" s="12" t="s">
        <v>102</v>
      </c>
      <c r="I12" s="7"/>
      <c r="J12" s="7" t="s">
        <v>103</v>
      </c>
      <c r="K12" s="7"/>
      <c r="L12" s="7" t="s">
        <v>104</v>
      </c>
      <c r="M12" s="7" t="s">
        <v>105</v>
      </c>
      <c r="N12" s="8" t="s">
        <v>106</v>
      </c>
      <c r="O12" s="8"/>
      <c r="P12" s="9"/>
      <c r="Q12" s="10" t="s">
        <v>36</v>
      </c>
      <c r="R12" s="8"/>
      <c r="S12" s="8" t="s">
        <v>37</v>
      </c>
      <c r="T12" s="8"/>
      <c r="U12" s="8" t="s">
        <v>38</v>
      </c>
      <c r="V12" s="8"/>
      <c r="W12" s="8"/>
      <c r="X12" s="8"/>
      <c r="Y12" s="8"/>
      <c r="Z12" s="8"/>
      <c r="AA12" s="8"/>
      <c r="AB12" s="8"/>
      <c r="AC12" s="8"/>
      <c r="AD12" s="7" t="s">
        <v>107</v>
      </c>
      <c r="AE12" s="7"/>
    </row>
    <row r="13" spans="1:31" ht="26.25" customHeight="1">
      <c r="A13" s="5">
        <v>12</v>
      </c>
      <c r="B13" s="6">
        <v>46155</v>
      </c>
      <c r="C13" s="7" t="s">
        <v>108</v>
      </c>
      <c r="D13" s="7"/>
      <c r="E13" s="8" t="s">
        <v>109</v>
      </c>
      <c r="F13" s="8" t="s">
        <v>110</v>
      </c>
      <c r="G13" s="8"/>
      <c r="H13" s="7"/>
      <c r="I13" s="7"/>
      <c r="J13" s="7" t="s">
        <v>111</v>
      </c>
      <c r="K13" s="7"/>
      <c r="L13" s="7"/>
      <c r="M13" s="7"/>
      <c r="N13" s="8" t="s">
        <v>35</v>
      </c>
      <c r="O13" s="8"/>
      <c r="P13" s="9"/>
      <c r="Q13" s="10" t="s">
        <v>36</v>
      </c>
      <c r="R13" s="8" t="s">
        <v>45</v>
      </c>
      <c r="S13" s="8"/>
      <c r="T13" s="8"/>
      <c r="U13" s="8" t="s">
        <v>38</v>
      </c>
      <c r="V13" s="8"/>
      <c r="W13" s="8"/>
      <c r="X13" s="8"/>
      <c r="Y13" s="8"/>
      <c r="Z13" s="8"/>
      <c r="AA13" s="8"/>
      <c r="AB13" s="8"/>
      <c r="AC13" s="8"/>
      <c r="AD13" s="7" t="s">
        <v>112</v>
      </c>
      <c r="AE13" s="7" t="s">
        <v>40</v>
      </c>
    </row>
    <row r="14" spans="1:31" ht="26.25" customHeight="1">
      <c r="A14" s="5">
        <v>13</v>
      </c>
      <c r="B14" s="6">
        <v>46155</v>
      </c>
      <c r="C14" s="7" t="s">
        <v>113</v>
      </c>
      <c r="D14" s="7"/>
      <c r="E14" s="8" t="s">
        <v>114</v>
      </c>
      <c r="F14" s="8" t="s">
        <v>115</v>
      </c>
      <c r="G14" s="8"/>
      <c r="H14" s="7"/>
      <c r="I14" s="7"/>
      <c r="J14" s="7" t="s">
        <v>116</v>
      </c>
      <c r="K14" s="7"/>
      <c r="L14" s="7"/>
      <c r="M14" s="7"/>
      <c r="N14" s="8" t="s">
        <v>35</v>
      </c>
      <c r="O14" s="8"/>
      <c r="P14" s="9"/>
      <c r="Q14" s="10" t="s">
        <v>36</v>
      </c>
      <c r="R14" s="8" t="s">
        <v>62</v>
      </c>
      <c r="S14" s="8"/>
      <c r="T14" s="8"/>
      <c r="U14" s="8" t="s">
        <v>38</v>
      </c>
      <c r="V14" s="8"/>
      <c r="W14" s="8" t="s">
        <v>63</v>
      </c>
      <c r="X14" s="8"/>
      <c r="Y14" s="8"/>
      <c r="Z14" s="8"/>
      <c r="AA14" s="8"/>
      <c r="AB14" s="8"/>
      <c r="AC14" s="8"/>
      <c r="AD14" s="7" t="s">
        <v>117</v>
      </c>
      <c r="AE14" s="7" t="s">
        <v>40</v>
      </c>
    </row>
    <row r="15" spans="1:31" ht="57" customHeight="1">
      <c r="A15" s="5">
        <v>14</v>
      </c>
      <c r="B15" s="6">
        <v>46155</v>
      </c>
      <c r="C15" s="7" t="s">
        <v>118</v>
      </c>
      <c r="D15" s="7"/>
      <c r="E15" s="8" t="s">
        <v>119</v>
      </c>
      <c r="F15" s="8" t="s">
        <v>120</v>
      </c>
      <c r="G15" s="8"/>
      <c r="H15" s="7"/>
      <c r="I15" s="7"/>
      <c r="J15" s="7" t="s">
        <v>121</v>
      </c>
      <c r="K15" s="7"/>
      <c r="L15" s="7"/>
      <c r="M15" s="7"/>
      <c r="N15" s="8" t="s">
        <v>122</v>
      </c>
      <c r="O15" s="8"/>
      <c r="P15" s="9"/>
      <c r="Q15" s="10" t="s">
        <v>36</v>
      </c>
      <c r="R15" s="8" t="s">
        <v>123</v>
      </c>
      <c r="S15" s="8" t="s">
        <v>37</v>
      </c>
      <c r="T15" s="8"/>
      <c r="U15" s="8" t="s">
        <v>38</v>
      </c>
      <c r="V15" s="8"/>
      <c r="W15" s="8"/>
      <c r="X15" s="8"/>
      <c r="Y15" s="8"/>
      <c r="Z15" s="8"/>
      <c r="AA15" s="8"/>
      <c r="AB15" s="8"/>
      <c r="AC15" s="8"/>
      <c r="AD15" s="7" t="s">
        <v>124</v>
      </c>
      <c r="AE15" s="7"/>
    </row>
    <row r="16" spans="1:31" ht="26.25" customHeight="1">
      <c r="A16" s="5">
        <v>15</v>
      </c>
      <c r="B16" s="6">
        <v>46155</v>
      </c>
      <c r="C16" s="7" t="s">
        <v>125</v>
      </c>
      <c r="D16" s="7"/>
      <c r="E16" s="8" t="s">
        <v>126</v>
      </c>
      <c r="F16" s="8" t="s">
        <v>127</v>
      </c>
      <c r="G16" s="8"/>
      <c r="H16" s="7"/>
      <c r="I16" s="7"/>
      <c r="J16" s="7" t="s">
        <v>43</v>
      </c>
      <c r="K16" s="7"/>
      <c r="L16" s="7"/>
      <c r="M16" s="7"/>
      <c r="N16" s="8" t="s">
        <v>44</v>
      </c>
      <c r="O16" s="8"/>
      <c r="P16" s="9"/>
      <c r="Q16" s="10" t="s">
        <v>36</v>
      </c>
      <c r="R16" s="8" t="s">
        <v>45</v>
      </c>
      <c r="S16" s="8"/>
      <c r="T16" s="8"/>
      <c r="U16" s="8" t="s">
        <v>38</v>
      </c>
      <c r="V16" s="8"/>
      <c r="W16" s="8"/>
      <c r="X16" s="8"/>
      <c r="Y16" s="8"/>
      <c r="Z16" s="8"/>
      <c r="AA16" s="8"/>
      <c r="AB16" s="8"/>
      <c r="AC16" s="8"/>
      <c r="AD16" s="7" t="s">
        <v>128</v>
      </c>
      <c r="AE16" s="7" t="s">
        <v>40</v>
      </c>
    </row>
    <row r="17" spans="1:31" ht="26.25" customHeight="1">
      <c r="A17" s="5">
        <v>16</v>
      </c>
      <c r="B17" s="6">
        <v>46154</v>
      </c>
      <c r="C17" s="7" t="s">
        <v>129</v>
      </c>
      <c r="D17" s="7"/>
      <c r="E17" s="8" t="s">
        <v>130</v>
      </c>
      <c r="F17" s="8" t="s">
        <v>131</v>
      </c>
      <c r="G17" s="8"/>
      <c r="H17" s="7"/>
      <c r="I17" s="7"/>
      <c r="J17" s="7" t="s">
        <v>132</v>
      </c>
      <c r="K17" s="7"/>
      <c r="L17" s="7"/>
      <c r="M17" s="7"/>
      <c r="N17" s="8" t="s">
        <v>35</v>
      </c>
      <c r="O17" s="8"/>
      <c r="P17" s="9"/>
      <c r="Q17" s="10" t="s">
        <v>36</v>
      </c>
      <c r="R17" s="8" t="s">
        <v>133</v>
      </c>
      <c r="S17" s="8"/>
      <c r="T17" s="8"/>
      <c r="U17" s="8" t="s">
        <v>38</v>
      </c>
      <c r="V17" s="8"/>
      <c r="W17" s="8" t="s">
        <v>134</v>
      </c>
      <c r="X17" s="8"/>
      <c r="Y17" s="8"/>
      <c r="Z17" s="8"/>
      <c r="AA17" s="8"/>
      <c r="AB17" s="8"/>
      <c r="AC17" s="8"/>
      <c r="AD17" s="7" t="s">
        <v>135</v>
      </c>
      <c r="AE17" s="7"/>
    </row>
    <row r="18" spans="1:31" ht="26.25" customHeight="1">
      <c r="A18" s="5">
        <v>17</v>
      </c>
      <c r="B18" s="6">
        <v>46154</v>
      </c>
      <c r="C18" s="7" t="s">
        <v>136</v>
      </c>
      <c r="D18" s="7"/>
      <c r="E18" s="8" t="s">
        <v>137</v>
      </c>
      <c r="F18" s="8" t="s">
        <v>60</v>
      </c>
      <c r="G18" s="8"/>
      <c r="H18" s="7"/>
      <c r="I18" s="7"/>
      <c r="J18" s="7" t="s">
        <v>138</v>
      </c>
      <c r="K18" s="7"/>
      <c r="L18" s="7"/>
      <c r="M18" s="7"/>
      <c r="N18" s="8" t="s">
        <v>35</v>
      </c>
      <c r="O18" s="8"/>
      <c r="P18" s="9"/>
      <c r="Q18" s="10" t="s">
        <v>36</v>
      </c>
      <c r="R18" s="8" t="s">
        <v>133</v>
      </c>
      <c r="S18" s="8"/>
      <c r="T18" s="8"/>
      <c r="U18" s="8" t="s">
        <v>38</v>
      </c>
      <c r="V18" s="8"/>
      <c r="W18" s="8"/>
      <c r="X18" s="8"/>
      <c r="Y18" s="8"/>
      <c r="Z18" s="8"/>
      <c r="AA18" s="8"/>
      <c r="AB18" s="8"/>
      <c r="AC18" s="8"/>
      <c r="AD18" s="7" t="s">
        <v>139</v>
      </c>
      <c r="AE18" s="7" t="s">
        <v>40</v>
      </c>
    </row>
    <row r="19" spans="1:31" ht="26.25" customHeight="1">
      <c r="A19" s="5">
        <v>18</v>
      </c>
      <c r="B19" s="6">
        <v>46154</v>
      </c>
      <c r="C19" s="7" t="s">
        <v>140</v>
      </c>
      <c r="D19" s="7"/>
      <c r="E19" s="8" t="s">
        <v>141</v>
      </c>
      <c r="F19" s="8" t="s">
        <v>142</v>
      </c>
      <c r="G19" s="8"/>
      <c r="H19" s="7"/>
      <c r="I19" s="7"/>
      <c r="J19" s="7" t="s">
        <v>143</v>
      </c>
      <c r="K19" s="7"/>
      <c r="L19" s="7"/>
      <c r="M19" s="7"/>
      <c r="N19" s="8" t="s">
        <v>35</v>
      </c>
      <c r="O19" s="8"/>
      <c r="P19" s="9"/>
      <c r="Q19" s="10" t="s">
        <v>36</v>
      </c>
      <c r="R19" s="8"/>
      <c r="S19" s="8"/>
      <c r="T19" s="8"/>
      <c r="U19" s="8" t="s">
        <v>144</v>
      </c>
      <c r="V19" s="8"/>
      <c r="W19" s="8"/>
      <c r="X19" s="8"/>
      <c r="Y19" s="8"/>
      <c r="Z19" s="8"/>
      <c r="AA19" s="8"/>
      <c r="AB19" s="8" t="s">
        <v>145</v>
      </c>
      <c r="AC19" s="8"/>
      <c r="AD19" s="7" t="s">
        <v>146</v>
      </c>
      <c r="AE19" s="7"/>
    </row>
    <row r="20" spans="1:31" ht="44.25" customHeight="1">
      <c r="A20" s="5">
        <v>19</v>
      </c>
      <c r="B20" s="6">
        <v>46154</v>
      </c>
      <c r="C20" s="7" t="s">
        <v>147</v>
      </c>
      <c r="D20" s="7"/>
      <c r="E20" s="8" t="s">
        <v>148</v>
      </c>
      <c r="F20" s="8" t="s">
        <v>149</v>
      </c>
      <c r="G20" s="8">
        <v>20</v>
      </c>
      <c r="H20" s="7"/>
      <c r="I20" s="7"/>
      <c r="J20" s="7" t="s">
        <v>150</v>
      </c>
      <c r="K20" s="7" t="s">
        <v>151</v>
      </c>
      <c r="L20" s="7"/>
      <c r="M20" s="7"/>
      <c r="N20" s="8" t="s">
        <v>106</v>
      </c>
      <c r="O20" s="8"/>
      <c r="P20" s="9"/>
      <c r="Q20" s="10" t="s">
        <v>36</v>
      </c>
      <c r="R20" s="8"/>
      <c r="S20" s="8" t="s">
        <v>37</v>
      </c>
      <c r="T20" s="8"/>
      <c r="U20" s="8" t="s">
        <v>38</v>
      </c>
      <c r="V20" s="8"/>
      <c r="W20" s="8"/>
      <c r="X20" s="8"/>
      <c r="Y20" s="8"/>
      <c r="Z20" s="8"/>
      <c r="AA20" s="8"/>
      <c r="AB20" s="8"/>
      <c r="AC20" s="8"/>
      <c r="AD20" s="7" t="s">
        <v>152</v>
      </c>
      <c r="AE20" s="7"/>
    </row>
    <row r="21" spans="1:31" ht="26.25" customHeight="1">
      <c r="A21" s="5">
        <v>20</v>
      </c>
      <c r="B21" s="6">
        <v>46154</v>
      </c>
      <c r="C21" s="7" t="s">
        <v>153</v>
      </c>
      <c r="D21" s="7"/>
      <c r="E21" s="8" t="s">
        <v>154</v>
      </c>
      <c r="F21" s="8" t="s">
        <v>155</v>
      </c>
      <c r="G21" s="8"/>
      <c r="H21" s="7"/>
      <c r="I21" s="7"/>
      <c r="J21" s="7" t="s">
        <v>43</v>
      </c>
      <c r="K21" s="7"/>
      <c r="L21" s="7"/>
      <c r="M21" s="7"/>
      <c r="N21" s="8" t="s">
        <v>44</v>
      </c>
      <c r="O21" s="8"/>
      <c r="P21" s="9"/>
      <c r="Q21" s="10" t="s">
        <v>36</v>
      </c>
      <c r="R21" s="8"/>
      <c r="S21" s="8"/>
      <c r="T21" s="8"/>
      <c r="U21" s="8" t="s">
        <v>38</v>
      </c>
      <c r="V21" s="8"/>
      <c r="W21" s="8"/>
      <c r="X21" s="8"/>
      <c r="Y21" s="8"/>
      <c r="Z21" s="8"/>
      <c r="AA21" s="8"/>
      <c r="AB21" s="8"/>
      <c r="AC21" s="8"/>
      <c r="AD21" s="7" t="s">
        <v>156</v>
      </c>
      <c r="AE21" s="7"/>
    </row>
    <row r="22" spans="1:31" ht="26.25" customHeight="1">
      <c r="A22" s="5">
        <v>21</v>
      </c>
      <c r="B22" s="6">
        <v>46153</v>
      </c>
      <c r="C22" s="7" t="s">
        <v>157</v>
      </c>
      <c r="D22" s="7"/>
      <c r="E22" s="8" t="s">
        <v>158</v>
      </c>
      <c r="F22" s="8" t="s">
        <v>159</v>
      </c>
      <c r="G22" s="8"/>
      <c r="H22" s="7"/>
      <c r="I22" s="7"/>
      <c r="J22" s="7" t="s">
        <v>160</v>
      </c>
      <c r="K22" s="7"/>
      <c r="L22" s="7"/>
      <c r="M22" s="7"/>
      <c r="N22" s="8" t="s">
        <v>35</v>
      </c>
      <c r="O22" s="8"/>
      <c r="P22" s="9"/>
      <c r="Q22" s="10" t="s">
        <v>36</v>
      </c>
      <c r="R22" s="8"/>
      <c r="S22" s="8"/>
      <c r="T22" s="8"/>
      <c r="U22" s="8" t="s">
        <v>38</v>
      </c>
      <c r="V22" s="8"/>
      <c r="W22" s="8"/>
      <c r="X22" s="8"/>
      <c r="Y22" s="8"/>
      <c r="Z22" s="8"/>
      <c r="AA22" s="8"/>
      <c r="AB22" s="8"/>
      <c r="AC22" s="8"/>
      <c r="AD22" s="7" t="s">
        <v>161</v>
      </c>
      <c r="AE22" s="7"/>
    </row>
    <row r="23" spans="1:31" ht="26.25" customHeight="1">
      <c r="A23" s="5">
        <v>22</v>
      </c>
      <c r="B23" s="6">
        <v>46153</v>
      </c>
      <c r="C23" s="7" t="s">
        <v>162</v>
      </c>
      <c r="D23" s="7"/>
      <c r="E23" s="8" t="s">
        <v>163</v>
      </c>
      <c r="F23" s="8" t="s">
        <v>164</v>
      </c>
      <c r="G23" s="8"/>
      <c r="H23" s="7"/>
      <c r="I23" s="7"/>
      <c r="J23" s="7" t="s">
        <v>165</v>
      </c>
      <c r="K23" s="7"/>
      <c r="L23" s="7"/>
      <c r="M23" s="7"/>
      <c r="N23" s="8" t="s">
        <v>35</v>
      </c>
      <c r="O23" s="8"/>
      <c r="P23" s="9"/>
      <c r="Q23" s="10" t="s">
        <v>36</v>
      </c>
      <c r="R23" s="8" t="s">
        <v>133</v>
      </c>
      <c r="S23" s="8"/>
      <c r="T23" s="8"/>
      <c r="U23" s="8" t="s">
        <v>38</v>
      </c>
      <c r="V23" s="8"/>
      <c r="W23" s="8"/>
      <c r="X23" s="8"/>
      <c r="Y23" s="8"/>
      <c r="Z23" s="8"/>
      <c r="AA23" s="8"/>
      <c r="AB23" s="8"/>
      <c r="AC23" s="8"/>
      <c r="AD23" s="7" t="s">
        <v>166</v>
      </c>
      <c r="AE23" s="7"/>
    </row>
    <row r="24" spans="1:31" ht="26.25" customHeight="1">
      <c r="A24" s="5">
        <v>23</v>
      </c>
      <c r="B24" s="6">
        <v>46153</v>
      </c>
      <c r="C24" s="7" t="s">
        <v>167</v>
      </c>
      <c r="D24" s="7"/>
      <c r="E24" s="8" t="s">
        <v>168</v>
      </c>
      <c r="F24" s="8" t="s">
        <v>169</v>
      </c>
      <c r="G24" s="8"/>
      <c r="H24" s="7"/>
      <c r="I24" s="7"/>
      <c r="J24" s="7" t="s">
        <v>170</v>
      </c>
      <c r="K24" s="7" t="s">
        <v>171</v>
      </c>
      <c r="L24" s="7"/>
      <c r="M24" s="7"/>
      <c r="N24" s="8" t="s">
        <v>35</v>
      </c>
      <c r="O24" s="8"/>
      <c r="P24" s="9"/>
      <c r="Q24" s="10" t="s">
        <v>36</v>
      </c>
      <c r="R24" s="8" t="s">
        <v>172</v>
      </c>
      <c r="S24" s="8"/>
      <c r="T24" s="8"/>
      <c r="U24" s="8" t="s">
        <v>173</v>
      </c>
      <c r="V24" s="8"/>
      <c r="W24" s="8" t="s">
        <v>63</v>
      </c>
      <c r="X24" s="8"/>
      <c r="Y24" s="8"/>
      <c r="Z24" s="8"/>
      <c r="AA24" s="8"/>
      <c r="AB24" s="8"/>
      <c r="AC24" s="8"/>
      <c r="AD24" s="7" t="s">
        <v>174</v>
      </c>
      <c r="AE24" s="7"/>
    </row>
    <row r="25" spans="1:31" ht="87" customHeight="1">
      <c r="A25" s="13">
        <v>24</v>
      </c>
      <c r="B25" s="14">
        <v>46153</v>
      </c>
      <c r="C25" s="15" t="s">
        <v>175</v>
      </c>
      <c r="D25" s="15"/>
      <c r="E25" s="16" t="s">
        <v>176</v>
      </c>
      <c r="F25" s="16" t="s">
        <v>169</v>
      </c>
      <c r="G25" s="16"/>
      <c r="H25" s="15"/>
      <c r="I25" s="15"/>
      <c r="J25" s="15" t="s">
        <v>177</v>
      </c>
      <c r="K25" s="15" t="s">
        <v>178</v>
      </c>
      <c r="L25" s="15" t="s">
        <v>179</v>
      </c>
      <c r="M25" s="15"/>
      <c r="N25" s="16" t="s">
        <v>180</v>
      </c>
      <c r="O25" s="16"/>
      <c r="P25" s="17"/>
      <c r="Q25" s="18" t="s">
        <v>36</v>
      </c>
      <c r="R25" s="8" t="s">
        <v>172</v>
      </c>
      <c r="S25" s="16" t="s">
        <v>37</v>
      </c>
      <c r="T25" s="16"/>
      <c r="U25" s="16" t="s">
        <v>173</v>
      </c>
      <c r="V25" s="16"/>
      <c r="W25" s="16"/>
      <c r="X25" s="16"/>
      <c r="Y25" s="16"/>
      <c r="Z25" s="16"/>
      <c r="AA25" s="16"/>
      <c r="AB25" s="16" t="s">
        <v>179</v>
      </c>
      <c r="AC25" s="16"/>
      <c r="AD25" s="15" t="s">
        <v>181</v>
      </c>
      <c r="AE25" s="15"/>
    </row>
    <row r="26" spans="1:31" ht="26.25" customHeight="1">
      <c r="A26" s="5">
        <v>25</v>
      </c>
      <c r="B26" s="6">
        <v>46153</v>
      </c>
      <c r="C26" s="7" t="s">
        <v>182</v>
      </c>
      <c r="D26" s="7"/>
      <c r="E26" s="8" t="s">
        <v>183</v>
      </c>
      <c r="F26" s="8" t="s">
        <v>184</v>
      </c>
      <c r="G26" s="8"/>
      <c r="H26" s="7"/>
      <c r="I26" s="7"/>
      <c r="J26" s="7" t="s">
        <v>185</v>
      </c>
      <c r="K26" s="7"/>
      <c r="L26" s="7" t="s">
        <v>186</v>
      </c>
      <c r="M26" s="7"/>
      <c r="N26" s="8" t="s">
        <v>35</v>
      </c>
      <c r="O26" s="8"/>
      <c r="P26" s="9"/>
      <c r="Q26" s="10" t="s">
        <v>36</v>
      </c>
      <c r="R26" s="8" t="s">
        <v>172</v>
      </c>
      <c r="S26" s="8"/>
      <c r="T26" s="8"/>
      <c r="U26" s="8" t="s">
        <v>173</v>
      </c>
      <c r="V26" s="8"/>
      <c r="W26" s="8" t="s">
        <v>63</v>
      </c>
      <c r="X26" s="8"/>
      <c r="Y26" s="8"/>
      <c r="Z26" s="8"/>
      <c r="AA26" s="8"/>
      <c r="AB26" s="8"/>
      <c r="AC26" s="8"/>
      <c r="AD26" s="7" t="s">
        <v>187</v>
      </c>
      <c r="AE26" s="7"/>
    </row>
    <row r="27" spans="1:31" ht="51" customHeight="1">
      <c r="A27" s="5">
        <v>26</v>
      </c>
      <c r="B27" s="6">
        <v>46153</v>
      </c>
      <c r="C27" s="7" t="s">
        <v>188</v>
      </c>
      <c r="D27" s="7"/>
      <c r="E27" s="8" t="s">
        <v>189</v>
      </c>
      <c r="F27" s="8" t="s">
        <v>190</v>
      </c>
      <c r="G27" s="8"/>
      <c r="H27" s="7" t="s">
        <v>191</v>
      </c>
      <c r="I27" s="7"/>
      <c r="J27" s="7" t="s">
        <v>192</v>
      </c>
      <c r="K27" s="7"/>
      <c r="L27" s="7" t="s">
        <v>193</v>
      </c>
      <c r="M27" s="7"/>
      <c r="N27" s="8" t="s">
        <v>35</v>
      </c>
      <c r="O27" s="8"/>
      <c r="P27" s="9"/>
      <c r="Q27" s="10" t="s">
        <v>36</v>
      </c>
      <c r="R27" s="8" t="s">
        <v>62</v>
      </c>
      <c r="S27" s="8"/>
      <c r="T27" s="8"/>
      <c r="U27" s="8" t="s">
        <v>173</v>
      </c>
      <c r="V27" s="8"/>
      <c r="W27" s="8" t="s">
        <v>63</v>
      </c>
      <c r="X27" s="8"/>
      <c r="Y27" s="8"/>
      <c r="Z27" s="8"/>
      <c r="AA27" s="8"/>
      <c r="AB27" s="8"/>
      <c r="AC27" s="8"/>
      <c r="AD27" s="7" t="s">
        <v>194</v>
      </c>
      <c r="AE27" s="7"/>
    </row>
    <row r="28" spans="1:31" ht="26.25" customHeight="1">
      <c r="A28" s="5">
        <v>27</v>
      </c>
      <c r="B28" s="6">
        <v>46153</v>
      </c>
      <c r="C28" s="7" t="s">
        <v>195</v>
      </c>
      <c r="D28" s="7"/>
      <c r="E28" s="8" t="s">
        <v>196</v>
      </c>
      <c r="F28" s="8" t="s">
        <v>197</v>
      </c>
      <c r="G28" s="8"/>
      <c r="H28" s="7"/>
      <c r="I28" s="7"/>
      <c r="J28" s="7" t="s">
        <v>43</v>
      </c>
      <c r="K28" s="7"/>
      <c r="L28" s="7"/>
      <c r="M28" s="7"/>
      <c r="N28" s="8" t="s">
        <v>44</v>
      </c>
      <c r="O28" s="8"/>
      <c r="P28" s="9"/>
      <c r="Q28" s="10" t="s">
        <v>36</v>
      </c>
      <c r="R28" s="8" t="s">
        <v>133</v>
      </c>
      <c r="S28" s="8"/>
      <c r="T28" s="8"/>
      <c r="U28" s="8" t="s">
        <v>38</v>
      </c>
      <c r="V28" s="8"/>
      <c r="W28" s="8"/>
      <c r="X28" s="8"/>
      <c r="Y28" s="8"/>
      <c r="Z28" s="8"/>
      <c r="AA28" s="8"/>
      <c r="AB28" s="8"/>
      <c r="AC28" s="8"/>
      <c r="AD28" s="7" t="s">
        <v>198</v>
      </c>
      <c r="AE28" s="7" t="s">
        <v>40</v>
      </c>
    </row>
    <row r="29" spans="1:31" ht="26.25" customHeight="1">
      <c r="A29" s="5">
        <v>28</v>
      </c>
      <c r="B29" s="6">
        <v>46152</v>
      </c>
      <c r="C29" s="7" t="s">
        <v>199</v>
      </c>
      <c r="D29" s="7"/>
      <c r="E29" s="8" t="s">
        <v>200</v>
      </c>
      <c r="F29" s="19" t="s">
        <v>48</v>
      </c>
      <c r="G29" s="19"/>
      <c r="H29" s="20"/>
      <c r="I29" s="20"/>
      <c r="J29" s="20" t="s">
        <v>201</v>
      </c>
      <c r="K29" s="20"/>
      <c r="L29" s="20"/>
      <c r="M29" s="20"/>
      <c r="N29" s="8" t="s">
        <v>35</v>
      </c>
      <c r="O29" s="8"/>
      <c r="P29" s="9"/>
      <c r="Q29" s="10" t="s">
        <v>36</v>
      </c>
      <c r="R29" s="19" t="s">
        <v>202</v>
      </c>
      <c r="S29" s="8"/>
      <c r="T29" s="8"/>
      <c r="U29" s="8" t="s">
        <v>38</v>
      </c>
      <c r="V29" s="8"/>
      <c r="W29" s="8"/>
      <c r="X29" s="8"/>
      <c r="Y29" s="8"/>
      <c r="Z29" s="8"/>
      <c r="AA29" s="8"/>
      <c r="AB29" s="8"/>
      <c r="AC29" s="8"/>
      <c r="AD29" s="7" t="s">
        <v>203</v>
      </c>
      <c r="AE29" s="7"/>
    </row>
    <row r="30" spans="1:31" ht="26.25" customHeight="1">
      <c r="A30" s="5">
        <v>29</v>
      </c>
      <c r="B30" s="6">
        <v>46152</v>
      </c>
      <c r="C30" s="7" t="s">
        <v>204</v>
      </c>
      <c r="D30" s="7"/>
      <c r="E30" s="8" t="s">
        <v>205</v>
      </c>
      <c r="F30" s="8" t="s">
        <v>206</v>
      </c>
      <c r="G30" s="8"/>
      <c r="H30" s="7"/>
      <c r="I30" s="7"/>
      <c r="J30" s="7" t="s">
        <v>207</v>
      </c>
      <c r="K30" s="7"/>
      <c r="L30" s="7"/>
      <c r="M30" s="7"/>
      <c r="N30" s="8" t="s">
        <v>35</v>
      </c>
      <c r="O30" s="8"/>
      <c r="P30" s="9"/>
      <c r="Q30" s="10" t="s">
        <v>36</v>
      </c>
      <c r="R30" s="8" t="s">
        <v>133</v>
      </c>
      <c r="S30" s="8"/>
      <c r="T30" s="8"/>
      <c r="U30" s="8" t="s">
        <v>38</v>
      </c>
      <c r="V30" s="8"/>
      <c r="W30" s="8"/>
      <c r="X30" s="8"/>
      <c r="Y30" s="8"/>
      <c r="Z30" s="8"/>
      <c r="AA30" s="8"/>
      <c r="AB30" s="8"/>
      <c r="AC30" s="8"/>
      <c r="AD30" s="7" t="s">
        <v>208</v>
      </c>
      <c r="AE30" s="7"/>
    </row>
    <row r="31" spans="1:31" ht="26.25" customHeight="1">
      <c r="A31" s="5">
        <v>30</v>
      </c>
      <c r="B31" s="6">
        <v>46152</v>
      </c>
      <c r="C31" s="7" t="s">
        <v>209</v>
      </c>
      <c r="D31" s="7"/>
      <c r="E31" s="8" t="s">
        <v>210</v>
      </c>
      <c r="F31" s="8" t="s">
        <v>211</v>
      </c>
      <c r="G31" s="8"/>
      <c r="H31" s="7"/>
      <c r="I31" s="7"/>
      <c r="J31" s="7" t="s">
        <v>43</v>
      </c>
      <c r="K31" s="7"/>
      <c r="L31" s="7"/>
      <c r="M31" s="7"/>
      <c r="N31" s="8" t="s">
        <v>35</v>
      </c>
      <c r="O31" s="8"/>
      <c r="P31" s="9"/>
      <c r="Q31" s="10" t="s">
        <v>36</v>
      </c>
      <c r="R31" s="8" t="s">
        <v>133</v>
      </c>
      <c r="S31" s="8"/>
      <c r="T31" s="8"/>
      <c r="U31" s="8" t="s">
        <v>38</v>
      </c>
      <c r="V31" s="8"/>
      <c r="W31" s="8"/>
      <c r="X31" s="8"/>
      <c r="Y31" s="8"/>
      <c r="Z31" s="8"/>
      <c r="AA31" s="8"/>
      <c r="AB31" s="8"/>
      <c r="AC31" s="8"/>
      <c r="AD31" s="7" t="s">
        <v>212</v>
      </c>
      <c r="AE31" s="7"/>
    </row>
    <row r="32" spans="1:31" ht="26.25" customHeight="1">
      <c r="A32" s="5">
        <v>31</v>
      </c>
      <c r="B32" s="6">
        <v>46152</v>
      </c>
      <c r="C32" s="7" t="s">
        <v>213</v>
      </c>
      <c r="D32" s="7"/>
      <c r="E32" s="8" t="s">
        <v>214</v>
      </c>
      <c r="F32" s="8" t="s">
        <v>215</v>
      </c>
      <c r="G32" s="8"/>
      <c r="H32" s="7"/>
      <c r="I32" s="7"/>
      <c r="J32" s="7" t="s">
        <v>216</v>
      </c>
      <c r="K32" s="7"/>
      <c r="L32" s="7"/>
      <c r="M32" s="7"/>
      <c r="N32" s="8" t="s">
        <v>35</v>
      </c>
      <c r="O32" s="8"/>
      <c r="P32" s="9"/>
      <c r="Q32" s="10" t="s">
        <v>36</v>
      </c>
      <c r="R32" s="8" t="s">
        <v>133</v>
      </c>
      <c r="S32" s="8"/>
      <c r="T32" s="8"/>
      <c r="U32" s="8" t="s">
        <v>38</v>
      </c>
      <c r="V32" s="8"/>
      <c r="W32" s="8"/>
      <c r="X32" s="8"/>
      <c r="Y32" s="8"/>
      <c r="Z32" s="8"/>
      <c r="AA32" s="8"/>
      <c r="AB32" s="8"/>
      <c r="AC32" s="8"/>
      <c r="AD32" s="7" t="s">
        <v>217</v>
      </c>
      <c r="AE32" s="7"/>
    </row>
    <row r="33" spans="1:31" ht="26.25" customHeight="1">
      <c r="A33" s="5">
        <v>32</v>
      </c>
      <c r="B33" s="6">
        <v>46152</v>
      </c>
      <c r="C33" s="7" t="s">
        <v>218</v>
      </c>
      <c r="D33" s="7"/>
      <c r="E33" s="8" t="s">
        <v>219</v>
      </c>
      <c r="F33" s="8" t="s">
        <v>220</v>
      </c>
      <c r="G33" s="8"/>
      <c r="H33" s="7"/>
      <c r="I33" s="7"/>
      <c r="J33" s="7" t="s">
        <v>221</v>
      </c>
      <c r="K33" s="7"/>
      <c r="L33" s="7"/>
      <c r="M33" s="7"/>
      <c r="N33" s="8" t="s">
        <v>35</v>
      </c>
      <c r="O33" s="8"/>
      <c r="P33" s="9"/>
      <c r="Q33" s="10" t="s">
        <v>36</v>
      </c>
      <c r="R33" s="8" t="s">
        <v>133</v>
      </c>
      <c r="S33" s="8"/>
      <c r="T33" s="8"/>
      <c r="U33" s="8" t="s">
        <v>38</v>
      </c>
      <c r="V33" s="8"/>
      <c r="W33" s="8"/>
      <c r="X33" s="8"/>
      <c r="Y33" s="8"/>
      <c r="Z33" s="8"/>
      <c r="AA33" s="8"/>
      <c r="AB33" s="8"/>
      <c r="AC33" s="8"/>
      <c r="AD33" s="7" t="s">
        <v>222</v>
      </c>
      <c r="AE33" s="7"/>
    </row>
    <row r="34" spans="1:31" ht="26.25" customHeight="1">
      <c r="A34" s="5">
        <v>33</v>
      </c>
      <c r="B34" s="6">
        <v>46152</v>
      </c>
      <c r="C34" s="7" t="s">
        <v>223</v>
      </c>
      <c r="D34" s="7"/>
      <c r="E34" s="8" t="s">
        <v>224</v>
      </c>
      <c r="F34" s="8" t="s">
        <v>225</v>
      </c>
      <c r="G34" s="8"/>
      <c r="H34" s="7"/>
      <c r="I34" s="7"/>
      <c r="J34" s="7" t="s">
        <v>226</v>
      </c>
      <c r="K34" s="7" t="s">
        <v>227</v>
      </c>
      <c r="L34" s="7"/>
      <c r="M34" s="7"/>
      <c r="N34" s="8" t="s">
        <v>77</v>
      </c>
      <c r="O34" s="8"/>
      <c r="P34" s="9"/>
      <c r="Q34" s="10" t="s">
        <v>36</v>
      </c>
      <c r="R34" s="8" t="s">
        <v>133</v>
      </c>
      <c r="S34" s="8" t="s">
        <v>228</v>
      </c>
      <c r="T34" s="8"/>
      <c r="U34" s="8" t="s">
        <v>38</v>
      </c>
      <c r="V34" s="8"/>
      <c r="W34" s="8"/>
      <c r="X34" s="8"/>
      <c r="Y34" s="8"/>
      <c r="Z34" s="8"/>
      <c r="AA34" s="8"/>
      <c r="AB34" s="8"/>
      <c r="AC34" s="8"/>
      <c r="AD34" s="7" t="s">
        <v>229</v>
      </c>
      <c r="AE34" s="7"/>
    </row>
    <row r="35" spans="1:31" ht="26.25" customHeight="1">
      <c r="A35" s="5">
        <v>34</v>
      </c>
      <c r="B35" s="6">
        <v>46183</v>
      </c>
      <c r="C35" s="7" t="s">
        <v>230</v>
      </c>
      <c r="D35" s="7"/>
      <c r="E35" s="8" t="s">
        <v>231</v>
      </c>
      <c r="F35" s="8" t="s">
        <v>232</v>
      </c>
      <c r="G35" s="8"/>
      <c r="H35" s="7"/>
      <c r="I35" s="7"/>
      <c r="J35" s="7" t="s">
        <v>233</v>
      </c>
      <c r="K35" s="7"/>
      <c r="L35" s="7"/>
      <c r="M35" s="7"/>
      <c r="N35" s="8" t="s">
        <v>35</v>
      </c>
      <c r="O35" s="8"/>
      <c r="P35" s="9"/>
      <c r="Q35" s="10" t="s">
        <v>36</v>
      </c>
      <c r="R35" s="8" t="s">
        <v>133</v>
      </c>
      <c r="S35" s="8"/>
      <c r="T35" s="8"/>
      <c r="U35" s="8" t="s">
        <v>38</v>
      </c>
      <c r="V35" s="8"/>
      <c r="W35" s="8"/>
      <c r="X35" s="8"/>
      <c r="Y35" s="8"/>
      <c r="Z35" s="8"/>
      <c r="AA35" s="8"/>
      <c r="AB35" s="8"/>
      <c r="AC35" s="8"/>
      <c r="AD35" s="7" t="s">
        <v>234</v>
      </c>
      <c r="AE35" s="7"/>
    </row>
    <row r="36" spans="1:31" ht="26.25" customHeight="1">
      <c r="A36" s="5">
        <v>35</v>
      </c>
      <c r="B36" s="6">
        <v>46152</v>
      </c>
      <c r="C36" s="7" t="s">
        <v>235</v>
      </c>
      <c r="D36" s="7"/>
      <c r="E36" s="8" t="s">
        <v>236</v>
      </c>
      <c r="F36" s="8" t="s">
        <v>237</v>
      </c>
      <c r="G36" s="8"/>
      <c r="H36" s="7"/>
      <c r="I36" s="7"/>
      <c r="J36" s="7" t="s">
        <v>43</v>
      </c>
      <c r="K36" s="7"/>
      <c r="L36" s="7"/>
      <c r="M36" s="7"/>
      <c r="N36" s="8" t="s">
        <v>44</v>
      </c>
      <c r="O36" s="8"/>
      <c r="P36" s="9"/>
      <c r="Q36" s="10" t="s">
        <v>36</v>
      </c>
      <c r="R36" s="8" t="s">
        <v>133</v>
      </c>
      <c r="S36" s="8"/>
      <c r="T36" s="8"/>
      <c r="U36" s="8" t="s">
        <v>38</v>
      </c>
      <c r="V36" s="8"/>
      <c r="W36" s="8"/>
      <c r="X36" s="8"/>
      <c r="Y36" s="8"/>
      <c r="Z36" s="8"/>
      <c r="AA36" s="8"/>
      <c r="AB36" s="8"/>
      <c r="AC36" s="8"/>
      <c r="AD36" s="7" t="s">
        <v>238</v>
      </c>
      <c r="AE36" s="7"/>
    </row>
    <row r="37" spans="1:31" ht="44.25" customHeight="1">
      <c r="A37" s="5">
        <v>36</v>
      </c>
      <c r="B37" s="6">
        <v>46152</v>
      </c>
      <c r="C37" s="7" t="s">
        <v>239</v>
      </c>
      <c r="D37" s="7"/>
      <c r="E37" s="8" t="s">
        <v>240</v>
      </c>
      <c r="F37" s="8" t="s">
        <v>142</v>
      </c>
      <c r="G37" s="8"/>
      <c r="H37" s="7" t="s">
        <v>241</v>
      </c>
      <c r="I37" s="7"/>
      <c r="J37" s="7" t="s">
        <v>242</v>
      </c>
      <c r="K37" s="7"/>
      <c r="L37" s="7"/>
      <c r="M37" s="7"/>
      <c r="N37" s="8" t="s">
        <v>35</v>
      </c>
      <c r="O37" s="8"/>
      <c r="P37" s="9"/>
      <c r="Q37" s="10" t="s">
        <v>36</v>
      </c>
      <c r="R37" s="8" t="s">
        <v>62</v>
      </c>
      <c r="S37" s="8"/>
      <c r="T37" s="8"/>
      <c r="U37" s="8" t="s">
        <v>173</v>
      </c>
      <c r="V37" s="8"/>
      <c r="W37" s="8" t="s">
        <v>63</v>
      </c>
      <c r="X37" s="8"/>
      <c r="Y37" s="8"/>
      <c r="Z37" s="8"/>
      <c r="AA37" s="8"/>
      <c r="AB37" s="8"/>
      <c r="AC37" s="8"/>
      <c r="AD37" s="7" t="s">
        <v>243</v>
      </c>
      <c r="AE37" s="7"/>
    </row>
    <row r="38" spans="1:31" ht="35.25" customHeight="1">
      <c r="A38" s="5">
        <v>37</v>
      </c>
      <c r="B38" s="6">
        <v>46152</v>
      </c>
      <c r="C38" s="7" t="s">
        <v>244</v>
      </c>
      <c r="D38" s="7"/>
      <c r="E38" s="8" t="s">
        <v>245</v>
      </c>
      <c r="F38" s="8" t="s">
        <v>48</v>
      </c>
      <c r="G38" s="8"/>
      <c r="H38" s="7"/>
      <c r="I38" s="7"/>
      <c r="J38" s="7" t="s">
        <v>246</v>
      </c>
      <c r="K38" s="7" t="s">
        <v>247</v>
      </c>
      <c r="L38" s="7" t="s">
        <v>248</v>
      </c>
      <c r="M38" s="7"/>
      <c r="N38" s="8" t="s">
        <v>35</v>
      </c>
      <c r="O38" s="8"/>
      <c r="P38" s="9"/>
      <c r="Q38" s="10" t="s">
        <v>36</v>
      </c>
      <c r="R38" s="8"/>
      <c r="S38" s="8" t="s">
        <v>37</v>
      </c>
      <c r="T38" s="8"/>
      <c r="U38" s="8" t="s">
        <v>38</v>
      </c>
      <c r="V38" s="8"/>
      <c r="W38" s="8" t="s">
        <v>249</v>
      </c>
      <c r="X38" s="8"/>
      <c r="Y38" s="8"/>
      <c r="Z38" s="8"/>
      <c r="AA38" s="8"/>
      <c r="AB38" s="8"/>
      <c r="AC38" s="8"/>
      <c r="AD38" s="7" t="s">
        <v>250</v>
      </c>
      <c r="AE38" s="7"/>
    </row>
    <row r="39" spans="1:31" ht="26.25" customHeight="1">
      <c r="A39" s="5">
        <v>38</v>
      </c>
      <c r="B39" s="6">
        <v>46152</v>
      </c>
      <c r="C39" s="7" t="s">
        <v>251</v>
      </c>
      <c r="D39" s="7"/>
      <c r="E39" s="8" t="s">
        <v>252</v>
      </c>
      <c r="F39" s="8" t="s">
        <v>48</v>
      </c>
      <c r="G39" s="8"/>
      <c r="H39" s="7"/>
      <c r="I39" s="7"/>
      <c r="J39" s="7" t="s">
        <v>253</v>
      </c>
      <c r="K39" s="7"/>
      <c r="L39" s="7"/>
      <c r="M39" s="7"/>
      <c r="N39" s="8" t="s">
        <v>122</v>
      </c>
      <c r="O39" s="8"/>
      <c r="P39" s="9"/>
      <c r="Q39" s="10" t="s">
        <v>36</v>
      </c>
      <c r="R39" s="8"/>
      <c r="S39" s="8" t="s">
        <v>37</v>
      </c>
      <c r="T39" s="8"/>
      <c r="U39" s="8" t="s">
        <v>38</v>
      </c>
      <c r="V39" s="8"/>
      <c r="W39" s="8"/>
      <c r="X39" s="8"/>
      <c r="Y39" s="8"/>
      <c r="Z39" s="8"/>
      <c r="AA39" s="8"/>
      <c r="AB39" s="8"/>
      <c r="AC39" s="8"/>
      <c r="AD39" s="7" t="s">
        <v>254</v>
      </c>
      <c r="AE39" s="7"/>
    </row>
    <row r="40" spans="1:31" ht="26.25" customHeight="1">
      <c r="A40" s="5">
        <v>39</v>
      </c>
      <c r="B40" s="6">
        <v>46151</v>
      </c>
      <c r="C40" s="7" t="s">
        <v>255</v>
      </c>
      <c r="D40" s="7"/>
      <c r="E40" s="8" t="s">
        <v>256</v>
      </c>
      <c r="F40" s="8" t="s">
        <v>257</v>
      </c>
      <c r="G40" s="8"/>
      <c r="H40" s="7" t="s">
        <v>258</v>
      </c>
      <c r="I40" s="7" t="s">
        <v>259</v>
      </c>
      <c r="J40" s="7" t="s">
        <v>260</v>
      </c>
      <c r="K40" s="7"/>
      <c r="L40" s="7"/>
      <c r="M40" s="7"/>
      <c r="N40" s="8" t="s">
        <v>35</v>
      </c>
      <c r="O40" s="8"/>
      <c r="P40" s="9"/>
      <c r="Q40" s="10" t="s">
        <v>36</v>
      </c>
      <c r="R40" s="8"/>
      <c r="S40" s="8"/>
      <c r="T40" s="8"/>
      <c r="U40" s="8" t="s">
        <v>173</v>
      </c>
      <c r="V40" s="8"/>
      <c r="W40" s="8" t="s">
        <v>63</v>
      </c>
      <c r="X40" s="8"/>
      <c r="Y40" s="8"/>
      <c r="Z40" s="8"/>
      <c r="AA40" s="8"/>
      <c r="AB40" s="8"/>
      <c r="AC40" s="8"/>
      <c r="AD40" s="7" t="s">
        <v>261</v>
      </c>
      <c r="AE40" s="7"/>
    </row>
    <row r="41" spans="1:31" ht="26.25" customHeight="1">
      <c r="A41" s="5">
        <v>40</v>
      </c>
      <c r="B41" s="6">
        <v>46151</v>
      </c>
      <c r="C41" s="7" t="s">
        <v>262</v>
      </c>
      <c r="D41" s="7"/>
      <c r="E41" s="8" t="s">
        <v>263</v>
      </c>
      <c r="F41" s="8" t="s">
        <v>264</v>
      </c>
      <c r="G41" s="8"/>
      <c r="H41" s="7"/>
      <c r="I41" s="7"/>
      <c r="J41" s="7" t="s">
        <v>43</v>
      </c>
      <c r="K41" s="7"/>
      <c r="L41" s="7"/>
      <c r="M41" s="7"/>
      <c r="N41" s="8" t="s">
        <v>44</v>
      </c>
      <c r="O41" s="8"/>
      <c r="P41" s="9"/>
      <c r="Q41" s="10" t="s">
        <v>36</v>
      </c>
      <c r="R41" s="8" t="s">
        <v>133</v>
      </c>
      <c r="S41" s="8"/>
      <c r="T41" s="8"/>
      <c r="U41" s="8" t="s">
        <v>38</v>
      </c>
      <c r="V41" s="8"/>
      <c r="W41" s="8"/>
      <c r="X41" s="8"/>
      <c r="Y41" s="8"/>
      <c r="Z41" s="8"/>
      <c r="AA41" s="8"/>
      <c r="AB41" s="8"/>
      <c r="AC41" s="8"/>
      <c r="AD41" s="7" t="s">
        <v>265</v>
      </c>
      <c r="AE41" s="7"/>
    </row>
    <row r="42" spans="1:31" ht="26.25" customHeight="1">
      <c r="A42" s="5">
        <v>41</v>
      </c>
      <c r="B42" s="6">
        <v>46151</v>
      </c>
      <c r="C42" s="7" t="s">
        <v>266</v>
      </c>
      <c r="D42" s="7"/>
      <c r="E42" s="8" t="s">
        <v>267</v>
      </c>
      <c r="F42" s="8" t="s">
        <v>268</v>
      </c>
      <c r="G42" s="8"/>
      <c r="H42" s="7"/>
      <c r="I42" s="7"/>
      <c r="J42" s="7" t="s">
        <v>43</v>
      </c>
      <c r="K42" s="7"/>
      <c r="L42" s="7"/>
      <c r="M42" s="7"/>
      <c r="N42" s="8" t="s">
        <v>44</v>
      </c>
      <c r="O42" s="8"/>
      <c r="P42" s="9"/>
      <c r="Q42" s="10" t="s">
        <v>36</v>
      </c>
      <c r="R42" s="8" t="s">
        <v>133</v>
      </c>
      <c r="S42" s="8"/>
      <c r="T42" s="8"/>
      <c r="U42" s="8" t="s">
        <v>38</v>
      </c>
      <c r="V42" s="8"/>
      <c r="W42" s="8"/>
      <c r="X42" s="8"/>
      <c r="Y42" s="8"/>
      <c r="Z42" s="8"/>
      <c r="AA42" s="8"/>
      <c r="AB42" s="8"/>
      <c r="AC42" s="8"/>
      <c r="AD42" s="7" t="s">
        <v>269</v>
      </c>
      <c r="AE42" s="7"/>
    </row>
    <row r="43" spans="1:31" ht="26.25" customHeight="1">
      <c r="A43" s="5">
        <v>42</v>
      </c>
      <c r="B43" s="6">
        <v>46151</v>
      </c>
      <c r="C43" s="7" t="s">
        <v>270</v>
      </c>
      <c r="D43" s="7"/>
      <c r="E43" s="8" t="s">
        <v>271</v>
      </c>
      <c r="F43" s="8" t="s">
        <v>272</v>
      </c>
      <c r="G43" s="8"/>
      <c r="H43" s="7"/>
      <c r="I43" s="7"/>
      <c r="J43" s="7" t="s">
        <v>43</v>
      </c>
      <c r="K43" s="7"/>
      <c r="L43" s="7"/>
      <c r="M43" s="7"/>
      <c r="N43" s="8" t="s">
        <v>44</v>
      </c>
      <c r="O43" s="8"/>
      <c r="P43" s="9"/>
      <c r="Q43" s="10" t="s">
        <v>36</v>
      </c>
      <c r="R43" s="8" t="s">
        <v>133</v>
      </c>
      <c r="S43" s="8"/>
      <c r="T43" s="8"/>
      <c r="U43" s="8" t="s">
        <v>38</v>
      </c>
      <c r="V43" s="8"/>
      <c r="W43" s="8"/>
      <c r="X43" s="8"/>
      <c r="Y43" s="8"/>
      <c r="Z43" s="8"/>
      <c r="AA43" s="8"/>
      <c r="AB43" s="8"/>
      <c r="AC43" s="8"/>
      <c r="AD43" s="7" t="s">
        <v>273</v>
      </c>
      <c r="AE43" s="7"/>
    </row>
    <row r="44" spans="1:31" ht="26.25" customHeight="1">
      <c r="A44" s="5">
        <v>43</v>
      </c>
      <c r="B44" s="6">
        <v>46151</v>
      </c>
      <c r="C44" s="7" t="s">
        <v>274</v>
      </c>
      <c r="D44" s="7"/>
      <c r="E44" s="8" t="s">
        <v>275</v>
      </c>
      <c r="F44" s="8" t="s">
        <v>48</v>
      </c>
      <c r="G44" s="8"/>
      <c r="H44" s="7"/>
      <c r="I44" s="7"/>
      <c r="J44" s="7" t="s">
        <v>276</v>
      </c>
      <c r="K44" s="7"/>
      <c r="L44" s="7"/>
      <c r="M44" s="7"/>
      <c r="N44" s="8" t="s">
        <v>35</v>
      </c>
      <c r="O44" s="8"/>
      <c r="P44" s="9"/>
      <c r="Q44" s="10" t="s">
        <v>36</v>
      </c>
      <c r="R44" s="8" t="s">
        <v>133</v>
      </c>
      <c r="S44" s="8"/>
      <c r="T44" s="8"/>
      <c r="U44" s="8" t="s">
        <v>38</v>
      </c>
      <c r="V44" s="8"/>
      <c r="W44" s="8"/>
      <c r="X44" s="8"/>
      <c r="Y44" s="8"/>
      <c r="Z44" s="8"/>
      <c r="AA44" s="8"/>
      <c r="AB44" s="8"/>
      <c r="AC44" s="8"/>
      <c r="AD44" s="7" t="s">
        <v>277</v>
      </c>
      <c r="AE44" s="7"/>
    </row>
    <row r="45" spans="1:31" ht="26.25" customHeight="1">
      <c r="A45" s="5">
        <v>44</v>
      </c>
      <c r="B45" s="6">
        <v>46151</v>
      </c>
      <c r="C45" s="7" t="s">
        <v>278</v>
      </c>
      <c r="D45" s="7"/>
      <c r="E45" s="8" t="s">
        <v>279</v>
      </c>
      <c r="F45" s="8" t="s">
        <v>280</v>
      </c>
      <c r="G45" s="8"/>
      <c r="H45" s="7"/>
      <c r="I45" s="7"/>
      <c r="J45" s="7" t="s">
        <v>43</v>
      </c>
      <c r="K45" s="7"/>
      <c r="L45" s="7"/>
      <c r="M45" s="7"/>
      <c r="N45" s="8" t="s">
        <v>44</v>
      </c>
      <c r="O45" s="8"/>
      <c r="P45" s="9"/>
      <c r="Q45" s="10" t="s">
        <v>36</v>
      </c>
      <c r="R45" s="8" t="s">
        <v>133</v>
      </c>
      <c r="S45" s="8"/>
      <c r="T45" s="8"/>
      <c r="U45" s="8" t="s">
        <v>38</v>
      </c>
      <c r="V45" s="8"/>
      <c r="W45" s="8"/>
      <c r="X45" s="8"/>
      <c r="Y45" s="8"/>
      <c r="Z45" s="8"/>
      <c r="AA45" s="8"/>
      <c r="AB45" s="8"/>
      <c r="AC45" s="8"/>
      <c r="AD45" s="7" t="s">
        <v>281</v>
      </c>
      <c r="AE45" s="7"/>
    </row>
    <row r="46" spans="1:31" ht="26.25" customHeight="1">
      <c r="A46" s="5">
        <v>45</v>
      </c>
      <c r="B46" s="6">
        <v>46151</v>
      </c>
      <c r="C46" s="7" t="s">
        <v>282</v>
      </c>
      <c r="D46" s="7"/>
      <c r="E46" s="8" t="s">
        <v>283</v>
      </c>
      <c r="F46" s="8" t="s">
        <v>142</v>
      </c>
      <c r="G46" s="8"/>
      <c r="H46" s="7"/>
      <c r="I46" s="7"/>
      <c r="J46" s="7" t="s">
        <v>43</v>
      </c>
      <c r="K46" s="7"/>
      <c r="L46" s="7"/>
      <c r="M46" s="7"/>
      <c r="N46" s="8" t="s">
        <v>44</v>
      </c>
      <c r="O46" s="8"/>
      <c r="P46" s="9"/>
      <c r="Q46" s="10" t="s">
        <v>36</v>
      </c>
      <c r="R46" s="8" t="s">
        <v>133</v>
      </c>
      <c r="S46" s="8"/>
      <c r="T46" s="8"/>
      <c r="U46" s="8" t="s">
        <v>38</v>
      </c>
      <c r="V46" s="8"/>
      <c r="W46" s="8"/>
      <c r="X46" s="8"/>
      <c r="Y46" s="8"/>
      <c r="Z46" s="8"/>
      <c r="AA46" s="8"/>
      <c r="AB46" s="8"/>
      <c r="AC46" s="8"/>
      <c r="AD46" s="7" t="s">
        <v>284</v>
      </c>
      <c r="AE46" s="7"/>
    </row>
    <row r="47" spans="1:31" ht="26.25" customHeight="1">
      <c r="A47" s="5">
        <v>46</v>
      </c>
      <c r="B47" s="6">
        <v>46151</v>
      </c>
      <c r="C47" s="7" t="s">
        <v>285</v>
      </c>
      <c r="D47" s="7"/>
      <c r="E47" s="8" t="s">
        <v>286</v>
      </c>
      <c r="F47" s="8" t="s">
        <v>287</v>
      </c>
      <c r="G47" s="8"/>
      <c r="H47" s="7"/>
      <c r="I47" s="7"/>
      <c r="J47" s="7" t="s">
        <v>43</v>
      </c>
      <c r="K47" s="7"/>
      <c r="L47" s="7"/>
      <c r="M47" s="7"/>
      <c r="N47" s="8" t="s">
        <v>44</v>
      </c>
      <c r="O47" s="8"/>
      <c r="P47" s="9"/>
      <c r="Q47" s="10" t="s">
        <v>36</v>
      </c>
      <c r="R47" s="8"/>
      <c r="S47" s="8"/>
      <c r="T47" s="8"/>
      <c r="U47" s="8" t="s">
        <v>38</v>
      </c>
      <c r="V47" s="8"/>
      <c r="W47" s="8"/>
      <c r="X47" s="8"/>
      <c r="Y47" s="8"/>
      <c r="Z47" s="8"/>
      <c r="AA47" s="8"/>
      <c r="AB47" s="8"/>
      <c r="AC47" s="8"/>
      <c r="AD47" s="7" t="s">
        <v>288</v>
      </c>
      <c r="AE47" s="7"/>
    </row>
    <row r="48" spans="1:31" ht="26.25" customHeight="1">
      <c r="A48" s="5">
        <v>47</v>
      </c>
      <c r="B48" s="6">
        <v>46151</v>
      </c>
      <c r="C48" s="7" t="s">
        <v>289</v>
      </c>
      <c r="D48" s="7"/>
      <c r="E48" s="8" t="s">
        <v>290</v>
      </c>
      <c r="F48" s="8" t="s">
        <v>60</v>
      </c>
      <c r="G48" s="8"/>
      <c r="H48" s="7"/>
      <c r="I48" s="7"/>
      <c r="J48" s="7" t="s">
        <v>116</v>
      </c>
      <c r="K48" s="7"/>
      <c r="L48" s="7"/>
      <c r="M48" s="7"/>
      <c r="N48" s="8" t="s">
        <v>35</v>
      </c>
      <c r="O48" s="8"/>
      <c r="P48" s="9"/>
      <c r="Q48" s="10" t="s">
        <v>36</v>
      </c>
      <c r="R48" s="8"/>
      <c r="S48" s="8"/>
      <c r="T48" s="8"/>
      <c r="U48" s="8" t="s">
        <v>173</v>
      </c>
      <c r="V48" s="8"/>
      <c r="W48" s="8" t="s">
        <v>63</v>
      </c>
      <c r="X48" s="8"/>
      <c r="Y48" s="8"/>
      <c r="Z48" s="8"/>
      <c r="AA48" s="8"/>
      <c r="AB48" s="8"/>
      <c r="AC48" s="8"/>
      <c r="AD48" s="7" t="s">
        <v>291</v>
      </c>
      <c r="AE48" s="7"/>
    </row>
    <row r="49" spans="1:31" ht="26.25" customHeight="1">
      <c r="A49" s="21">
        <v>48</v>
      </c>
      <c r="B49" s="22">
        <v>46164</v>
      </c>
      <c r="C49" s="23" t="s">
        <v>292</v>
      </c>
      <c r="D49" s="23"/>
      <c r="E49" s="24" t="s">
        <v>293</v>
      </c>
      <c r="F49" s="24"/>
      <c r="G49" s="24"/>
      <c r="H49" s="23"/>
      <c r="I49" s="23"/>
      <c r="J49" s="23"/>
      <c r="K49" s="23"/>
      <c r="L49" s="23"/>
      <c r="M49" s="23"/>
      <c r="N49" s="24" t="s">
        <v>122</v>
      </c>
      <c r="O49" s="24"/>
      <c r="P49" s="25"/>
      <c r="Q49" s="26" t="s">
        <v>71</v>
      </c>
      <c r="R49" s="24"/>
      <c r="S49" s="24"/>
      <c r="T49" s="24"/>
      <c r="U49" s="24" t="s">
        <v>38</v>
      </c>
      <c r="V49" s="24"/>
      <c r="W49" s="24"/>
      <c r="X49" s="24" t="s">
        <v>249</v>
      </c>
      <c r="Y49" s="24"/>
      <c r="Z49" s="24"/>
      <c r="AA49" s="24"/>
      <c r="AB49" s="24"/>
      <c r="AC49" s="24"/>
      <c r="AD49" s="23"/>
      <c r="AE49" s="23"/>
    </row>
    <row r="50" spans="1:31" ht="26.25" customHeight="1">
      <c r="A50" s="5">
        <v>49</v>
      </c>
      <c r="B50" s="6">
        <v>46164</v>
      </c>
      <c r="C50" s="7" t="s">
        <v>294</v>
      </c>
      <c r="D50" s="7"/>
      <c r="E50" s="8" t="s">
        <v>295</v>
      </c>
      <c r="F50" s="8"/>
      <c r="G50" s="8"/>
      <c r="H50" s="7"/>
      <c r="I50" s="7"/>
      <c r="J50" s="7" t="s">
        <v>296</v>
      </c>
      <c r="K50" s="7"/>
      <c r="L50" s="7"/>
      <c r="M50" s="7"/>
      <c r="N50" s="8" t="s">
        <v>44</v>
      </c>
      <c r="O50" s="8"/>
      <c r="P50" s="9"/>
      <c r="Q50" s="10" t="s">
        <v>71</v>
      </c>
      <c r="R50" s="8"/>
      <c r="S50" s="8"/>
      <c r="T50" s="8"/>
      <c r="U50" s="8" t="s">
        <v>38</v>
      </c>
      <c r="V50" s="8"/>
      <c r="W50" s="8"/>
      <c r="X50" s="8" t="s">
        <v>249</v>
      </c>
      <c r="Y50" s="8"/>
      <c r="Z50" s="8"/>
      <c r="AA50" s="8"/>
      <c r="AB50" s="8"/>
      <c r="AC50" s="8"/>
      <c r="AD50" s="7"/>
      <c r="AE50" s="7"/>
    </row>
    <row r="51" spans="1:31" ht="26.25" customHeight="1">
      <c r="A51" s="21">
        <v>50</v>
      </c>
      <c r="B51" s="22">
        <v>46164</v>
      </c>
      <c r="C51" s="23" t="s">
        <v>297</v>
      </c>
      <c r="D51" s="23"/>
      <c r="E51" s="24" t="s">
        <v>298</v>
      </c>
      <c r="F51" s="24" t="s">
        <v>48</v>
      </c>
      <c r="G51" s="24"/>
      <c r="H51" s="23"/>
      <c r="I51" s="23"/>
      <c r="J51" s="23" t="s">
        <v>299</v>
      </c>
      <c r="K51" s="23"/>
      <c r="L51" s="23"/>
      <c r="M51" s="23"/>
      <c r="N51" s="24" t="s">
        <v>122</v>
      </c>
      <c r="O51" s="24"/>
      <c r="P51" s="25"/>
      <c r="Q51" s="26" t="s">
        <v>71</v>
      </c>
      <c r="R51" s="24"/>
      <c r="S51" s="24"/>
      <c r="T51" s="24"/>
      <c r="U51" s="24" t="s">
        <v>38</v>
      </c>
      <c r="V51" s="24"/>
      <c r="W51" s="24"/>
      <c r="X51" s="24" t="s">
        <v>249</v>
      </c>
      <c r="Y51" s="24"/>
      <c r="Z51" s="24"/>
      <c r="AA51" s="24"/>
      <c r="AB51" s="24"/>
      <c r="AC51" s="24"/>
      <c r="AD51" s="23"/>
      <c r="AE51" s="23"/>
    </row>
    <row r="52" spans="1:31" ht="26.25" customHeight="1">
      <c r="A52" s="21">
        <v>51</v>
      </c>
      <c r="B52" s="22">
        <v>46164</v>
      </c>
      <c r="C52" s="23" t="s">
        <v>300</v>
      </c>
      <c r="D52" s="23"/>
      <c r="E52" s="24" t="s">
        <v>301</v>
      </c>
      <c r="F52" s="24"/>
      <c r="G52" s="24"/>
      <c r="H52" s="23"/>
      <c r="I52" s="23"/>
      <c r="J52" s="23" t="s">
        <v>302</v>
      </c>
      <c r="K52" s="23"/>
      <c r="L52" s="23"/>
      <c r="M52" s="23"/>
      <c r="N52" s="24" t="s">
        <v>122</v>
      </c>
      <c r="O52" s="24"/>
      <c r="P52" s="25"/>
      <c r="Q52" s="26" t="s">
        <v>71</v>
      </c>
      <c r="R52" s="24"/>
      <c r="S52" s="24"/>
      <c r="T52" s="24"/>
      <c r="U52" s="24" t="s">
        <v>38</v>
      </c>
      <c r="V52" s="24"/>
      <c r="W52" s="24"/>
      <c r="X52" s="24" t="s">
        <v>249</v>
      </c>
      <c r="Y52" s="24"/>
      <c r="Z52" s="24"/>
      <c r="AA52" s="24"/>
      <c r="AB52" s="24"/>
      <c r="AC52" s="24"/>
      <c r="AD52" s="23"/>
      <c r="AE52" s="23"/>
    </row>
    <row r="53" spans="1:31" ht="26.25" customHeight="1">
      <c r="A53" s="5">
        <v>52</v>
      </c>
      <c r="B53" s="6">
        <v>46165</v>
      </c>
      <c r="C53" s="7" t="s">
        <v>303</v>
      </c>
      <c r="D53" s="7" t="s">
        <v>304</v>
      </c>
      <c r="E53" s="8">
        <v>8608444498</v>
      </c>
      <c r="F53" s="8" t="s">
        <v>142</v>
      </c>
      <c r="G53" s="27"/>
      <c r="H53" s="7"/>
      <c r="I53" s="7"/>
      <c r="J53" s="7" t="s">
        <v>305</v>
      </c>
      <c r="K53" s="7" t="s">
        <v>306</v>
      </c>
      <c r="L53" s="7"/>
      <c r="M53" s="7"/>
      <c r="N53" s="8" t="s">
        <v>106</v>
      </c>
      <c r="O53" s="8"/>
      <c r="P53" s="9"/>
      <c r="Q53" s="10" t="s">
        <v>307</v>
      </c>
      <c r="R53" s="8" t="s">
        <v>133</v>
      </c>
      <c r="S53" s="8"/>
      <c r="T53" s="8"/>
      <c r="U53" s="8" t="s">
        <v>144</v>
      </c>
      <c r="V53" s="8"/>
      <c r="W53" s="8"/>
      <c r="X53" s="8" t="s">
        <v>173</v>
      </c>
      <c r="Y53" s="8"/>
      <c r="Z53" s="8"/>
      <c r="AA53" s="8"/>
      <c r="AB53" s="8"/>
      <c r="AC53" s="8"/>
      <c r="AD53" s="7"/>
      <c r="AE53" s="7"/>
    </row>
    <row r="54" spans="1:31" ht="26.25" customHeight="1">
      <c r="A54" s="5">
        <v>53</v>
      </c>
      <c r="B54" s="6">
        <v>46171</v>
      </c>
      <c r="C54" s="7" t="s">
        <v>308</v>
      </c>
      <c r="D54" s="7"/>
      <c r="E54" s="8" t="s">
        <v>309</v>
      </c>
      <c r="F54" s="8"/>
      <c r="G54" s="27"/>
      <c r="H54" s="7"/>
      <c r="I54" s="7"/>
      <c r="J54" s="7" t="s">
        <v>296</v>
      </c>
      <c r="K54" s="7"/>
      <c r="L54" s="7"/>
      <c r="M54" s="7"/>
      <c r="N54" s="8" t="s">
        <v>35</v>
      </c>
      <c r="O54" s="8"/>
      <c r="P54" s="9"/>
      <c r="Q54" s="10" t="s">
        <v>71</v>
      </c>
      <c r="R54" s="8" t="s">
        <v>133</v>
      </c>
      <c r="S54" s="8"/>
      <c r="T54" s="8"/>
      <c r="U54" s="8" t="s">
        <v>38</v>
      </c>
      <c r="V54" s="8"/>
      <c r="W54" s="8"/>
      <c r="X54" s="8" t="s">
        <v>249</v>
      </c>
      <c r="Y54" s="8"/>
      <c r="Z54" s="8"/>
      <c r="AA54" s="8"/>
      <c r="AB54" s="8"/>
      <c r="AC54" s="8"/>
      <c r="AD54" s="7"/>
      <c r="AE54" s="7"/>
    </row>
    <row r="55" spans="1:31" ht="26.25" customHeight="1">
      <c r="A55" s="5">
        <v>54</v>
      </c>
      <c r="B55" s="6">
        <v>46171</v>
      </c>
      <c r="C55" s="7" t="s">
        <v>310</v>
      </c>
      <c r="D55" s="7"/>
      <c r="E55" s="8" t="s">
        <v>311</v>
      </c>
      <c r="F55" s="8" t="s">
        <v>312</v>
      </c>
      <c r="G55" s="27"/>
      <c r="H55" s="7"/>
      <c r="I55" s="7"/>
      <c r="J55" s="7" t="s">
        <v>313</v>
      </c>
      <c r="K55" s="7"/>
      <c r="L55" s="7"/>
      <c r="M55" s="7"/>
      <c r="N55" s="8" t="s">
        <v>35</v>
      </c>
      <c r="O55" s="8"/>
      <c r="P55" s="9"/>
      <c r="Q55" s="10" t="s">
        <v>71</v>
      </c>
      <c r="R55" s="8" t="s">
        <v>133</v>
      </c>
      <c r="S55" s="8"/>
      <c r="T55" s="8"/>
      <c r="U55" s="8" t="s">
        <v>38</v>
      </c>
      <c r="V55" s="8"/>
      <c r="W55" s="8"/>
      <c r="X55" s="8" t="s">
        <v>249</v>
      </c>
      <c r="Y55" s="8"/>
      <c r="Z55" s="8"/>
      <c r="AA55" s="8"/>
      <c r="AB55" s="8"/>
      <c r="AC55" s="8"/>
      <c r="AD55" s="7"/>
      <c r="AE55" s="7"/>
    </row>
    <row r="56" spans="1:31" ht="26.25" customHeight="1">
      <c r="A56" s="5">
        <v>55</v>
      </c>
      <c r="B56" s="6">
        <v>46171</v>
      </c>
      <c r="C56" s="7" t="s">
        <v>314</v>
      </c>
      <c r="D56" s="7"/>
      <c r="E56" s="8" t="s">
        <v>315</v>
      </c>
      <c r="F56" s="8" t="s">
        <v>316</v>
      </c>
      <c r="G56" s="8"/>
      <c r="H56" s="7"/>
      <c r="I56" s="7"/>
      <c r="J56" s="7" t="s">
        <v>317</v>
      </c>
      <c r="K56" s="7"/>
      <c r="L56" s="7"/>
      <c r="M56" s="7"/>
      <c r="N56" s="8" t="s">
        <v>35</v>
      </c>
      <c r="O56" s="8"/>
      <c r="P56" s="9"/>
      <c r="Q56" s="10" t="s">
        <v>71</v>
      </c>
      <c r="R56" s="8" t="s">
        <v>62</v>
      </c>
      <c r="S56" s="8"/>
      <c r="T56" s="8"/>
      <c r="U56" s="8" t="s">
        <v>249</v>
      </c>
      <c r="V56" s="8"/>
      <c r="W56" s="8" t="s">
        <v>63</v>
      </c>
      <c r="X56" s="8" t="s">
        <v>249</v>
      </c>
      <c r="Y56" s="8"/>
      <c r="Z56" s="8"/>
      <c r="AA56" s="8"/>
      <c r="AB56" s="8"/>
      <c r="AC56" s="8"/>
      <c r="AD56" s="7"/>
      <c r="AE56" s="7"/>
    </row>
    <row r="57" spans="1:31" ht="26.25" customHeight="1">
      <c r="A57" s="5">
        <v>56</v>
      </c>
      <c r="B57" s="6">
        <v>46172</v>
      </c>
      <c r="C57" s="7" t="s">
        <v>318</v>
      </c>
      <c r="D57" s="7" t="s">
        <v>319</v>
      </c>
      <c r="E57" s="8">
        <v>9039680140</v>
      </c>
      <c r="F57" s="8" t="s">
        <v>320</v>
      </c>
      <c r="G57" s="27"/>
      <c r="H57" s="7"/>
      <c r="I57" s="7"/>
      <c r="J57" s="7" t="s">
        <v>321</v>
      </c>
      <c r="K57" s="7"/>
      <c r="L57" s="7"/>
      <c r="M57" s="7"/>
      <c r="N57" s="8" t="s">
        <v>44</v>
      </c>
      <c r="O57" s="8"/>
      <c r="P57" s="9"/>
      <c r="Q57" s="10" t="s">
        <v>36</v>
      </c>
      <c r="R57" s="8" t="s">
        <v>133</v>
      </c>
      <c r="S57" s="8"/>
      <c r="T57" s="8"/>
      <c r="U57" s="8" t="s">
        <v>38</v>
      </c>
      <c r="V57" s="8"/>
      <c r="W57" s="8"/>
      <c r="X57" s="8"/>
      <c r="Y57" s="8"/>
      <c r="Z57" s="8"/>
      <c r="AA57" s="8"/>
      <c r="AB57" s="8"/>
      <c r="AC57" s="8"/>
      <c r="AD57" s="7" t="s">
        <v>322</v>
      </c>
      <c r="AE57" s="7"/>
    </row>
    <row r="58" spans="1:31" ht="26.25" customHeight="1">
      <c r="A58" s="5">
        <v>57</v>
      </c>
      <c r="B58" s="6">
        <v>46172</v>
      </c>
      <c r="C58" s="7" t="s">
        <v>323</v>
      </c>
      <c r="D58" s="7" t="s">
        <v>324</v>
      </c>
      <c r="E58" s="8">
        <v>9994956656</v>
      </c>
      <c r="F58" s="8" t="s">
        <v>325</v>
      </c>
      <c r="G58" s="27">
        <v>1</v>
      </c>
      <c r="H58" s="7"/>
      <c r="I58" s="7"/>
      <c r="J58" s="7" t="s">
        <v>326</v>
      </c>
      <c r="K58" s="7" t="s">
        <v>327</v>
      </c>
      <c r="L58" s="7" t="s">
        <v>328</v>
      </c>
      <c r="M58" s="7"/>
      <c r="N58" s="8" t="s">
        <v>329</v>
      </c>
      <c r="O58" s="8"/>
      <c r="P58" s="9"/>
      <c r="Q58" s="10" t="s">
        <v>36</v>
      </c>
      <c r="R58" s="8" t="s">
        <v>133</v>
      </c>
      <c r="S58" s="8" t="s">
        <v>37</v>
      </c>
      <c r="T58" s="8"/>
      <c r="U58" s="8" t="s">
        <v>38</v>
      </c>
      <c r="V58" s="8"/>
      <c r="W58" s="8"/>
      <c r="X58" s="8"/>
      <c r="Y58" s="8"/>
      <c r="Z58" s="8"/>
      <c r="AA58" s="8"/>
      <c r="AB58" s="8"/>
      <c r="AC58" s="8"/>
      <c r="AD58" s="7" t="s">
        <v>330</v>
      </c>
      <c r="AE58" s="7"/>
    </row>
    <row r="59" spans="1:31" ht="26.25" customHeight="1">
      <c r="A59" s="5">
        <v>58</v>
      </c>
      <c r="B59" s="6">
        <v>46172</v>
      </c>
      <c r="C59" s="7" t="s">
        <v>331</v>
      </c>
      <c r="D59" s="7" t="s">
        <v>332</v>
      </c>
      <c r="E59" s="8">
        <v>9632227286</v>
      </c>
      <c r="F59" s="8" t="s">
        <v>110</v>
      </c>
      <c r="G59" s="8"/>
      <c r="H59" s="12" t="s">
        <v>333</v>
      </c>
      <c r="I59" s="7"/>
      <c r="J59" s="7" t="s">
        <v>334</v>
      </c>
      <c r="K59" s="7"/>
      <c r="L59" s="7" t="s">
        <v>335</v>
      </c>
      <c r="M59" s="7" t="s">
        <v>336</v>
      </c>
      <c r="N59" s="8" t="s">
        <v>106</v>
      </c>
      <c r="O59" s="8"/>
      <c r="P59" s="9"/>
      <c r="Q59" s="10" t="s">
        <v>36</v>
      </c>
      <c r="R59" s="8" t="s">
        <v>337</v>
      </c>
      <c r="S59" s="8" t="s">
        <v>37</v>
      </c>
      <c r="T59" s="8"/>
      <c r="U59" s="8" t="s">
        <v>38</v>
      </c>
      <c r="V59" s="8"/>
      <c r="W59" s="8"/>
      <c r="X59" s="8"/>
      <c r="Y59" s="8"/>
      <c r="Z59" s="8"/>
      <c r="AA59" s="8"/>
      <c r="AB59" s="8"/>
      <c r="AC59" s="8"/>
      <c r="AD59" s="7" t="s">
        <v>338</v>
      </c>
      <c r="AE59" s="7"/>
    </row>
    <row r="60" spans="1:31" ht="26.25" customHeight="1">
      <c r="A60" s="5">
        <v>59</v>
      </c>
      <c r="B60" s="6">
        <v>46172</v>
      </c>
      <c r="C60" s="7" t="s">
        <v>339</v>
      </c>
      <c r="D60" s="7" t="s">
        <v>340</v>
      </c>
      <c r="E60" s="8">
        <v>8639577477</v>
      </c>
      <c r="F60" s="8"/>
      <c r="G60" s="8"/>
      <c r="H60" s="7"/>
      <c r="I60" s="7"/>
      <c r="J60" s="7" t="s">
        <v>341</v>
      </c>
      <c r="K60" s="7"/>
      <c r="L60" s="7"/>
      <c r="M60" s="7"/>
      <c r="N60" s="8" t="s">
        <v>35</v>
      </c>
      <c r="O60" s="8"/>
      <c r="P60" s="9"/>
      <c r="Q60" s="10" t="s">
        <v>36</v>
      </c>
      <c r="R60" s="8"/>
      <c r="S60" s="8"/>
      <c r="T60" s="8"/>
      <c r="U60" s="8" t="s">
        <v>38</v>
      </c>
      <c r="V60" s="8"/>
      <c r="W60" s="8"/>
      <c r="X60" s="8"/>
      <c r="Y60" s="8"/>
      <c r="Z60" s="8"/>
      <c r="AA60" s="8"/>
      <c r="AB60" s="8"/>
      <c r="AC60" s="8"/>
      <c r="AD60" s="7" t="s">
        <v>342</v>
      </c>
      <c r="AE60" s="7"/>
    </row>
    <row r="61" spans="1:31" ht="26.25" customHeight="1">
      <c r="A61" s="5">
        <v>60</v>
      </c>
      <c r="B61" s="6">
        <v>46172</v>
      </c>
      <c r="C61" s="11" t="s">
        <v>204</v>
      </c>
      <c r="D61" s="11" t="s">
        <v>343</v>
      </c>
      <c r="E61" s="28">
        <v>9940089983</v>
      </c>
      <c r="F61" s="28" t="s">
        <v>48</v>
      </c>
      <c r="G61" s="29"/>
      <c r="H61" s="11"/>
      <c r="I61" s="11"/>
      <c r="J61" s="11" t="s">
        <v>344</v>
      </c>
      <c r="K61" s="7"/>
      <c r="L61" s="7"/>
      <c r="M61" s="7"/>
      <c r="N61" s="8" t="s">
        <v>35</v>
      </c>
      <c r="O61" s="8"/>
      <c r="P61" s="9"/>
      <c r="Q61" s="10" t="s">
        <v>36</v>
      </c>
      <c r="R61" s="8" t="s">
        <v>337</v>
      </c>
      <c r="S61" s="8"/>
      <c r="T61" s="8"/>
      <c r="U61" s="8" t="s">
        <v>38</v>
      </c>
      <c r="V61" s="8"/>
      <c r="W61" s="8"/>
      <c r="X61" s="8"/>
      <c r="Y61" s="8"/>
      <c r="Z61" s="8"/>
      <c r="AA61" s="8"/>
      <c r="AB61" s="8"/>
      <c r="AC61" s="8"/>
      <c r="AD61" s="7" t="s">
        <v>345</v>
      </c>
      <c r="AE61" s="7"/>
    </row>
    <row r="62" spans="1:31" ht="26.25" customHeight="1">
      <c r="A62" s="5">
        <v>61</v>
      </c>
      <c r="B62" s="6">
        <v>46172</v>
      </c>
      <c r="C62" s="7" t="s">
        <v>346</v>
      </c>
      <c r="D62" s="7" t="s">
        <v>347</v>
      </c>
      <c r="E62" s="8">
        <v>9686112286</v>
      </c>
      <c r="F62" s="8" t="s">
        <v>110</v>
      </c>
      <c r="G62" s="8"/>
      <c r="H62" s="7"/>
      <c r="I62" s="7"/>
      <c r="J62" s="7" t="s">
        <v>348</v>
      </c>
      <c r="K62" s="7"/>
      <c r="L62" s="7"/>
      <c r="M62" s="7"/>
      <c r="N62" s="8" t="s">
        <v>44</v>
      </c>
      <c r="O62" s="8"/>
      <c r="P62" s="9"/>
      <c r="Q62" s="10" t="s">
        <v>36</v>
      </c>
      <c r="R62" s="8"/>
      <c r="S62" s="8"/>
      <c r="T62" s="8"/>
      <c r="U62" s="8" t="s">
        <v>38</v>
      </c>
      <c r="V62" s="8"/>
      <c r="W62" s="8"/>
      <c r="X62" s="8"/>
      <c r="Y62" s="8"/>
      <c r="Z62" s="8"/>
      <c r="AA62" s="8"/>
      <c r="AB62" s="8"/>
      <c r="AC62" s="8"/>
      <c r="AD62" s="7" t="s">
        <v>349</v>
      </c>
      <c r="AE62" s="7"/>
    </row>
    <row r="63" spans="1:31" ht="26.25" customHeight="1">
      <c r="A63" s="5">
        <v>62</v>
      </c>
      <c r="B63" s="6">
        <v>46172</v>
      </c>
      <c r="C63" s="7" t="s">
        <v>350</v>
      </c>
      <c r="D63" s="7" t="s">
        <v>351</v>
      </c>
      <c r="E63" s="8">
        <v>8882459459</v>
      </c>
      <c r="F63" s="8" t="s">
        <v>352</v>
      </c>
      <c r="G63" s="8"/>
      <c r="H63" s="7"/>
      <c r="I63" s="7"/>
      <c r="J63" s="7" t="s">
        <v>353</v>
      </c>
      <c r="K63" s="7"/>
      <c r="L63" s="7"/>
      <c r="M63" s="7"/>
      <c r="N63" s="8" t="s">
        <v>35</v>
      </c>
      <c r="O63" s="8"/>
      <c r="P63" s="9"/>
      <c r="Q63" s="10" t="s">
        <v>36</v>
      </c>
      <c r="R63" s="8"/>
      <c r="S63" s="8"/>
      <c r="T63" s="8"/>
      <c r="U63" s="8" t="s">
        <v>38</v>
      </c>
      <c r="V63" s="8"/>
      <c r="W63" s="8"/>
      <c r="X63" s="8"/>
      <c r="Y63" s="8"/>
      <c r="Z63" s="8"/>
      <c r="AA63" s="8"/>
      <c r="AB63" s="8"/>
      <c r="AC63" s="8"/>
      <c r="AD63" s="7" t="s">
        <v>354</v>
      </c>
      <c r="AE63" s="7"/>
    </row>
    <row r="64" spans="1:31" ht="26.25" customHeight="1">
      <c r="A64" s="21">
        <v>63</v>
      </c>
      <c r="B64" s="22">
        <v>46174</v>
      </c>
      <c r="C64" s="23" t="s">
        <v>355</v>
      </c>
      <c r="D64" s="23" t="s">
        <v>356</v>
      </c>
      <c r="E64" s="24">
        <v>8668549621</v>
      </c>
      <c r="F64" s="24" t="s">
        <v>357</v>
      </c>
      <c r="G64" s="24"/>
      <c r="H64" s="23"/>
      <c r="I64" s="23"/>
      <c r="J64" s="23" t="s">
        <v>358</v>
      </c>
      <c r="K64" s="23"/>
      <c r="L64" s="23"/>
      <c r="M64" s="23"/>
      <c r="N64" s="24" t="s">
        <v>122</v>
      </c>
      <c r="O64" s="24"/>
      <c r="P64" s="25"/>
      <c r="Q64" s="26" t="s">
        <v>36</v>
      </c>
      <c r="R64" s="24"/>
      <c r="S64" s="24"/>
      <c r="T64" s="24"/>
      <c r="U64" s="24" t="s">
        <v>38</v>
      </c>
      <c r="V64" s="24"/>
      <c r="W64" s="24"/>
      <c r="X64" s="24"/>
      <c r="Y64" s="24"/>
      <c r="Z64" s="24"/>
      <c r="AA64" s="24"/>
      <c r="AB64" s="24"/>
      <c r="AC64" s="24"/>
      <c r="AD64" s="23" t="s">
        <v>359</v>
      </c>
      <c r="AE64" s="23"/>
    </row>
    <row r="65" spans="1:31" ht="26.25" customHeight="1">
      <c r="A65" s="5">
        <v>64</v>
      </c>
      <c r="B65" s="6">
        <v>46175</v>
      </c>
      <c r="C65" s="7" t="s">
        <v>360</v>
      </c>
      <c r="D65" s="7" t="s">
        <v>361</v>
      </c>
      <c r="E65" s="8">
        <v>9037268496</v>
      </c>
      <c r="F65" s="8" t="s">
        <v>362</v>
      </c>
      <c r="G65" s="8"/>
      <c r="H65" s="7"/>
      <c r="I65" s="7"/>
      <c r="J65" s="7" t="s">
        <v>363</v>
      </c>
      <c r="K65" s="7"/>
      <c r="L65" s="7"/>
      <c r="M65" s="7"/>
      <c r="N65" s="8" t="s">
        <v>122</v>
      </c>
      <c r="O65" s="8"/>
      <c r="P65" s="9"/>
      <c r="Q65" s="10" t="s">
        <v>36</v>
      </c>
      <c r="R65" s="8"/>
      <c r="S65" s="8" t="s">
        <v>37</v>
      </c>
      <c r="T65" s="8"/>
      <c r="U65" s="8" t="s">
        <v>38</v>
      </c>
      <c r="V65" s="8"/>
      <c r="W65" s="8"/>
      <c r="X65" s="8"/>
      <c r="Y65" s="8"/>
      <c r="Z65" s="8"/>
      <c r="AA65" s="8"/>
      <c r="AB65" s="8"/>
      <c r="AC65" s="8"/>
      <c r="AD65" s="7" t="s">
        <v>364</v>
      </c>
      <c r="AE65" s="7"/>
    </row>
    <row r="66" spans="1:31" ht="26.25" customHeight="1">
      <c r="A66" s="5">
        <v>65</v>
      </c>
      <c r="B66" s="6">
        <v>46175</v>
      </c>
      <c r="C66" s="7" t="s">
        <v>365</v>
      </c>
      <c r="D66" s="7" t="s">
        <v>366</v>
      </c>
      <c r="E66" s="8">
        <v>9567338800</v>
      </c>
      <c r="F66" s="8" t="s">
        <v>367</v>
      </c>
      <c r="G66" s="8"/>
      <c r="H66" s="7"/>
      <c r="I66" s="7"/>
      <c r="J66" s="7" t="s">
        <v>368</v>
      </c>
      <c r="K66" s="7" t="s">
        <v>34</v>
      </c>
      <c r="L66" s="7" t="s">
        <v>369</v>
      </c>
      <c r="M66" s="7"/>
      <c r="N66" s="8" t="s">
        <v>122</v>
      </c>
      <c r="O66" s="8"/>
      <c r="P66" s="9"/>
      <c r="Q66" s="10" t="s">
        <v>36</v>
      </c>
      <c r="R66" s="8"/>
      <c r="S66" s="8" t="s">
        <v>37</v>
      </c>
      <c r="T66" s="8"/>
      <c r="U66" s="8" t="s">
        <v>38</v>
      </c>
      <c r="V66" s="8"/>
      <c r="W66" s="8"/>
      <c r="X66" s="8"/>
      <c r="Y66" s="8"/>
      <c r="Z66" s="8"/>
      <c r="AA66" s="8"/>
      <c r="AB66" s="8"/>
      <c r="AC66" s="8"/>
      <c r="AD66" s="7" t="s">
        <v>370</v>
      </c>
      <c r="AE66" s="7"/>
    </row>
    <row r="67" spans="1:31" ht="48" customHeight="1">
      <c r="A67" s="5">
        <v>66</v>
      </c>
      <c r="B67" s="6">
        <v>46175</v>
      </c>
      <c r="C67" s="7" t="s">
        <v>371</v>
      </c>
      <c r="D67" s="7" t="s">
        <v>372</v>
      </c>
      <c r="E67" s="8">
        <v>9159960979</v>
      </c>
      <c r="F67" s="8" t="s">
        <v>48</v>
      </c>
      <c r="G67" s="8"/>
      <c r="H67" s="30" t="s">
        <v>373</v>
      </c>
      <c r="I67" s="7"/>
      <c r="J67" s="7" t="s">
        <v>374</v>
      </c>
      <c r="K67" s="7" t="s">
        <v>375</v>
      </c>
      <c r="L67" s="7" t="s">
        <v>376</v>
      </c>
      <c r="M67" s="7" t="s">
        <v>377</v>
      </c>
      <c r="N67" s="8" t="s">
        <v>106</v>
      </c>
      <c r="O67" s="8"/>
      <c r="P67" s="9"/>
      <c r="Q67" s="10" t="s">
        <v>307</v>
      </c>
      <c r="R67" s="8"/>
      <c r="S67" s="8" t="s">
        <v>228</v>
      </c>
      <c r="T67" s="8"/>
      <c r="U67" s="8" t="s">
        <v>38</v>
      </c>
      <c r="V67" s="8"/>
      <c r="W67" s="8"/>
      <c r="X67" s="8" t="s">
        <v>378</v>
      </c>
      <c r="Y67" s="8"/>
      <c r="Z67" s="8"/>
      <c r="AA67" s="8"/>
      <c r="AB67" s="8"/>
      <c r="AC67" s="8"/>
      <c r="AD67" s="7"/>
      <c r="AE67" s="7"/>
    </row>
    <row r="68" spans="1:31" ht="50.25" customHeight="1">
      <c r="A68" s="5">
        <v>67</v>
      </c>
      <c r="B68" s="6">
        <v>46176</v>
      </c>
      <c r="C68" s="7" t="s">
        <v>379</v>
      </c>
      <c r="D68" s="7" t="s">
        <v>380</v>
      </c>
      <c r="E68" s="8">
        <v>9334042465</v>
      </c>
      <c r="F68" s="8" t="s">
        <v>381</v>
      </c>
      <c r="G68" s="8"/>
      <c r="H68" s="7"/>
      <c r="I68" s="7"/>
      <c r="J68" s="7" t="s">
        <v>382</v>
      </c>
      <c r="K68" s="7"/>
      <c r="L68" s="7"/>
      <c r="M68" s="7"/>
      <c r="N68" s="8" t="s">
        <v>77</v>
      </c>
      <c r="O68" s="8"/>
      <c r="P68" s="9"/>
      <c r="Q68" s="10" t="s">
        <v>71</v>
      </c>
      <c r="R68" s="8"/>
      <c r="S68" s="8" t="s">
        <v>228</v>
      </c>
      <c r="T68" s="8"/>
      <c r="U68" s="8" t="s">
        <v>38</v>
      </c>
      <c r="V68" s="8"/>
      <c r="W68" s="8"/>
      <c r="X68" s="8" t="s">
        <v>249</v>
      </c>
      <c r="Y68" s="8"/>
      <c r="Z68" s="8"/>
      <c r="AA68" s="8"/>
      <c r="AB68" s="8"/>
      <c r="AC68" s="8"/>
      <c r="AD68" s="7"/>
      <c r="AE68" s="7"/>
    </row>
    <row r="69" spans="1:31" ht="26.25" customHeight="1">
      <c r="A69" s="21">
        <v>68</v>
      </c>
      <c r="B69" s="22">
        <v>46176</v>
      </c>
      <c r="C69" s="23" t="s">
        <v>383</v>
      </c>
      <c r="D69" s="23"/>
      <c r="E69" s="24">
        <v>9920515153</v>
      </c>
      <c r="F69" s="24"/>
      <c r="G69" s="24"/>
      <c r="H69" s="23"/>
      <c r="I69" s="23"/>
      <c r="J69" s="23" t="s">
        <v>384</v>
      </c>
      <c r="K69" s="23"/>
      <c r="L69" s="23"/>
      <c r="M69" s="23"/>
      <c r="N69" s="24" t="s">
        <v>122</v>
      </c>
      <c r="O69" s="24"/>
      <c r="P69" s="25"/>
      <c r="Q69" s="26" t="s">
        <v>307</v>
      </c>
      <c r="R69" s="24"/>
      <c r="S69" s="24"/>
      <c r="T69" s="24"/>
      <c r="U69" s="24" t="s">
        <v>38</v>
      </c>
      <c r="V69" s="24"/>
      <c r="W69" s="24"/>
      <c r="X69" s="24"/>
      <c r="Y69" s="24"/>
      <c r="Z69" s="24"/>
      <c r="AA69" s="24"/>
      <c r="AB69" s="24"/>
      <c r="AC69" s="24"/>
      <c r="AD69" s="23"/>
      <c r="AE69" s="23"/>
    </row>
    <row r="70" spans="1:31" ht="41.25" customHeight="1">
      <c r="A70" s="5">
        <v>69</v>
      </c>
      <c r="B70" s="6">
        <v>46176</v>
      </c>
      <c r="C70" s="7" t="s">
        <v>385</v>
      </c>
      <c r="D70" s="7" t="s">
        <v>386</v>
      </c>
      <c r="E70" s="8">
        <v>8754001481</v>
      </c>
      <c r="F70" s="8" t="s">
        <v>387</v>
      </c>
      <c r="G70" s="8"/>
      <c r="H70" s="12" t="s">
        <v>388</v>
      </c>
      <c r="I70" s="7"/>
      <c r="J70" s="7" t="s">
        <v>389</v>
      </c>
      <c r="K70" s="31"/>
      <c r="L70" s="7" t="s">
        <v>390</v>
      </c>
      <c r="M70" s="7"/>
      <c r="N70" s="8" t="s">
        <v>106</v>
      </c>
      <c r="O70" s="8"/>
      <c r="P70" s="9"/>
      <c r="Q70" s="10" t="s">
        <v>307</v>
      </c>
      <c r="R70" s="8"/>
      <c r="S70" s="8"/>
      <c r="T70" s="8"/>
      <c r="U70" s="8" t="s">
        <v>38</v>
      </c>
      <c r="V70" s="8"/>
      <c r="W70" s="8"/>
      <c r="X70" s="8"/>
      <c r="Y70" s="8"/>
      <c r="Z70" s="8"/>
      <c r="AA70" s="8"/>
      <c r="AB70" s="8"/>
      <c r="AC70" s="8"/>
      <c r="AD70" s="7"/>
      <c r="AE70" s="7"/>
    </row>
    <row r="71" spans="1:31" ht="26.25" customHeight="1">
      <c r="A71" s="5">
        <v>70</v>
      </c>
      <c r="B71" s="6">
        <v>46176</v>
      </c>
      <c r="C71" s="7" t="s">
        <v>391</v>
      </c>
      <c r="D71" s="7" t="s">
        <v>392</v>
      </c>
      <c r="E71" s="8">
        <v>9092056662</v>
      </c>
      <c r="F71" s="8" t="s">
        <v>325</v>
      </c>
      <c r="G71" s="8"/>
      <c r="H71" s="7"/>
      <c r="I71" s="7"/>
      <c r="J71" s="7" t="s">
        <v>393</v>
      </c>
      <c r="K71" s="7"/>
      <c r="L71" s="7"/>
      <c r="M71" s="7"/>
      <c r="N71" s="8" t="s">
        <v>122</v>
      </c>
      <c r="O71" s="8"/>
      <c r="P71" s="9"/>
      <c r="Q71" s="10" t="s">
        <v>307</v>
      </c>
      <c r="R71" s="8"/>
      <c r="S71" s="8"/>
      <c r="T71" s="8"/>
      <c r="U71" s="8" t="s">
        <v>38</v>
      </c>
      <c r="V71" s="8"/>
      <c r="W71" s="8"/>
      <c r="X71" s="8"/>
      <c r="Y71" s="8"/>
      <c r="Z71" s="8"/>
      <c r="AA71" s="8"/>
      <c r="AB71" s="8"/>
      <c r="AC71" s="8"/>
      <c r="AD71" s="7"/>
      <c r="AE71" s="7"/>
    </row>
    <row r="72" spans="1:31" ht="87" customHeight="1">
      <c r="A72" s="5">
        <v>71</v>
      </c>
      <c r="B72" s="6">
        <v>46176</v>
      </c>
      <c r="C72" s="7" t="s">
        <v>394</v>
      </c>
      <c r="D72" s="7"/>
      <c r="E72" s="8">
        <v>9818209996</v>
      </c>
      <c r="F72" s="8" t="s">
        <v>395</v>
      </c>
      <c r="G72" s="8"/>
      <c r="H72" s="7"/>
      <c r="I72" s="7"/>
      <c r="J72" s="7" t="s">
        <v>396</v>
      </c>
      <c r="K72" s="7"/>
      <c r="L72" s="7"/>
      <c r="M72" s="7" t="s">
        <v>397</v>
      </c>
      <c r="N72" s="8" t="s">
        <v>35</v>
      </c>
      <c r="O72" s="8"/>
      <c r="P72" s="9"/>
      <c r="Q72" s="10" t="s">
        <v>307</v>
      </c>
      <c r="R72" s="8"/>
      <c r="S72" s="8"/>
      <c r="T72" s="8"/>
      <c r="U72" s="8" t="s">
        <v>38</v>
      </c>
      <c r="V72" s="8"/>
      <c r="W72" s="8"/>
      <c r="X72" s="8"/>
      <c r="Y72" s="8"/>
      <c r="Z72" s="8"/>
      <c r="AA72" s="8"/>
      <c r="AB72" s="8"/>
      <c r="AC72" s="8"/>
      <c r="AD72" s="7" t="s">
        <v>398</v>
      </c>
      <c r="AE72" s="7"/>
    </row>
    <row r="73" spans="1:31" ht="26.25" customHeight="1">
      <c r="A73" s="5">
        <v>72</v>
      </c>
      <c r="B73" s="6">
        <v>46176</v>
      </c>
      <c r="C73" s="7" t="s">
        <v>399</v>
      </c>
      <c r="D73" s="7"/>
      <c r="E73" s="8">
        <v>6380201497</v>
      </c>
      <c r="F73" s="8"/>
      <c r="G73" s="8"/>
      <c r="H73" s="7"/>
      <c r="I73" s="7"/>
      <c r="J73" s="7" t="s">
        <v>400</v>
      </c>
      <c r="K73" s="7"/>
      <c r="L73" s="7"/>
      <c r="M73" s="7"/>
      <c r="N73" s="8" t="s">
        <v>44</v>
      </c>
      <c r="O73" s="8"/>
      <c r="P73" s="9"/>
      <c r="Q73" s="10" t="s">
        <v>307</v>
      </c>
      <c r="R73" s="8"/>
      <c r="S73" s="8"/>
      <c r="T73" s="8"/>
      <c r="U73" s="8" t="s">
        <v>38</v>
      </c>
      <c r="V73" s="8"/>
      <c r="W73" s="8"/>
      <c r="X73" s="8"/>
      <c r="Y73" s="8"/>
      <c r="Z73" s="8"/>
      <c r="AA73" s="8"/>
      <c r="AB73" s="8"/>
      <c r="AC73" s="8"/>
      <c r="AD73" s="7"/>
      <c r="AE73" s="7"/>
    </row>
    <row r="74" spans="1:31" ht="26.25" customHeight="1">
      <c r="A74" s="5">
        <v>73</v>
      </c>
      <c r="B74" s="6">
        <v>46176</v>
      </c>
      <c r="C74" s="7" t="s">
        <v>401</v>
      </c>
      <c r="D74" s="7"/>
      <c r="E74" s="8">
        <v>9841137851</v>
      </c>
      <c r="F74" s="8"/>
      <c r="G74" s="8"/>
      <c r="H74" s="7"/>
      <c r="I74" s="7"/>
      <c r="J74" s="7" t="s">
        <v>402</v>
      </c>
      <c r="K74" s="7"/>
      <c r="L74" s="7"/>
      <c r="M74" s="7"/>
      <c r="N74" s="8" t="s">
        <v>35</v>
      </c>
      <c r="O74" s="8"/>
      <c r="P74" s="9"/>
      <c r="Q74" s="10" t="s">
        <v>307</v>
      </c>
      <c r="R74" s="8"/>
      <c r="S74" s="8"/>
      <c r="T74" s="8"/>
      <c r="U74" s="8" t="s">
        <v>38</v>
      </c>
      <c r="V74" s="8"/>
      <c r="W74" s="8"/>
      <c r="X74" s="8"/>
      <c r="Y74" s="8"/>
      <c r="Z74" s="8"/>
      <c r="AA74" s="8"/>
      <c r="AB74" s="8"/>
      <c r="AC74" s="8"/>
      <c r="AD74" s="7"/>
      <c r="AE74" s="7"/>
    </row>
    <row r="75" spans="1:31" ht="26.25" customHeight="1">
      <c r="A75" s="5">
        <v>74</v>
      </c>
      <c r="B75" s="6">
        <v>46176</v>
      </c>
      <c r="C75" s="7" t="s">
        <v>403</v>
      </c>
      <c r="D75" s="7"/>
      <c r="E75" s="8">
        <v>7070232488</v>
      </c>
      <c r="F75" s="8"/>
      <c r="G75" s="8"/>
      <c r="H75" s="7"/>
      <c r="I75" s="7"/>
      <c r="J75" s="7" t="s">
        <v>404</v>
      </c>
      <c r="K75" s="7"/>
      <c r="L75" s="7"/>
      <c r="M75" s="7"/>
      <c r="N75" s="8" t="s">
        <v>44</v>
      </c>
      <c r="O75" s="8"/>
      <c r="P75" s="9"/>
      <c r="Q75" s="10" t="s">
        <v>307</v>
      </c>
      <c r="R75" s="8"/>
      <c r="S75" s="8"/>
      <c r="T75" s="8"/>
      <c r="U75" s="8" t="s">
        <v>38</v>
      </c>
      <c r="V75" s="8"/>
      <c r="W75" s="8"/>
      <c r="X75" s="8"/>
      <c r="Y75" s="8"/>
      <c r="Z75" s="8"/>
      <c r="AA75" s="8"/>
      <c r="AB75" s="8"/>
      <c r="AC75" s="8"/>
      <c r="AD75" s="7"/>
      <c r="AE75" s="7"/>
    </row>
    <row r="76" spans="1:31" ht="26.25" customHeight="1">
      <c r="A76" s="5">
        <v>75</v>
      </c>
      <c r="B76" s="6">
        <v>46176</v>
      </c>
      <c r="C76" s="11" t="s">
        <v>405</v>
      </c>
      <c r="D76" s="11" t="s">
        <v>325</v>
      </c>
      <c r="E76" s="28">
        <v>7299997171</v>
      </c>
      <c r="F76" s="28"/>
      <c r="G76" s="28"/>
      <c r="H76" s="11"/>
      <c r="I76" s="11"/>
      <c r="J76" s="11" t="s">
        <v>406</v>
      </c>
      <c r="K76" s="7"/>
      <c r="L76" s="7"/>
      <c r="M76" s="7" t="s">
        <v>407</v>
      </c>
      <c r="N76" s="8" t="s">
        <v>35</v>
      </c>
      <c r="O76" s="8"/>
      <c r="P76" s="9"/>
      <c r="Q76" s="10" t="s">
        <v>307</v>
      </c>
      <c r="R76" s="8"/>
      <c r="S76" s="8"/>
      <c r="T76" s="8"/>
      <c r="U76" s="8" t="s">
        <v>38</v>
      </c>
      <c r="V76" s="8"/>
      <c r="W76" s="8"/>
      <c r="X76" s="8"/>
      <c r="Y76" s="8"/>
      <c r="Z76" s="8"/>
      <c r="AA76" s="8"/>
      <c r="AB76" s="8"/>
      <c r="AC76" s="8"/>
      <c r="AD76" s="7"/>
      <c r="AE76" s="7"/>
    </row>
    <row r="77" spans="1:31" ht="41.25" customHeight="1">
      <c r="A77" s="5">
        <v>76</v>
      </c>
      <c r="B77" s="6">
        <v>46176</v>
      </c>
      <c r="C77" s="7" t="s">
        <v>408</v>
      </c>
      <c r="D77" s="7"/>
      <c r="E77" s="8">
        <v>8978457677</v>
      </c>
      <c r="F77" s="8" t="s">
        <v>316</v>
      </c>
      <c r="G77" s="8"/>
      <c r="H77" s="7"/>
      <c r="I77" s="7"/>
      <c r="J77" s="7" t="s">
        <v>409</v>
      </c>
      <c r="K77" s="7" t="s">
        <v>410</v>
      </c>
      <c r="L77" s="7"/>
      <c r="M77" s="7"/>
      <c r="N77" s="8" t="s">
        <v>35</v>
      </c>
      <c r="O77" s="8"/>
      <c r="P77" s="9"/>
      <c r="Q77" s="10" t="s">
        <v>36</v>
      </c>
      <c r="R77" s="8"/>
      <c r="S77" s="8"/>
      <c r="T77" s="8"/>
      <c r="U77" s="8" t="s">
        <v>38</v>
      </c>
      <c r="V77" s="8"/>
      <c r="W77" s="8"/>
      <c r="X77" s="8"/>
      <c r="Y77" s="8"/>
      <c r="Z77" s="8"/>
      <c r="AA77" s="8"/>
      <c r="AB77" s="8"/>
      <c r="AC77" s="8"/>
      <c r="AD77" s="7"/>
      <c r="AE77" s="7"/>
    </row>
    <row r="78" spans="1:31" ht="26.25" customHeight="1">
      <c r="A78" s="5">
        <v>77</v>
      </c>
      <c r="B78" s="6">
        <v>46176</v>
      </c>
      <c r="C78" s="7" t="s">
        <v>411</v>
      </c>
      <c r="D78" s="7"/>
      <c r="E78" s="8">
        <v>9033009548</v>
      </c>
      <c r="F78" s="8"/>
      <c r="G78" s="8"/>
      <c r="H78" s="7"/>
      <c r="I78" s="7"/>
      <c r="J78" s="7" t="s">
        <v>412</v>
      </c>
      <c r="K78" s="7"/>
      <c r="L78" s="7"/>
      <c r="M78" s="7"/>
      <c r="N78" s="8" t="s">
        <v>44</v>
      </c>
      <c r="O78" s="8"/>
      <c r="P78" s="9"/>
      <c r="Q78" s="10" t="s">
        <v>36</v>
      </c>
      <c r="R78" s="8"/>
      <c r="S78" s="8"/>
      <c r="T78" s="8"/>
      <c r="U78" s="8" t="s">
        <v>38</v>
      </c>
      <c r="V78" s="8"/>
      <c r="W78" s="8"/>
      <c r="X78" s="8"/>
      <c r="Y78" s="8"/>
      <c r="Z78" s="8"/>
      <c r="AA78" s="8"/>
      <c r="AB78" s="8"/>
      <c r="AC78" s="8"/>
      <c r="AD78" s="7"/>
      <c r="AE78" s="7"/>
    </row>
    <row r="79" spans="1:31" ht="26.25" customHeight="1">
      <c r="A79" s="5">
        <v>78</v>
      </c>
      <c r="B79" s="6">
        <v>46176</v>
      </c>
      <c r="C79" s="7" t="s">
        <v>413</v>
      </c>
      <c r="D79" s="7"/>
      <c r="E79" s="8">
        <v>9387493222</v>
      </c>
      <c r="F79" s="8"/>
      <c r="G79" s="8"/>
      <c r="H79" s="7"/>
      <c r="I79" s="7"/>
      <c r="J79" s="7" t="s">
        <v>414</v>
      </c>
      <c r="K79" s="7"/>
      <c r="L79" s="7" t="s">
        <v>415</v>
      </c>
      <c r="M79" s="7"/>
      <c r="N79" s="8" t="s">
        <v>35</v>
      </c>
      <c r="O79" s="8"/>
      <c r="P79" s="9"/>
      <c r="Q79" s="10" t="s">
        <v>36</v>
      </c>
      <c r="R79" s="8"/>
      <c r="S79" s="8"/>
      <c r="T79" s="8"/>
      <c r="U79" s="8" t="s">
        <v>38</v>
      </c>
      <c r="V79" s="8"/>
      <c r="W79" s="8"/>
      <c r="X79" s="8"/>
      <c r="Y79" s="8"/>
      <c r="Z79" s="8"/>
      <c r="AA79" s="8"/>
      <c r="AB79" s="8"/>
      <c r="AC79" s="8"/>
      <c r="AD79" s="7"/>
      <c r="AE79" s="7"/>
    </row>
    <row r="80" spans="1:31" ht="26.25" customHeight="1">
      <c r="A80" s="5">
        <v>79</v>
      </c>
      <c r="B80" s="6">
        <v>46177</v>
      </c>
      <c r="C80" s="7" t="s">
        <v>416</v>
      </c>
      <c r="D80" s="7"/>
      <c r="E80" s="8">
        <v>8925927458</v>
      </c>
      <c r="F80" s="8"/>
      <c r="G80" s="8"/>
      <c r="H80" s="7"/>
      <c r="I80" s="7"/>
      <c r="J80" s="7" t="s">
        <v>417</v>
      </c>
      <c r="K80" s="7"/>
      <c r="L80" s="7"/>
      <c r="M80" s="7"/>
      <c r="N80" s="8" t="s">
        <v>44</v>
      </c>
      <c r="O80" s="8"/>
      <c r="P80" s="9"/>
      <c r="Q80" s="10" t="s">
        <v>307</v>
      </c>
      <c r="R80" s="8"/>
      <c r="S80" s="8"/>
      <c r="T80" s="8"/>
      <c r="U80" s="8" t="s">
        <v>38</v>
      </c>
      <c r="V80" s="8"/>
      <c r="W80" s="8"/>
      <c r="X80" s="8"/>
      <c r="Y80" s="8"/>
      <c r="Z80" s="8"/>
      <c r="AA80" s="8"/>
      <c r="AB80" s="8"/>
      <c r="AC80" s="8"/>
      <c r="AD80" s="7"/>
      <c r="AE80" s="7"/>
    </row>
    <row r="81" spans="1:31" ht="26.25" customHeight="1">
      <c r="A81" s="5">
        <v>80</v>
      </c>
      <c r="B81" s="6">
        <v>46177</v>
      </c>
      <c r="C81" s="7" t="s">
        <v>418</v>
      </c>
      <c r="D81" s="7"/>
      <c r="E81" s="8">
        <v>9176053234</v>
      </c>
      <c r="F81" s="8"/>
      <c r="G81" s="8"/>
      <c r="H81" s="7"/>
      <c r="I81" s="7"/>
      <c r="J81" s="7" t="s">
        <v>417</v>
      </c>
      <c r="K81" s="7"/>
      <c r="L81" s="7"/>
      <c r="M81" s="7"/>
      <c r="N81" s="8" t="s">
        <v>44</v>
      </c>
      <c r="O81" s="8"/>
      <c r="P81" s="9"/>
      <c r="Q81" s="10" t="s">
        <v>307</v>
      </c>
      <c r="R81" s="8"/>
      <c r="S81" s="8"/>
      <c r="T81" s="8"/>
      <c r="U81" s="8" t="s">
        <v>38</v>
      </c>
      <c r="V81" s="8"/>
      <c r="W81" s="8"/>
      <c r="X81" s="8"/>
      <c r="Y81" s="8"/>
      <c r="Z81" s="8"/>
      <c r="AA81" s="8"/>
      <c r="AB81" s="8"/>
      <c r="AC81" s="8"/>
      <c r="AD81" s="7"/>
      <c r="AE81" s="7"/>
    </row>
    <row r="82" spans="1:31" ht="26.25" customHeight="1">
      <c r="A82" s="5">
        <v>81</v>
      </c>
      <c r="B82" s="6">
        <v>46177</v>
      </c>
      <c r="C82" s="7" t="s">
        <v>419</v>
      </c>
      <c r="D82" s="7"/>
      <c r="E82" s="8">
        <v>9840588994</v>
      </c>
      <c r="F82" s="8"/>
      <c r="G82" s="8"/>
      <c r="H82" s="7"/>
      <c r="I82" s="7"/>
      <c r="J82" s="7" t="s">
        <v>420</v>
      </c>
      <c r="K82" s="7"/>
      <c r="L82" s="7"/>
      <c r="M82" s="7"/>
      <c r="N82" s="8" t="s">
        <v>44</v>
      </c>
      <c r="O82" s="8"/>
      <c r="P82" s="9"/>
      <c r="Q82" s="10" t="s">
        <v>307</v>
      </c>
      <c r="R82" s="8"/>
      <c r="S82" s="8"/>
      <c r="T82" s="8"/>
      <c r="U82" s="8" t="s">
        <v>38</v>
      </c>
      <c r="V82" s="8"/>
      <c r="W82" s="8"/>
      <c r="X82" s="8"/>
      <c r="Y82" s="8"/>
      <c r="Z82" s="8"/>
      <c r="AA82" s="8"/>
      <c r="AB82" s="8"/>
      <c r="AC82" s="8"/>
      <c r="AD82" s="7"/>
      <c r="AE82" s="7"/>
    </row>
    <row r="83" spans="1:31" ht="26.25" customHeight="1">
      <c r="A83" s="5">
        <v>82</v>
      </c>
      <c r="B83" s="6">
        <v>46177</v>
      </c>
      <c r="C83" s="7" t="s">
        <v>421</v>
      </c>
      <c r="D83" s="7"/>
      <c r="E83" s="8">
        <v>9403246624</v>
      </c>
      <c r="F83" s="8" t="s">
        <v>422</v>
      </c>
      <c r="G83" s="8" t="s">
        <v>423</v>
      </c>
      <c r="H83" s="7"/>
      <c r="I83" s="7"/>
      <c r="J83" s="7" t="s">
        <v>424</v>
      </c>
      <c r="K83" s="7"/>
      <c r="L83" s="7"/>
      <c r="M83" s="7"/>
      <c r="N83" s="8" t="s">
        <v>35</v>
      </c>
      <c r="O83" s="8"/>
      <c r="P83" s="9"/>
      <c r="Q83" s="10" t="s">
        <v>36</v>
      </c>
      <c r="R83" s="8"/>
      <c r="S83" s="8"/>
      <c r="T83" s="8"/>
      <c r="U83" s="8" t="s">
        <v>38</v>
      </c>
      <c r="V83" s="8"/>
      <c r="W83" s="8"/>
      <c r="X83" s="8"/>
      <c r="Y83" s="8"/>
      <c r="Z83" s="8"/>
      <c r="AA83" s="8"/>
      <c r="AB83" s="8"/>
      <c r="AC83" s="8"/>
      <c r="AD83" s="7"/>
      <c r="AE83" s="7"/>
    </row>
    <row r="84" spans="1:31" ht="50.25" customHeight="1">
      <c r="A84" s="5">
        <v>83</v>
      </c>
      <c r="B84" s="6">
        <v>46177</v>
      </c>
      <c r="C84" s="7" t="s">
        <v>425</v>
      </c>
      <c r="D84" s="7" t="s">
        <v>426</v>
      </c>
      <c r="E84" s="8">
        <v>9873095398</v>
      </c>
      <c r="F84" s="8" t="s">
        <v>427</v>
      </c>
      <c r="G84" s="8"/>
      <c r="H84" s="7"/>
      <c r="I84" s="7"/>
      <c r="J84" s="7" t="s">
        <v>428</v>
      </c>
      <c r="K84" s="7"/>
      <c r="L84" s="7" t="s">
        <v>429</v>
      </c>
      <c r="M84" s="7"/>
      <c r="N84" s="8" t="s">
        <v>35</v>
      </c>
      <c r="O84" s="8"/>
      <c r="P84" s="9"/>
      <c r="Q84" s="10" t="s">
        <v>36</v>
      </c>
      <c r="R84" s="8"/>
      <c r="S84" s="8"/>
      <c r="T84" s="8"/>
      <c r="U84" s="8" t="s">
        <v>38</v>
      </c>
      <c r="V84" s="8"/>
      <c r="W84" s="8"/>
      <c r="X84" s="8"/>
      <c r="Y84" s="8"/>
      <c r="Z84" s="8"/>
      <c r="AA84" s="8"/>
      <c r="AB84" s="8"/>
      <c r="AC84" s="8"/>
      <c r="AD84" s="7"/>
      <c r="AE84" s="7"/>
    </row>
    <row r="85" spans="1:31" ht="26.25" customHeight="1">
      <c r="A85" s="5">
        <v>84</v>
      </c>
      <c r="B85" s="6">
        <v>46177</v>
      </c>
      <c r="C85" s="7" t="s">
        <v>430</v>
      </c>
      <c r="D85" s="7"/>
      <c r="E85" s="8">
        <v>9320512555</v>
      </c>
      <c r="F85" s="8"/>
      <c r="G85" s="8"/>
      <c r="H85" s="7"/>
      <c r="I85" s="7"/>
      <c r="J85" s="7" t="s">
        <v>431</v>
      </c>
      <c r="K85" s="7"/>
      <c r="L85" s="7"/>
      <c r="M85" s="7"/>
      <c r="N85" s="8" t="s">
        <v>35</v>
      </c>
      <c r="O85" s="8"/>
      <c r="P85" s="9"/>
      <c r="Q85" s="10" t="s">
        <v>36</v>
      </c>
      <c r="R85" s="8"/>
      <c r="S85" s="8"/>
      <c r="T85" s="8"/>
      <c r="U85" s="8" t="s">
        <v>38</v>
      </c>
      <c r="V85" s="8"/>
      <c r="W85" s="8"/>
      <c r="X85" s="8"/>
      <c r="Y85" s="8"/>
      <c r="Z85" s="8"/>
      <c r="AA85" s="8"/>
      <c r="AB85" s="8"/>
      <c r="AC85" s="8"/>
      <c r="AD85" s="7"/>
      <c r="AE85" s="7"/>
    </row>
    <row r="86" spans="1:31" ht="26.25" customHeight="1">
      <c r="A86" s="5">
        <v>85</v>
      </c>
      <c r="B86" s="6">
        <v>46177</v>
      </c>
      <c r="C86" s="7" t="s">
        <v>432</v>
      </c>
      <c r="D86" s="7"/>
      <c r="E86" s="8">
        <v>9415218553</v>
      </c>
      <c r="F86" s="8" t="s">
        <v>312</v>
      </c>
      <c r="G86" s="8"/>
      <c r="H86" s="7"/>
      <c r="I86" s="7"/>
      <c r="J86" s="7" t="s">
        <v>431</v>
      </c>
      <c r="K86" s="7"/>
      <c r="L86" s="7"/>
      <c r="M86" s="7"/>
      <c r="N86" s="8" t="s">
        <v>35</v>
      </c>
      <c r="O86" s="8"/>
      <c r="P86" s="9"/>
      <c r="Q86" s="10" t="s">
        <v>36</v>
      </c>
      <c r="R86" s="8"/>
      <c r="S86" s="8"/>
      <c r="T86" s="8"/>
      <c r="U86" s="8" t="s">
        <v>38</v>
      </c>
      <c r="V86" s="8"/>
      <c r="W86" s="8"/>
      <c r="X86" s="8"/>
      <c r="Y86" s="8"/>
      <c r="Z86" s="8"/>
      <c r="AA86" s="8"/>
      <c r="AB86" s="8"/>
      <c r="AC86" s="8"/>
      <c r="AD86" s="7"/>
      <c r="AE86" s="7"/>
    </row>
    <row r="87" spans="1:31" ht="26.25" customHeight="1">
      <c r="A87" s="5">
        <v>86</v>
      </c>
      <c r="B87" s="6">
        <v>46177</v>
      </c>
      <c r="C87" s="7" t="s">
        <v>433</v>
      </c>
      <c r="D87" s="7"/>
      <c r="E87" s="8">
        <v>9820111118</v>
      </c>
      <c r="F87" s="8"/>
      <c r="G87" s="8"/>
      <c r="H87" s="7"/>
      <c r="I87" s="7"/>
      <c r="J87" s="7" t="s">
        <v>434</v>
      </c>
      <c r="K87" s="7"/>
      <c r="L87" s="7"/>
      <c r="M87" s="7"/>
      <c r="N87" s="8" t="s">
        <v>35</v>
      </c>
      <c r="O87" s="8"/>
      <c r="P87" s="9"/>
      <c r="Q87" s="10" t="s">
        <v>307</v>
      </c>
      <c r="R87" s="8"/>
      <c r="S87" s="8"/>
      <c r="T87" s="8"/>
      <c r="U87" s="8" t="s">
        <v>173</v>
      </c>
      <c r="V87" s="8"/>
      <c r="W87" s="8"/>
      <c r="X87" s="8"/>
      <c r="Y87" s="8"/>
      <c r="Z87" s="8"/>
      <c r="AA87" s="8"/>
      <c r="AB87" s="8"/>
      <c r="AC87" s="8"/>
      <c r="AD87" s="7"/>
      <c r="AE87" s="7"/>
    </row>
    <row r="88" spans="1:31" ht="45.75" customHeight="1">
      <c r="A88" s="5">
        <v>87</v>
      </c>
      <c r="B88" s="6">
        <v>46177</v>
      </c>
      <c r="C88" s="7" t="s">
        <v>435</v>
      </c>
      <c r="D88" s="7"/>
      <c r="E88" s="8" t="s">
        <v>436</v>
      </c>
      <c r="F88" s="8" t="s">
        <v>48</v>
      </c>
      <c r="G88" s="8"/>
      <c r="H88" s="7"/>
      <c r="I88" s="7"/>
      <c r="J88" s="7" t="s">
        <v>437</v>
      </c>
      <c r="K88" s="7"/>
      <c r="L88" s="7"/>
      <c r="M88" s="7"/>
      <c r="N88" s="8" t="s">
        <v>35</v>
      </c>
      <c r="O88" s="8"/>
      <c r="P88" s="9"/>
      <c r="Q88" s="10" t="s">
        <v>307</v>
      </c>
      <c r="R88" s="8"/>
      <c r="S88" s="8"/>
      <c r="T88" s="8"/>
      <c r="U88" s="8" t="s">
        <v>144</v>
      </c>
      <c r="V88" s="8"/>
      <c r="W88" s="8" t="s">
        <v>63</v>
      </c>
      <c r="X88" s="8"/>
      <c r="Y88" s="8"/>
      <c r="Z88" s="8"/>
      <c r="AA88" s="8"/>
      <c r="AB88" s="8"/>
      <c r="AC88" s="8"/>
      <c r="AD88" s="7"/>
      <c r="AE88" s="7"/>
    </row>
    <row r="89" spans="1:31" ht="42" customHeight="1">
      <c r="A89" s="5">
        <v>88</v>
      </c>
      <c r="B89" s="6">
        <v>46177</v>
      </c>
      <c r="C89" s="7" t="s">
        <v>438</v>
      </c>
      <c r="D89" s="7"/>
      <c r="E89" s="8">
        <v>9822875544</v>
      </c>
      <c r="F89" s="8"/>
      <c r="G89" s="8"/>
      <c r="H89" s="7"/>
      <c r="I89" s="7"/>
      <c r="J89" s="7" t="s">
        <v>439</v>
      </c>
      <c r="K89" s="7" t="s">
        <v>440</v>
      </c>
      <c r="L89" s="7" t="s">
        <v>441</v>
      </c>
      <c r="M89" s="7" t="s">
        <v>442</v>
      </c>
      <c r="N89" s="8" t="s">
        <v>106</v>
      </c>
      <c r="O89" s="8"/>
      <c r="P89" s="9"/>
      <c r="Q89" s="10" t="s">
        <v>36</v>
      </c>
      <c r="R89" s="8"/>
      <c r="S89" s="8"/>
      <c r="T89" s="8"/>
      <c r="U89" s="8" t="s">
        <v>249</v>
      </c>
      <c r="V89" s="8"/>
      <c r="W89" s="8"/>
      <c r="X89" s="8"/>
      <c r="Y89" s="8"/>
      <c r="Z89" s="8"/>
      <c r="AA89" s="8"/>
      <c r="AB89" s="8"/>
      <c r="AC89" s="8"/>
      <c r="AD89" s="7" t="s">
        <v>443</v>
      </c>
      <c r="AE89" s="7"/>
    </row>
    <row r="90" spans="1:31" ht="26.25" customHeight="1">
      <c r="A90" s="5">
        <v>89</v>
      </c>
      <c r="B90" s="6">
        <v>46177</v>
      </c>
      <c r="C90" s="7" t="s">
        <v>444</v>
      </c>
      <c r="D90" s="7"/>
      <c r="E90" s="8">
        <v>9487074476</v>
      </c>
      <c r="F90" s="8" t="s">
        <v>142</v>
      </c>
      <c r="G90" s="8"/>
      <c r="H90" s="7"/>
      <c r="I90" s="7"/>
      <c r="J90" s="7" t="s">
        <v>445</v>
      </c>
      <c r="K90" s="7"/>
      <c r="L90" s="7"/>
      <c r="M90" s="7"/>
      <c r="N90" s="8" t="s">
        <v>122</v>
      </c>
      <c r="O90" s="8"/>
      <c r="P90" s="9"/>
      <c r="Q90" s="10" t="s">
        <v>307</v>
      </c>
      <c r="R90" s="8"/>
      <c r="S90" s="8"/>
      <c r="T90" s="8"/>
      <c r="U90" s="8" t="s">
        <v>144</v>
      </c>
      <c r="V90" s="8"/>
      <c r="W90" s="8"/>
      <c r="X90" s="8"/>
      <c r="Y90" s="8"/>
      <c r="Z90" s="8"/>
      <c r="AA90" s="8"/>
      <c r="AB90" s="8"/>
      <c r="AC90" s="8"/>
      <c r="AD90" s="7"/>
      <c r="AE90" s="7"/>
    </row>
    <row r="91" spans="1:31" ht="41.25" customHeight="1">
      <c r="A91" s="5">
        <v>90</v>
      </c>
      <c r="B91" s="6">
        <v>46177</v>
      </c>
      <c r="C91" s="7" t="s">
        <v>446</v>
      </c>
      <c r="D91" s="7" t="s">
        <v>447</v>
      </c>
      <c r="E91" s="8">
        <v>9600124943</v>
      </c>
      <c r="F91" s="8" t="s">
        <v>448</v>
      </c>
      <c r="G91" s="8"/>
      <c r="H91" s="7"/>
      <c r="I91" s="7"/>
      <c r="J91" s="7" t="s">
        <v>449</v>
      </c>
      <c r="K91" s="7" t="s">
        <v>450</v>
      </c>
      <c r="L91" s="7"/>
      <c r="M91" s="7"/>
      <c r="N91" s="8" t="s">
        <v>35</v>
      </c>
      <c r="O91" s="8"/>
      <c r="P91" s="9"/>
      <c r="Q91" s="10" t="s">
        <v>36</v>
      </c>
      <c r="R91" s="8"/>
      <c r="S91" s="8" t="s">
        <v>37</v>
      </c>
      <c r="T91" s="8"/>
      <c r="U91" s="8" t="s">
        <v>38</v>
      </c>
      <c r="V91" s="8"/>
      <c r="W91" s="8"/>
      <c r="X91" s="8"/>
      <c r="Y91" s="8"/>
      <c r="Z91" s="8"/>
      <c r="AA91" s="8"/>
      <c r="AB91" s="8"/>
      <c r="AC91" s="8"/>
      <c r="AD91" s="7"/>
      <c r="AE91" s="7"/>
    </row>
    <row r="92" spans="1:31" ht="26.25" customHeight="1">
      <c r="A92" s="5">
        <v>91</v>
      </c>
      <c r="B92" s="6">
        <v>46177</v>
      </c>
      <c r="C92" s="7" t="s">
        <v>451</v>
      </c>
      <c r="D92" s="7" t="s">
        <v>452</v>
      </c>
      <c r="E92" s="8">
        <v>9830018818</v>
      </c>
      <c r="F92" s="8" t="s">
        <v>453</v>
      </c>
      <c r="G92" s="8"/>
      <c r="H92" s="7"/>
      <c r="I92" s="7"/>
      <c r="J92" s="7" t="s">
        <v>454</v>
      </c>
      <c r="K92" s="7"/>
      <c r="L92" s="7"/>
      <c r="M92" s="7"/>
      <c r="N92" s="8" t="s">
        <v>35</v>
      </c>
      <c r="O92" s="8"/>
      <c r="P92" s="9"/>
      <c r="Q92" s="10" t="s">
        <v>36</v>
      </c>
      <c r="R92" s="8"/>
      <c r="S92" s="8"/>
      <c r="T92" s="8"/>
      <c r="U92" s="8" t="s">
        <v>38</v>
      </c>
      <c r="V92" s="8"/>
      <c r="W92" s="8"/>
      <c r="X92" s="8"/>
      <c r="Y92" s="8"/>
      <c r="Z92" s="8"/>
      <c r="AA92" s="8"/>
      <c r="AB92" s="8"/>
      <c r="AC92" s="8"/>
      <c r="AD92" s="7"/>
      <c r="AE92" s="7"/>
    </row>
    <row r="93" spans="1:31" ht="26.25" customHeight="1">
      <c r="A93" s="5">
        <v>92</v>
      </c>
      <c r="B93" s="6">
        <v>46177</v>
      </c>
      <c r="C93" s="7" t="s">
        <v>455</v>
      </c>
      <c r="D93" s="7" t="s">
        <v>456</v>
      </c>
      <c r="E93" s="8">
        <v>9327014456</v>
      </c>
      <c r="F93" s="8" t="s">
        <v>457</v>
      </c>
      <c r="G93" s="8"/>
      <c r="H93" s="7"/>
      <c r="I93" s="7"/>
      <c r="J93" s="7" t="s">
        <v>458</v>
      </c>
      <c r="K93" s="7"/>
      <c r="L93" s="7" t="s">
        <v>459</v>
      </c>
      <c r="M93" s="7"/>
      <c r="N93" s="8" t="s">
        <v>122</v>
      </c>
      <c r="O93" s="8"/>
      <c r="P93" s="9"/>
      <c r="Q93" s="10" t="s">
        <v>36</v>
      </c>
      <c r="R93" s="8"/>
      <c r="S93" s="8"/>
      <c r="T93" s="8"/>
      <c r="U93" s="8" t="s">
        <v>249</v>
      </c>
      <c r="V93" s="8"/>
      <c r="W93" s="8"/>
      <c r="X93" s="8"/>
      <c r="Y93" s="8"/>
      <c r="Z93" s="8"/>
      <c r="AA93" s="8"/>
      <c r="AB93" s="8"/>
      <c r="AC93" s="8"/>
      <c r="AD93" s="7"/>
      <c r="AE93" s="7"/>
    </row>
    <row r="94" spans="1:31" ht="26.25" customHeight="1">
      <c r="A94" s="5">
        <v>93</v>
      </c>
      <c r="B94" s="6">
        <v>46178</v>
      </c>
      <c r="C94" s="7" t="s">
        <v>460</v>
      </c>
      <c r="D94" s="7" t="s">
        <v>461</v>
      </c>
      <c r="E94" s="8">
        <v>9967650014</v>
      </c>
      <c r="F94" s="8" t="s">
        <v>101</v>
      </c>
      <c r="G94" s="8"/>
      <c r="H94" s="7"/>
      <c r="I94" s="7"/>
      <c r="J94" s="7" t="s">
        <v>462</v>
      </c>
      <c r="K94" s="7"/>
      <c r="L94" s="7"/>
      <c r="M94" s="7"/>
      <c r="N94" s="8" t="s">
        <v>35</v>
      </c>
      <c r="O94" s="8"/>
      <c r="P94" s="9"/>
      <c r="Q94" s="10" t="s">
        <v>36</v>
      </c>
      <c r="R94" s="8"/>
      <c r="S94" s="8"/>
      <c r="T94" s="8"/>
      <c r="U94" s="8" t="s">
        <v>173</v>
      </c>
      <c r="V94" s="8"/>
      <c r="W94" s="8"/>
      <c r="X94" s="8"/>
      <c r="Y94" s="8"/>
      <c r="Z94" s="8"/>
      <c r="AA94" s="8"/>
      <c r="AB94" s="8"/>
      <c r="AC94" s="8"/>
      <c r="AD94" s="7"/>
      <c r="AE94" s="7"/>
    </row>
    <row r="95" spans="1:31" ht="36.75" customHeight="1">
      <c r="A95" s="5">
        <v>94</v>
      </c>
      <c r="B95" s="6">
        <v>46178</v>
      </c>
      <c r="C95" s="7" t="s">
        <v>463</v>
      </c>
      <c r="D95" s="7" t="s">
        <v>464</v>
      </c>
      <c r="E95" s="8">
        <v>7338859228</v>
      </c>
      <c r="F95" s="8" t="s">
        <v>48</v>
      </c>
      <c r="G95" s="8"/>
      <c r="H95" s="7"/>
      <c r="I95" s="7"/>
      <c r="J95" s="7" t="s">
        <v>465</v>
      </c>
      <c r="K95" s="7"/>
      <c r="L95" s="7"/>
      <c r="M95" s="7"/>
      <c r="N95" s="8" t="s">
        <v>35</v>
      </c>
      <c r="O95" s="8"/>
      <c r="P95" s="9"/>
      <c r="Q95" s="10" t="s">
        <v>307</v>
      </c>
      <c r="R95" s="8"/>
      <c r="S95" s="8"/>
      <c r="T95" s="8"/>
      <c r="U95" s="8" t="s">
        <v>144</v>
      </c>
      <c r="V95" s="8"/>
      <c r="W95" s="8"/>
      <c r="X95" s="8"/>
      <c r="Y95" s="8"/>
      <c r="Z95" s="8"/>
      <c r="AA95" s="8"/>
      <c r="AB95" s="8"/>
      <c r="AC95" s="8"/>
      <c r="AD95" s="7"/>
      <c r="AE95" s="7"/>
    </row>
    <row r="96" spans="1:31" ht="26.25" customHeight="1">
      <c r="A96" s="5">
        <v>95</v>
      </c>
      <c r="B96" s="6">
        <v>46178</v>
      </c>
      <c r="C96" s="11" t="s">
        <v>466</v>
      </c>
      <c r="D96" s="11" t="s">
        <v>467</v>
      </c>
      <c r="E96" s="28">
        <v>8681923885</v>
      </c>
      <c r="F96" s="28" t="s">
        <v>48</v>
      </c>
      <c r="G96" s="28"/>
      <c r="H96" s="11"/>
      <c r="I96" s="11" t="s">
        <v>468</v>
      </c>
      <c r="J96" s="7" t="s">
        <v>469</v>
      </c>
      <c r="K96" s="7"/>
      <c r="L96" s="7"/>
      <c r="M96" s="7"/>
      <c r="N96" s="8" t="s">
        <v>35</v>
      </c>
      <c r="O96" s="8"/>
      <c r="P96" s="9"/>
      <c r="Q96" s="10" t="s">
        <v>307</v>
      </c>
      <c r="R96" s="8"/>
      <c r="S96" s="8"/>
      <c r="T96" s="8"/>
      <c r="U96" s="8" t="s">
        <v>249</v>
      </c>
      <c r="V96" s="8"/>
      <c r="W96" s="8"/>
      <c r="X96" s="8"/>
      <c r="Y96" s="8"/>
      <c r="Z96" s="8"/>
      <c r="AA96" s="8"/>
      <c r="AB96" s="8"/>
      <c r="AC96" s="8"/>
      <c r="AD96" s="7"/>
      <c r="AE96" s="7"/>
    </row>
    <row r="97" spans="1:31" ht="26.25" customHeight="1">
      <c r="A97" s="5">
        <v>96</v>
      </c>
      <c r="B97" s="6">
        <v>46179</v>
      </c>
      <c r="C97" s="7" t="s">
        <v>470</v>
      </c>
      <c r="D97" s="7" t="s">
        <v>471</v>
      </c>
      <c r="E97" s="8">
        <v>9432170021</v>
      </c>
      <c r="F97" s="8" t="s">
        <v>453</v>
      </c>
      <c r="G97" s="8"/>
      <c r="H97" s="7"/>
      <c r="I97" s="7"/>
      <c r="J97" s="7" t="s">
        <v>472</v>
      </c>
      <c r="K97" s="7"/>
      <c r="L97" s="7"/>
      <c r="M97" s="7"/>
      <c r="N97" s="8" t="s">
        <v>35</v>
      </c>
      <c r="O97" s="8"/>
      <c r="P97" s="9"/>
      <c r="Q97" s="10" t="s">
        <v>36</v>
      </c>
      <c r="R97" s="8"/>
      <c r="S97" s="8"/>
      <c r="T97" s="8"/>
      <c r="U97" s="8" t="s">
        <v>38</v>
      </c>
      <c r="V97" s="8"/>
      <c r="W97" s="8"/>
      <c r="X97" s="8"/>
      <c r="Y97" s="8"/>
      <c r="Z97" s="8"/>
      <c r="AA97" s="8"/>
      <c r="AB97" s="8"/>
      <c r="AC97" s="8"/>
      <c r="AD97" s="7" t="s">
        <v>473</v>
      </c>
      <c r="AE97" s="7"/>
    </row>
    <row r="98" spans="1:31" ht="40.5" customHeight="1">
      <c r="A98" s="5">
        <v>76</v>
      </c>
      <c r="B98" s="6">
        <v>46179</v>
      </c>
      <c r="C98" s="7" t="s">
        <v>474</v>
      </c>
      <c r="D98" s="7" t="s">
        <v>475</v>
      </c>
      <c r="E98" s="8">
        <v>8885672299</v>
      </c>
      <c r="F98" s="8" t="s">
        <v>476</v>
      </c>
      <c r="G98" s="8"/>
      <c r="H98" s="7"/>
      <c r="I98" s="7"/>
      <c r="J98" s="7" t="s">
        <v>477</v>
      </c>
      <c r="K98" s="7"/>
      <c r="L98" s="7" t="s">
        <v>478</v>
      </c>
      <c r="M98" s="7"/>
      <c r="N98" s="8" t="s">
        <v>122</v>
      </c>
      <c r="O98" s="8"/>
      <c r="P98" s="9"/>
      <c r="Q98" s="10" t="s">
        <v>479</v>
      </c>
      <c r="R98" s="8"/>
      <c r="S98" s="8"/>
      <c r="T98" s="8"/>
      <c r="U98" s="8" t="s">
        <v>38</v>
      </c>
      <c r="V98" s="8"/>
      <c r="W98" s="8"/>
      <c r="X98" s="8"/>
      <c r="Y98" s="8"/>
      <c r="Z98" s="8"/>
      <c r="AA98" s="8"/>
      <c r="AB98" s="8"/>
      <c r="AC98" s="8"/>
      <c r="AD98" s="7"/>
      <c r="AE98" s="7"/>
    </row>
    <row r="99" spans="1:31" ht="26.25" customHeight="1">
      <c r="A99" s="5">
        <v>98</v>
      </c>
      <c r="B99" s="6">
        <v>46179</v>
      </c>
      <c r="C99" s="7" t="s">
        <v>480</v>
      </c>
      <c r="D99" s="7" t="s">
        <v>481</v>
      </c>
      <c r="E99" s="8">
        <v>9673248333</v>
      </c>
      <c r="F99" s="8" t="s">
        <v>482</v>
      </c>
      <c r="G99" s="8">
        <v>4</v>
      </c>
      <c r="H99" s="7"/>
      <c r="I99" s="7"/>
      <c r="J99" s="7" t="s">
        <v>483</v>
      </c>
      <c r="K99" s="7"/>
      <c r="L99" s="7"/>
      <c r="M99" s="7"/>
      <c r="N99" s="8" t="s">
        <v>35</v>
      </c>
      <c r="O99" s="8"/>
      <c r="P99" s="9"/>
      <c r="Q99" s="10" t="s">
        <v>36</v>
      </c>
      <c r="R99" s="8"/>
      <c r="S99" s="8"/>
      <c r="T99" s="8"/>
      <c r="U99" s="8" t="s">
        <v>38</v>
      </c>
      <c r="V99" s="8"/>
      <c r="W99" s="8"/>
      <c r="X99" s="8"/>
      <c r="Y99" s="8"/>
      <c r="Z99" s="8"/>
      <c r="AA99" s="8"/>
      <c r="AB99" s="8"/>
      <c r="AC99" s="8"/>
      <c r="AD99" s="7" t="s">
        <v>484</v>
      </c>
      <c r="AE99" s="7"/>
    </row>
    <row r="100" spans="1:31" ht="49.5" customHeight="1">
      <c r="A100" s="5">
        <v>99</v>
      </c>
      <c r="B100" s="6">
        <v>46179</v>
      </c>
      <c r="C100" s="7" t="s">
        <v>485</v>
      </c>
      <c r="D100" s="7"/>
      <c r="E100" s="8">
        <v>9004761750</v>
      </c>
      <c r="F100" s="8" t="s">
        <v>101</v>
      </c>
      <c r="G100" s="8">
        <v>20</v>
      </c>
      <c r="H100" s="7"/>
      <c r="I100" s="7"/>
      <c r="J100" s="7" t="s">
        <v>486</v>
      </c>
      <c r="K100" s="7"/>
      <c r="L100" s="7"/>
      <c r="M100" s="7"/>
      <c r="N100" s="8" t="s">
        <v>35</v>
      </c>
      <c r="O100" s="8"/>
      <c r="P100" s="9"/>
      <c r="Q100" s="10" t="s">
        <v>36</v>
      </c>
      <c r="R100" s="8"/>
      <c r="S100" s="8"/>
      <c r="T100" s="8"/>
      <c r="U100" s="8" t="s">
        <v>38</v>
      </c>
      <c r="V100" s="8"/>
      <c r="W100" s="8"/>
      <c r="X100" s="8"/>
      <c r="Y100" s="8"/>
      <c r="Z100" s="8"/>
      <c r="AA100" s="8"/>
      <c r="AB100" s="8"/>
      <c r="AC100" s="8"/>
      <c r="AD100" s="7"/>
      <c r="AE100" s="7"/>
    </row>
    <row r="101" spans="1:31" ht="36" customHeight="1">
      <c r="A101" s="5">
        <v>100</v>
      </c>
      <c r="B101" s="6">
        <v>46179</v>
      </c>
      <c r="C101" s="7" t="s">
        <v>487</v>
      </c>
      <c r="D101" s="7"/>
      <c r="E101" s="8">
        <v>8088188656</v>
      </c>
      <c r="F101" s="8"/>
      <c r="G101" s="8"/>
      <c r="H101" s="7"/>
      <c r="I101" s="7"/>
      <c r="J101" s="7" t="s">
        <v>488</v>
      </c>
      <c r="K101" s="7"/>
      <c r="L101" s="7"/>
      <c r="M101" s="7"/>
      <c r="N101" s="8" t="s">
        <v>35</v>
      </c>
      <c r="O101" s="8"/>
      <c r="P101" s="9"/>
      <c r="Q101" s="10" t="s">
        <v>36</v>
      </c>
      <c r="R101" s="8"/>
      <c r="S101" s="8"/>
      <c r="T101" s="8"/>
      <c r="U101" s="8" t="s">
        <v>173</v>
      </c>
      <c r="V101" s="8"/>
      <c r="W101" s="8"/>
      <c r="X101" s="8"/>
      <c r="Y101" s="8"/>
      <c r="Z101" s="8"/>
      <c r="AA101" s="8"/>
      <c r="AB101" s="8"/>
      <c r="AC101" s="8"/>
      <c r="AD101" s="7" t="s">
        <v>489</v>
      </c>
      <c r="AE101" s="7"/>
    </row>
    <row r="102" spans="1:31" ht="26.25" customHeight="1">
      <c r="A102" s="5">
        <v>101</v>
      </c>
      <c r="B102" s="6">
        <v>46179</v>
      </c>
      <c r="C102" s="7" t="s">
        <v>490</v>
      </c>
      <c r="D102" s="7" t="s">
        <v>491</v>
      </c>
      <c r="E102" s="8">
        <v>919937027574</v>
      </c>
      <c r="F102" s="8" t="s">
        <v>492</v>
      </c>
      <c r="G102" s="8"/>
      <c r="H102" s="7"/>
      <c r="I102" s="7"/>
      <c r="J102" s="7" t="s">
        <v>493</v>
      </c>
      <c r="K102" s="7"/>
      <c r="L102" s="7"/>
      <c r="M102" s="7"/>
      <c r="N102" s="8" t="s">
        <v>35</v>
      </c>
      <c r="O102" s="8"/>
      <c r="P102" s="9"/>
      <c r="Q102" s="10" t="s">
        <v>36</v>
      </c>
      <c r="R102" s="8"/>
      <c r="S102" s="8"/>
      <c r="T102" s="8"/>
      <c r="U102" s="8" t="s">
        <v>38</v>
      </c>
      <c r="V102" s="8"/>
      <c r="W102" s="8"/>
      <c r="X102" s="8"/>
      <c r="Y102" s="8"/>
      <c r="Z102" s="8"/>
      <c r="AA102" s="8"/>
      <c r="AB102" s="8"/>
      <c r="AC102" s="8"/>
      <c r="AD102" s="7" t="s">
        <v>494</v>
      </c>
      <c r="AE102" s="7"/>
    </row>
    <row r="103" spans="1:31" ht="26.25" customHeight="1">
      <c r="A103" s="5">
        <v>102</v>
      </c>
      <c r="B103" s="6">
        <v>46180</v>
      </c>
      <c r="C103" s="7" t="s">
        <v>495</v>
      </c>
      <c r="D103" s="7" t="s">
        <v>496</v>
      </c>
      <c r="E103" s="8">
        <v>917506199999</v>
      </c>
      <c r="F103" s="8" t="s">
        <v>101</v>
      </c>
      <c r="G103" s="8"/>
      <c r="H103" s="7"/>
      <c r="I103" s="7"/>
      <c r="J103" s="7" t="s">
        <v>497</v>
      </c>
      <c r="K103" s="7"/>
      <c r="L103" s="7"/>
      <c r="M103" s="7"/>
      <c r="N103" s="8" t="s">
        <v>44</v>
      </c>
      <c r="O103" s="8"/>
      <c r="P103" s="9"/>
      <c r="Q103" s="10" t="s">
        <v>36</v>
      </c>
      <c r="R103" s="8"/>
      <c r="S103" s="8"/>
      <c r="T103" s="8"/>
      <c r="U103" s="8" t="s">
        <v>38</v>
      </c>
      <c r="V103" s="8"/>
      <c r="W103" s="8"/>
      <c r="X103" s="8"/>
      <c r="Y103" s="8"/>
      <c r="Z103" s="8"/>
      <c r="AA103" s="8"/>
      <c r="AB103" s="8"/>
      <c r="AC103" s="8"/>
      <c r="AD103" s="7" t="s">
        <v>498</v>
      </c>
      <c r="AE103" s="7"/>
    </row>
    <row r="104" spans="1:31" ht="26.25" customHeight="1">
      <c r="A104" s="5">
        <v>103</v>
      </c>
      <c r="B104" s="6">
        <v>46180</v>
      </c>
      <c r="C104" s="7" t="s">
        <v>499</v>
      </c>
      <c r="D104" s="7" t="s">
        <v>500</v>
      </c>
      <c r="E104" s="8">
        <v>918888424888</v>
      </c>
      <c r="F104" s="8" t="s">
        <v>501</v>
      </c>
      <c r="G104" s="8"/>
      <c r="H104" s="7"/>
      <c r="I104" s="7"/>
      <c r="J104" s="7" t="s">
        <v>502</v>
      </c>
      <c r="K104" s="7"/>
      <c r="L104" s="7"/>
      <c r="M104" s="7"/>
      <c r="N104" s="8" t="s">
        <v>35</v>
      </c>
      <c r="O104" s="8"/>
      <c r="P104" s="9"/>
      <c r="Q104" s="10" t="s">
        <v>36</v>
      </c>
      <c r="R104" s="8"/>
      <c r="S104" s="8"/>
      <c r="T104" s="8"/>
      <c r="U104" s="8" t="s">
        <v>38</v>
      </c>
      <c r="V104" s="8"/>
      <c r="W104" s="8"/>
      <c r="X104" s="8"/>
      <c r="Y104" s="8"/>
      <c r="Z104" s="8"/>
      <c r="AA104" s="8"/>
      <c r="AB104" s="8"/>
      <c r="AC104" s="8"/>
      <c r="AD104" s="7" t="s">
        <v>503</v>
      </c>
      <c r="AE104" s="7"/>
    </row>
    <row r="105" spans="1:31" ht="58.5" customHeight="1">
      <c r="A105" s="5">
        <v>104</v>
      </c>
      <c r="B105" s="6">
        <v>46180</v>
      </c>
      <c r="C105" s="7" t="s">
        <v>504</v>
      </c>
      <c r="D105" s="7" t="s">
        <v>505</v>
      </c>
      <c r="E105" s="8">
        <v>917032706070</v>
      </c>
      <c r="F105" s="8" t="s">
        <v>60</v>
      </c>
      <c r="G105" s="8"/>
      <c r="H105" s="7"/>
      <c r="I105" s="7"/>
      <c r="J105" s="7" t="s">
        <v>506</v>
      </c>
      <c r="K105" s="7"/>
      <c r="L105" s="7"/>
      <c r="M105" s="7"/>
      <c r="N105" s="8" t="s">
        <v>35</v>
      </c>
      <c r="O105" s="8"/>
      <c r="P105" s="9"/>
      <c r="Q105" s="10" t="s">
        <v>36</v>
      </c>
      <c r="R105" s="8"/>
      <c r="S105" s="8"/>
      <c r="T105" s="8"/>
      <c r="U105" s="8" t="s">
        <v>507</v>
      </c>
      <c r="V105" s="8"/>
      <c r="W105" s="8"/>
      <c r="X105" s="8"/>
      <c r="Y105" s="8"/>
      <c r="Z105" s="8"/>
      <c r="AA105" s="8"/>
      <c r="AB105" s="8"/>
      <c r="AC105" s="8"/>
      <c r="AD105" s="7" t="s">
        <v>508</v>
      </c>
      <c r="AE105" s="7"/>
    </row>
    <row r="106" spans="1:31" ht="26.25" customHeight="1">
      <c r="A106" s="5">
        <v>105</v>
      </c>
      <c r="B106" s="6">
        <v>46180</v>
      </c>
      <c r="C106" s="7" t="s">
        <v>509</v>
      </c>
      <c r="D106" s="7"/>
      <c r="E106" s="8">
        <v>918879997788</v>
      </c>
      <c r="F106" s="8" t="s">
        <v>101</v>
      </c>
      <c r="G106" s="8"/>
      <c r="H106" s="7"/>
      <c r="I106" s="7"/>
      <c r="J106" s="7"/>
      <c r="K106" s="7"/>
      <c r="L106" s="7"/>
      <c r="M106" s="7"/>
      <c r="N106" s="8" t="s">
        <v>44</v>
      </c>
      <c r="O106" s="8"/>
      <c r="P106" s="9"/>
      <c r="Q106" s="10" t="s">
        <v>36</v>
      </c>
      <c r="R106" s="8"/>
      <c r="S106" s="8"/>
      <c r="T106" s="8"/>
      <c r="U106" s="8" t="s">
        <v>38</v>
      </c>
      <c r="V106" s="8"/>
      <c r="W106" s="8"/>
      <c r="X106" s="8"/>
      <c r="Y106" s="8"/>
      <c r="Z106" s="8"/>
      <c r="AA106" s="8"/>
      <c r="AB106" s="8"/>
      <c r="AC106" s="8"/>
      <c r="AD106" s="7" t="s">
        <v>510</v>
      </c>
      <c r="AE106" s="7"/>
    </row>
    <row r="107" spans="1:31" ht="26.25" customHeight="1">
      <c r="A107" s="5">
        <v>106</v>
      </c>
      <c r="B107" s="6">
        <v>46181</v>
      </c>
      <c r="C107" s="7" t="s">
        <v>511</v>
      </c>
      <c r="D107" s="7" t="s">
        <v>512</v>
      </c>
      <c r="E107" s="8">
        <v>919745006868</v>
      </c>
      <c r="F107" s="8" t="s">
        <v>513</v>
      </c>
      <c r="G107" s="8"/>
      <c r="H107" s="7"/>
      <c r="I107" s="7"/>
      <c r="J107" s="7" t="s">
        <v>514</v>
      </c>
      <c r="K107" s="7"/>
      <c r="L107" s="7"/>
      <c r="M107" s="7"/>
      <c r="N107" s="8" t="s">
        <v>35</v>
      </c>
      <c r="O107" s="8"/>
      <c r="P107" s="9"/>
      <c r="Q107" s="10" t="s">
        <v>36</v>
      </c>
      <c r="R107" s="8"/>
      <c r="S107" s="8"/>
      <c r="T107" s="8"/>
      <c r="U107" s="8" t="s">
        <v>38</v>
      </c>
      <c r="V107" s="8"/>
      <c r="W107" s="8"/>
      <c r="X107" s="8"/>
      <c r="Y107" s="8"/>
      <c r="Z107" s="8"/>
      <c r="AA107" s="8"/>
      <c r="AB107" s="8"/>
      <c r="AC107" s="8"/>
      <c r="AD107" s="7" t="s">
        <v>515</v>
      </c>
      <c r="AE107" s="7"/>
    </row>
    <row r="108" spans="1:31" ht="26.25" customHeight="1">
      <c r="A108" s="5">
        <v>107</v>
      </c>
      <c r="B108" s="6">
        <v>46181</v>
      </c>
      <c r="C108" s="7" t="s">
        <v>516</v>
      </c>
      <c r="D108" s="7" t="s">
        <v>517</v>
      </c>
      <c r="E108" s="8">
        <v>919892300065</v>
      </c>
      <c r="F108" s="8" t="s">
        <v>94</v>
      </c>
      <c r="G108" s="8"/>
      <c r="H108" s="7"/>
      <c r="I108" s="7"/>
      <c r="J108" s="7" t="s">
        <v>518</v>
      </c>
      <c r="K108" s="7"/>
      <c r="L108" s="7"/>
      <c r="M108" s="7"/>
      <c r="N108" s="8" t="s">
        <v>35</v>
      </c>
      <c r="O108" s="8"/>
      <c r="P108" s="9"/>
      <c r="Q108" s="10" t="s">
        <v>36</v>
      </c>
      <c r="R108" s="8"/>
      <c r="S108" s="8" t="s">
        <v>228</v>
      </c>
      <c r="T108" s="8"/>
      <c r="U108" s="8" t="s">
        <v>249</v>
      </c>
      <c r="V108" s="8"/>
      <c r="W108" s="8" t="s">
        <v>63</v>
      </c>
      <c r="X108" s="8"/>
      <c r="Y108" s="8"/>
      <c r="Z108" s="8"/>
      <c r="AA108" s="8"/>
      <c r="AB108" s="8"/>
      <c r="AC108" s="8"/>
      <c r="AD108" s="7" t="s">
        <v>519</v>
      </c>
      <c r="AE108" s="7"/>
    </row>
    <row r="109" spans="1:31" ht="44.25" customHeight="1">
      <c r="A109" s="5">
        <v>108</v>
      </c>
      <c r="B109" s="6">
        <v>46181</v>
      </c>
      <c r="C109" s="7" t="s">
        <v>520</v>
      </c>
      <c r="D109" s="7" t="s">
        <v>521</v>
      </c>
      <c r="E109" s="8">
        <v>9052827780</v>
      </c>
      <c r="F109" s="8" t="s">
        <v>316</v>
      </c>
      <c r="G109" s="8"/>
      <c r="H109" s="7"/>
      <c r="I109" s="7"/>
      <c r="J109" s="7" t="s">
        <v>522</v>
      </c>
      <c r="K109" s="7" t="s">
        <v>523</v>
      </c>
      <c r="L109" s="7" t="s">
        <v>524</v>
      </c>
      <c r="M109" s="7"/>
      <c r="N109" s="8" t="s">
        <v>35</v>
      </c>
      <c r="O109" s="8"/>
      <c r="P109" s="9" t="s">
        <v>525</v>
      </c>
      <c r="Q109" s="10" t="s">
        <v>36</v>
      </c>
      <c r="R109" s="8"/>
      <c r="S109" s="8" t="s">
        <v>526</v>
      </c>
      <c r="T109" s="8"/>
      <c r="U109" s="8" t="s">
        <v>249</v>
      </c>
      <c r="V109" s="8"/>
      <c r="W109" s="8" t="s">
        <v>63</v>
      </c>
      <c r="X109" s="8"/>
      <c r="Y109" s="8"/>
      <c r="Z109" s="8"/>
      <c r="AA109" s="8"/>
      <c r="AB109" s="8"/>
      <c r="AC109" s="8"/>
      <c r="AD109" s="7"/>
      <c r="AE109" s="7"/>
    </row>
    <row r="110" spans="1:31" ht="26.25" customHeight="1">
      <c r="A110" s="5">
        <v>109</v>
      </c>
      <c r="B110" s="6">
        <v>46181</v>
      </c>
      <c r="C110" s="7" t="s">
        <v>527</v>
      </c>
      <c r="D110" s="7" t="s">
        <v>528</v>
      </c>
      <c r="E110" s="8">
        <v>9710012579</v>
      </c>
      <c r="F110" s="8" t="s">
        <v>48</v>
      </c>
      <c r="G110" s="8" t="s">
        <v>529</v>
      </c>
      <c r="H110" s="7"/>
      <c r="I110" s="7"/>
      <c r="J110" s="7" t="s">
        <v>530</v>
      </c>
      <c r="K110" s="7" t="s">
        <v>531</v>
      </c>
      <c r="L110" s="7"/>
      <c r="M110" s="7"/>
      <c r="N110" s="8" t="s">
        <v>44</v>
      </c>
      <c r="O110" s="8"/>
      <c r="P110" s="9" t="s">
        <v>532</v>
      </c>
      <c r="Q110" s="10" t="s">
        <v>307</v>
      </c>
      <c r="R110" s="8"/>
      <c r="S110" s="8" t="s">
        <v>526</v>
      </c>
      <c r="T110" s="8"/>
      <c r="U110" s="8" t="s">
        <v>173</v>
      </c>
      <c r="V110" s="8"/>
      <c r="W110" s="8" t="s">
        <v>63</v>
      </c>
      <c r="X110" s="8"/>
      <c r="Y110" s="8"/>
      <c r="Z110" s="8"/>
      <c r="AA110" s="8"/>
      <c r="AB110" s="8"/>
      <c r="AC110" s="8"/>
      <c r="AD110" s="7"/>
      <c r="AE110" s="7"/>
    </row>
    <row r="111" spans="1:31" ht="44.25" customHeight="1">
      <c r="A111" s="5">
        <v>110</v>
      </c>
      <c r="B111" s="32">
        <v>46182</v>
      </c>
      <c r="C111" s="11" t="s">
        <v>533</v>
      </c>
      <c r="D111" s="11" t="s">
        <v>534</v>
      </c>
      <c r="E111" s="28">
        <v>7904548867</v>
      </c>
      <c r="F111" s="28" t="s">
        <v>48</v>
      </c>
      <c r="G111" s="28" t="s">
        <v>535</v>
      </c>
      <c r="H111" s="11"/>
      <c r="I111" s="11"/>
      <c r="J111" s="11" t="s">
        <v>536</v>
      </c>
      <c r="K111" s="11"/>
      <c r="L111" s="11"/>
      <c r="M111" s="11"/>
      <c r="N111" s="8" t="s">
        <v>35</v>
      </c>
      <c r="O111" s="8"/>
      <c r="P111" s="9"/>
      <c r="Q111" s="10" t="s">
        <v>307</v>
      </c>
      <c r="R111" s="8"/>
      <c r="S111" s="8" t="s">
        <v>37</v>
      </c>
      <c r="T111" s="8"/>
      <c r="U111" s="8" t="s">
        <v>144</v>
      </c>
      <c r="V111" s="8"/>
      <c r="W111" s="8" t="s">
        <v>378</v>
      </c>
      <c r="X111" s="8"/>
      <c r="Y111" s="8"/>
      <c r="Z111" s="8"/>
      <c r="AA111" s="8"/>
      <c r="AB111" s="8"/>
      <c r="AC111" s="8"/>
      <c r="AD111" s="7" t="s">
        <v>537</v>
      </c>
      <c r="AE111" s="7"/>
    </row>
    <row r="112" spans="1:31" ht="26.25" customHeight="1">
      <c r="A112" s="5">
        <v>111</v>
      </c>
      <c r="B112" s="6">
        <v>46183</v>
      </c>
      <c r="C112" s="7"/>
      <c r="D112" s="7" t="s">
        <v>538</v>
      </c>
      <c r="E112" s="8">
        <v>9860670820</v>
      </c>
      <c r="F112" s="8"/>
      <c r="G112" s="8"/>
      <c r="H112" s="7"/>
      <c r="I112" s="7"/>
      <c r="J112" s="7"/>
      <c r="K112" s="7"/>
      <c r="L112" s="7"/>
      <c r="M112" s="7"/>
      <c r="N112" s="8" t="s">
        <v>35</v>
      </c>
      <c r="O112" s="8"/>
      <c r="P112" s="9"/>
      <c r="Q112" s="10" t="s">
        <v>71</v>
      </c>
      <c r="R112" s="8"/>
      <c r="S112" s="8"/>
      <c r="T112" s="8"/>
      <c r="U112" s="8" t="s">
        <v>38</v>
      </c>
      <c r="V112" s="8"/>
      <c r="W112" s="8"/>
      <c r="X112" s="8"/>
      <c r="Y112" s="8"/>
      <c r="Z112" s="8"/>
      <c r="AA112" s="8"/>
      <c r="AB112" s="8"/>
      <c r="AC112" s="8"/>
      <c r="AD112" s="7"/>
      <c r="AE112" s="7"/>
    </row>
    <row r="113" spans="1:31" ht="26.25" customHeight="1">
      <c r="A113" s="5">
        <v>112</v>
      </c>
      <c r="B113" s="6">
        <v>46183</v>
      </c>
      <c r="C113" s="7"/>
      <c r="D113" s="7" t="s">
        <v>539</v>
      </c>
      <c r="E113" s="8">
        <v>9444376888</v>
      </c>
      <c r="F113" s="8"/>
      <c r="G113" s="8"/>
      <c r="H113" s="7"/>
      <c r="I113" s="7"/>
      <c r="J113" s="7"/>
      <c r="K113" s="7"/>
      <c r="L113" s="7"/>
      <c r="M113" s="7"/>
      <c r="N113" s="8" t="s">
        <v>44</v>
      </c>
      <c r="O113" s="8"/>
      <c r="P113" s="9"/>
      <c r="Q113" s="10" t="s">
        <v>71</v>
      </c>
      <c r="R113" s="8"/>
      <c r="S113" s="8"/>
      <c r="T113" s="8"/>
      <c r="U113" s="8" t="s">
        <v>38</v>
      </c>
      <c r="V113" s="8"/>
      <c r="W113" s="8"/>
      <c r="X113" s="8"/>
      <c r="Y113" s="8"/>
      <c r="Z113" s="8"/>
      <c r="AA113" s="8"/>
      <c r="AB113" s="8"/>
      <c r="AC113" s="8"/>
      <c r="AD113" s="7"/>
      <c r="AE113" s="7"/>
    </row>
    <row r="114" spans="1:31" ht="26.25" customHeight="1">
      <c r="A114" s="5">
        <v>113</v>
      </c>
      <c r="B114" s="6">
        <v>46183</v>
      </c>
      <c r="C114" s="7" t="s">
        <v>540</v>
      </c>
      <c r="D114" s="7"/>
      <c r="E114" s="8" t="s">
        <v>541</v>
      </c>
      <c r="F114" s="8" t="s">
        <v>427</v>
      </c>
      <c r="G114" s="8"/>
      <c r="H114" s="7"/>
      <c r="I114" s="7"/>
      <c r="J114" s="7" t="s">
        <v>412</v>
      </c>
      <c r="K114" s="7"/>
      <c r="L114" s="7"/>
      <c r="M114" s="7"/>
      <c r="N114" s="8" t="s">
        <v>35</v>
      </c>
      <c r="O114" s="8"/>
      <c r="P114" s="9"/>
      <c r="Q114" s="10" t="s">
        <v>71</v>
      </c>
      <c r="R114" s="8"/>
      <c r="S114" s="8"/>
      <c r="T114" s="8"/>
      <c r="U114" s="8" t="s">
        <v>38</v>
      </c>
      <c r="V114" s="8"/>
      <c r="W114" s="8"/>
      <c r="X114" s="8"/>
      <c r="Y114" s="8"/>
      <c r="Z114" s="8"/>
      <c r="AA114" s="8"/>
      <c r="AB114" s="8"/>
      <c r="AC114" s="8"/>
      <c r="AD114" s="7"/>
      <c r="AE114" s="7"/>
    </row>
    <row r="115" spans="1:31" ht="39.75" customHeight="1">
      <c r="A115" s="5">
        <v>114</v>
      </c>
      <c r="B115" s="6">
        <v>46183</v>
      </c>
      <c r="C115" s="7" t="s">
        <v>542</v>
      </c>
      <c r="D115" s="7" t="s">
        <v>543</v>
      </c>
      <c r="E115" s="8" t="s">
        <v>544</v>
      </c>
      <c r="F115" s="8" t="s">
        <v>545</v>
      </c>
      <c r="G115" s="8" t="s">
        <v>546</v>
      </c>
      <c r="H115" s="7"/>
      <c r="I115" s="7"/>
      <c r="J115" s="7" t="s">
        <v>547</v>
      </c>
      <c r="K115" s="7"/>
      <c r="L115" s="7"/>
      <c r="M115" s="7"/>
      <c r="N115" s="8" t="s">
        <v>35</v>
      </c>
      <c r="O115" s="8"/>
      <c r="P115" s="9"/>
      <c r="Q115" s="10" t="s">
        <v>71</v>
      </c>
      <c r="R115" s="8"/>
      <c r="S115" s="8"/>
      <c r="T115" s="8"/>
      <c r="U115" s="8" t="s">
        <v>38</v>
      </c>
      <c r="V115" s="8"/>
      <c r="W115" s="8"/>
      <c r="X115" s="8"/>
      <c r="Y115" s="8"/>
      <c r="Z115" s="8"/>
      <c r="AA115" s="8"/>
      <c r="AB115" s="8"/>
      <c r="AC115" s="8"/>
      <c r="AD115" s="7"/>
      <c r="AE115" s="7"/>
    </row>
    <row r="116" spans="1:31" ht="39.75" customHeight="1">
      <c r="A116" s="5">
        <v>115</v>
      </c>
      <c r="B116" s="6">
        <v>46183</v>
      </c>
      <c r="C116" s="7" t="s">
        <v>418</v>
      </c>
      <c r="D116" s="7" t="s">
        <v>548</v>
      </c>
      <c r="E116" s="8" t="s">
        <v>549</v>
      </c>
      <c r="F116" s="8" t="s">
        <v>550</v>
      </c>
      <c r="G116" s="8"/>
      <c r="H116" s="7"/>
      <c r="I116" s="7"/>
      <c r="J116" s="7"/>
      <c r="K116" s="7"/>
      <c r="L116" s="7"/>
      <c r="M116" s="7"/>
      <c r="N116" s="8" t="s">
        <v>35</v>
      </c>
      <c r="O116" s="8"/>
      <c r="P116" s="9"/>
      <c r="Q116" s="10" t="s">
        <v>71</v>
      </c>
      <c r="R116" s="8"/>
      <c r="S116" s="8"/>
      <c r="T116" s="8"/>
      <c r="U116" s="8" t="s">
        <v>38</v>
      </c>
      <c r="V116" s="8"/>
      <c r="W116" s="8"/>
      <c r="X116" s="8"/>
      <c r="Y116" s="8"/>
      <c r="Z116" s="8"/>
      <c r="AA116" s="8"/>
      <c r="AB116" s="8"/>
      <c r="AC116" s="8"/>
      <c r="AD116" s="7"/>
      <c r="AE116" s="7"/>
    </row>
    <row r="117" spans="1:31" ht="26.25" customHeight="1">
      <c r="A117" s="5">
        <v>116</v>
      </c>
      <c r="B117" s="6">
        <v>46183</v>
      </c>
      <c r="C117" s="7" t="s">
        <v>418</v>
      </c>
      <c r="D117" s="7" t="s">
        <v>551</v>
      </c>
      <c r="E117" s="8" t="s">
        <v>552</v>
      </c>
      <c r="F117" s="8" t="s">
        <v>553</v>
      </c>
      <c r="G117" s="8"/>
      <c r="H117" s="7"/>
      <c r="I117" s="7"/>
      <c r="J117" s="7"/>
      <c r="K117" s="7"/>
      <c r="L117" s="7"/>
      <c r="M117" s="7"/>
      <c r="N117" s="8" t="s">
        <v>35</v>
      </c>
      <c r="O117" s="8"/>
      <c r="P117" s="9"/>
      <c r="Q117" s="10" t="s">
        <v>71</v>
      </c>
      <c r="R117" s="8"/>
      <c r="S117" s="8"/>
      <c r="T117" s="8"/>
      <c r="U117" s="8" t="s">
        <v>38</v>
      </c>
      <c r="V117" s="8"/>
      <c r="W117" s="8"/>
      <c r="X117" s="8"/>
      <c r="Y117" s="8"/>
      <c r="Z117" s="8"/>
      <c r="AA117" s="8"/>
      <c r="AB117" s="8"/>
      <c r="AC117" s="8"/>
      <c r="AD117" s="7"/>
      <c r="AE117" s="7"/>
    </row>
    <row r="118" spans="1:31" ht="26.25" customHeight="1">
      <c r="A118" s="5">
        <v>117</v>
      </c>
      <c r="B118" s="6">
        <v>46183</v>
      </c>
      <c r="C118" s="7" t="s">
        <v>418</v>
      </c>
      <c r="D118" s="7" t="s">
        <v>554</v>
      </c>
      <c r="E118" s="8" t="s">
        <v>555</v>
      </c>
      <c r="F118" s="8" t="s">
        <v>169</v>
      </c>
      <c r="G118" s="8"/>
      <c r="H118" s="7"/>
      <c r="I118" s="7"/>
      <c r="J118" s="7"/>
      <c r="K118" s="7"/>
      <c r="L118" s="7"/>
      <c r="M118" s="7"/>
      <c r="N118" s="8" t="s">
        <v>35</v>
      </c>
      <c r="O118" s="8"/>
      <c r="P118" s="9"/>
      <c r="Q118" s="10" t="s">
        <v>71</v>
      </c>
      <c r="R118" s="8"/>
      <c r="S118" s="8"/>
      <c r="T118" s="8"/>
      <c r="U118" s="8" t="s">
        <v>38</v>
      </c>
      <c r="V118" s="8"/>
      <c r="W118" s="8"/>
      <c r="X118" s="8"/>
      <c r="Y118" s="8"/>
      <c r="Z118" s="8"/>
      <c r="AA118" s="8"/>
      <c r="AB118" s="8"/>
      <c r="AC118" s="8"/>
      <c r="AD118" s="7"/>
      <c r="AE118" s="7"/>
    </row>
    <row r="119" spans="1:31" ht="26.25" customHeight="1">
      <c r="A119" s="5">
        <v>118</v>
      </c>
      <c r="B119" s="6">
        <v>46183</v>
      </c>
      <c r="C119" s="7" t="s">
        <v>556</v>
      </c>
      <c r="D119" s="7" t="s">
        <v>557</v>
      </c>
      <c r="E119" s="8" t="s">
        <v>558</v>
      </c>
      <c r="F119" s="8"/>
      <c r="G119" s="8"/>
      <c r="H119" s="7"/>
      <c r="I119" s="7"/>
      <c r="J119" s="7"/>
      <c r="K119" s="7"/>
      <c r="L119" s="7"/>
      <c r="M119" s="7"/>
      <c r="N119" s="8" t="s">
        <v>35</v>
      </c>
      <c r="O119" s="8"/>
      <c r="P119" s="9"/>
      <c r="Q119" s="10" t="s">
        <v>71</v>
      </c>
      <c r="R119" s="8"/>
      <c r="S119" s="8"/>
      <c r="T119" s="8"/>
      <c r="U119" s="8" t="s">
        <v>38</v>
      </c>
      <c r="V119" s="8"/>
      <c r="W119" s="8"/>
      <c r="X119" s="8"/>
      <c r="Y119" s="8"/>
      <c r="Z119" s="8"/>
      <c r="AA119" s="8"/>
      <c r="AB119" s="8"/>
      <c r="AC119" s="8"/>
      <c r="AD119" s="7"/>
      <c r="AE119" s="7"/>
    </row>
    <row r="120" spans="1:31" ht="26.25" customHeight="1">
      <c r="A120" s="5">
        <v>119</v>
      </c>
      <c r="B120" s="6">
        <v>46183</v>
      </c>
      <c r="C120" s="7" t="s">
        <v>418</v>
      </c>
      <c r="D120" s="7" t="s">
        <v>559</v>
      </c>
      <c r="E120" s="8" t="s">
        <v>560</v>
      </c>
      <c r="F120" s="8" t="s">
        <v>48</v>
      </c>
      <c r="G120" s="8"/>
      <c r="H120" s="7"/>
      <c r="I120" s="7"/>
      <c r="J120" s="7" t="s">
        <v>561</v>
      </c>
      <c r="K120" s="7"/>
      <c r="L120" s="7"/>
      <c r="M120" s="7"/>
      <c r="N120" s="8" t="s">
        <v>122</v>
      </c>
      <c r="O120" s="8"/>
      <c r="P120" s="9"/>
      <c r="Q120" s="10" t="s">
        <v>71</v>
      </c>
      <c r="R120" s="8"/>
      <c r="S120" s="8"/>
      <c r="T120" s="8"/>
      <c r="U120" s="8" t="s">
        <v>38</v>
      </c>
      <c r="V120" s="8"/>
      <c r="W120" s="8"/>
      <c r="X120" s="8"/>
      <c r="Y120" s="8"/>
      <c r="Z120" s="8"/>
      <c r="AA120" s="8"/>
      <c r="AB120" s="8"/>
      <c r="AC120" s="8"/>
      <c r="AD120" s="7"/>
      <c r="AE120" s="7"/>
    </row>
    <row r="121" spans="1:31" ht="26.25" customHeight="1">
      <c r="A121" s="5">
        <v>120</v>
      </c>
      <c r="B121" s="6">
        <v>46183</v>
      </c>
      <c r="C121" s="7" t="s">
        <v>562</v>
      </c>
      <c r="D121" s="7"/>
      <c r="E121" s="8" t="s">
        <v>563</v>
      </c>
      <c r="F121" s="8" t="s">
        <v>53</v>
      </c>
      <c r="G121" s="8"/>
      <c r="H121" s="7"/>
      <c r="I121" s="7"/>
      <c r="J121" s="7"/>
      <c r="K121" s="7"/>
      <c r="L121" s="7"/>
      <c r="M121" s="7"/>
      <c r="N121" s="8" t="s">
        <v>44</v>
      </c>
      <c r="O121" s="8"/>
      <c r="P121" s="9"/>
      <c r="Q121" s="10" t="s">
        <v>71</v>
      </c>
      <c r="R121" s="8"/>
      <c r="S121" s="8"/>
      <c r="T121" s="8"/>
      <c r="U121" s="8" t="s">
        <v>38</v>
      </c>
      <c r="V121" s="8"/>
      <c r="W121" s="8"/>
      <c r="X121" s="8"/>
      <c r="Y121" s="8"/>
      <c r="Z121" s="8"/>
      <c r="AA121" s="8"/>
      <c r="AB121" s="8"/>
      <c r="AC121" s="8"/>
      <c r="AD121" s="7"/>
      <c r="AE121" s="7"/>
    </row>
    <row r="122" spans="1:31" ht="36" customHeight="1">
      <c r="A122" s="33">
        <v>121</v>
      </c>
      <c r="B122" s="34">
        <v>46184</v>
      </c>
      <c r="C122" s="35" t="s">
        <v>564</v>
      </c>
      <c r="D122" s="35" t="s">
        <v>565</v>
      </c>
      <c r="E122" s="36">
        <v>9655937544</v>
      </c>
      <c r="F122" s="36" t="s">
        <v>48</v>
      </c>
      <c r="G122" s="36" t="s">
        <v>566</v>
      </c>
      <c r="H122" s="35"/>
      <c r="I122" s="35"/>
      <c r="J122" s="35" t="s">
        <v>567</v>
      </c>
      <c r="K122" s="35"/>
      <c r="L122" s="35"/>
      <c r="M122" s="35"/>
      <c r="N122" s="36" t="s">
        <v>568</v>
      </c>
      <c r="O122" s="36"/>
      <c r="P122" s="37" t="s">
        <v>569</v>
      </c>
      <c r="Q122" s="38" t="s">
        <v>71</v>
      </c>
      <c r="R122" s="36"/>
      <c r="S122" s="36" t="s">
        <v>526</v>
      </c>
      <c r="T122" s="36"/>
      <c r="U122" s="36" t="s">
        <v>38</v>
      </c>
      <c r="V122" s="36"/>
      <c r="W122" s="36" t="s">
        <v>378</v>
      </c>
      <c r="X122" s="36"/>
      <c r="Y122" s="36"/>
      <c r="Z122" s="36"/>
      <c r="AA122" s="36"/>
      <c r="AB122" s="36"/>
      <c r="AC122" s="36"/>
      <c r="AD122" s="35"/>
      <c r="AE122" s="35"/>
    </row>
    <row r="123" spans="1:31" ht="69.75" customHeight="1">
      <c r="A123" s="5">
        <v>122</v>
      </c>
      <c r="B123" s="6">
        <v>46184</v>
      </c>
      <c r="C123" s="7" t="s">
        <v>570</v>
      </c>
      <c r="D123" s="7" t="s">
        <v>571</v>
      </c>
      <c r="E123" s="8">
        <v>6386807766</v>
      </c>
      <c r="F123" s="8" t="s">
        <v>427</v>
      </c>
      <c r="G123" s="8"/>
      <c r="H123" s="12" t="s">
        <v>572</v>
      </c>
      <c r="I123" s="7"/>
      <c r="J123" s="7" t="s">
        <v>573</v>
      </c>
      <c r="K123" s="7"/>
      <c r="L123" s="7" t="s">
        <v>574</v>
      </c>
      <c r="M123" s="7"/>
      <c r="N123" s="8" t="s">
        <v>35</v>
      </c>
      <c r="O123" s="8"/>
      <c r="P123" s="9"/>
      <c r="Q123" s="10" t="s">
        <v>71</v>
      </c>
      <c r="R123" s="8"/>
      <c r="S123" s="8"/>
      <c r="T123" s="8"/>
      <c r="U123" s="8" t="s">
        <v>38</v>
      </c>
      <c r="V123" s="8"/>
      <c r="W123" s="8" t="s">
        <v>249</v>
      </c>
      <c r="X123" s="8"/>
      <c r="Y123" s="8"/>
      <c r="Z123" s="8"/>
      <c r="AA123" s="8"/>
      <c r="AB123" s="8"/>
      <c r="AC123" s="8"/>
      <c r="AD123" s="7" t="s">
        <v>575</v>
      </c>
      <c r="AE123" s="7"/>
    </row>
    <row r="124" spans="1:31" ht="26.25" customHeight="1">
      <c r="A124" s="5">
        <v>123</v>
      </c>
      <c r="B124" s="6">
        <v>46184</v>
      </c>
      <c r="C124" s="7" t="s">
        <v>576</v>
      </c>
      <c r="D124" s="7" t="s">
        <v>577</v>
      </c>
      <c r="E124" s="8">
        <v>9884415927</v>
      </c>
      <c r="F124" s="8" t="s">
        <v>325</v>
      </c>
      <c r="G124" s="8"/>
      <c r="H124" s="7"/>
      <c r="I124" s="7"/>
      <c r="J124" s="7" t="s">
        <v>578</v>
      </c>
      <c r="K124" s="7"/>
      <c r="L124" s="7"/>
      <c r="M124" s="7"/>
      <c r="N124" s="8" t="s">
        <v>35</v>
      </c>
      <c r="O124" s="8"/>
      <c r="P124" s="9"/>
      <c r="Q124" s="10" t="s">
        <v>71</v>
      </c>
      <c r="R124" s="8"/>
      <c r="S124" s="8"/>
      <c r="T124" s="8"/>
      <c r="U124" s="8" t="s">
        <v>38</v>
      </c>
      <c r="V124" s="8"/>
      <c r="W124" s="8"/>
      <c r="X124" s="8"/>
      <c r="Y124" s="8"/>
      <c r="Z124" s="8"/>
      <c r="AA124" s="8"/>
      <c r="AB124" s="8"/>
      <c r="AC124" s="8"/>
      <c r="AD124" s="7"/>
      <c r="AE124" s="7"/>
    </row>
    <row r="125" spans="1:31" ht="26.25" customHeight="1">
      <c r="A125" s="5">
        <v>124</v>
      </c>
      <c r="B125" s="6">
        <v>46185</v>
      </c>
      <c r="C125" s="7" t="s">
        <v>579</v>
      </c>
      <c r="D125" s="7" t="s">
        <v>580</v>
      </c>
      <c r="E125" s="8">
        <v>9759999786</v>
      </c>
      <c r="F125" s="8" t="s">
        <v>581</v>
      </c>
      <c r="G125" s="8"/>
      <c r="H125" s="7"/>
      <c r="I125" s="7"/>
      <c r="J125" s="7" t="s">
        <v>582</v>
      </c>
      <c r="K125" s="7"/>
      <c r="L125" s="7"/>
      <c r="M125" s="7"/>
      <c r="N125" s="8" t="s">
        <v>35</v>
      </c>
      <c r="O125" s="8"/>
      <c r="P125" s="9"/>
      <c r="Q125" s="10" t="s">
        <v>71</v>
      </c>
      <c r="R125" s="8"/>
      <c r="S125" s="8"/>
      <c r="T125" s="8"/>
      <c r="U125" s="8" t="s">
        <v>38</v>
      </c>
      <c r="V125" s="8"/>
      <c r="W125" s="8"/>
      <c r="X125" s="8"/>
      <c r="Y125" s="8"/>
      <c r="Z125" s="8"/>
      <c r="AA125" s="8"/>
      <c r="AB125" s="8"/>
      <c r="AC125" s="8"/>
      <c r="AD125" s="7"/>
      <c r="AE125" s="7"/>
    </row>
    <row r="126" spans="1:31" ht="26.25" customHeight="1">
      <c r="A126" s="5">
        <v>125</v>
      </c>
      <c r="B126" s="6">
        <v>46185</v>
      </c>
      <c r="C126" s="7" t="s">
        <v>583</v>
      </c>
      <c r="D126" s="7" t="s">
        <v>584</v>
      </c>
      <c r="E126" s="8">
        <v>7598603300</v>
      </c>
      <c r="F126" s="8" t="s">
        <v>585</v>
      </c>
      <c r="G126" s="8" t="s">
        <v>586</v>
      </c>
      <c r="H126" s="7"/>
      <c r="I126" s="7"/>
      <c r="J126" s="7" t="s">
        <v>587</v>
      </c>
      <c r="K126" s="7"/>
      <c r="L126" s="7"/>
      <c r="M126" s="7"/>
      <c r="N126" s="8" t="s">
        <v>35</v>
      </c>
      <c r="O126" s="8"/>
      <c r="P126" s="9"/>
      <c r="Q126" s="10" t="s">
        <v>71</v>
      </c>
      <c r="R126" s="8"/>
      <c r="S126" s="8"/>
      <c r="T126" s="8"/>
      <c r="U126" s="8" t="s">
        <v>38</v>
      </c>
      <c r="V126" s="8"/>
      <c r="W126" s="8"/>
      <c r="X126" s="8"/>
      <c r="Y126" s="8"/>
      <c r="Z126" s="8"/>
      <c r="AA126" s="8"/>
      <c r="AB126" s="8"/>
      <c r="AC126" s="8"/>
      <c r="AD126" s="7"/>
      <c r="AE126" s="7"/>
    </row>
    <row r="127" spans="1:31" ht="26.25" customHeight="1">
      <c r="A127" s="5">
        <v>126</v>
      </c>
      <c r="B127" s="6">
        <v>46185</v>
      </c>
      <c r="C127" s="7" t="s">
        <v>588</v>
      </c>
      <c r="D127" s="7" t="s">
        <v>589</v>
      </c>
      <c r="E127" s="8">
        <v>9517186565</v>
      </c>
      <c r="F127" s="8" t="s">
        <v>581</v>
      </c>
      <c r="G127" s="8"/>
      <c r="H127" s="7"/>
      <c r="I127" s="7"/>
      <c r="J127" s="7"/>
      <c r="K127" s="7"/>
      <c r="L127" s="7"/>
      <c r="M127" s="7"/>
      <c r="N127" s="8" t="s">
        <v>44</v>
      </c>
      <c r="O127" s="8"/>
      <c r="P127" s="9"/>
      <c r="Q127" s="10" t="s">
        <v>71</v>
      </c>
      <c r="R127" s="8"/>
      <c r="S127" s="8"/>
      <c r="T127" s="8"/>
      <c r="U127" s="8" t="s">
        <v>378</v>
      </c>
      <c r="V127" s="8"/>
      <c r="W127" s="8"/>
      <c r="X127" s="8"/>
      <c r="Y127" s="8"/>
      <c r="Z127" s="8"/>
      <c r="AA127" s="8"/>
      <c r="AB127" s="8"/>
      <c r="AC127" s="8"/>
      <c r="AD127" s="7"/>
      <c r="AE127" s="7"/>
    </row>
    <row r="128" spans="1:31" ht="45" customHeight="1">
      <c r="A128" s="5">
        <v>127</v>
      </c>
      <c r="B128" s="6">
        <v>46185</v>
      </c>
      <c r="C128" s="7" t="s">
        <v>590</v>
      </c>
      <c r="D128" s="7" t="s">
        <v>591</v>
      </c>
      <c r="E128" s="8">
        <v>9702051858</v>
      </c>
      <c r="F128" s="8" t="s">
        <v>592</v>
      </c>
      <c r="G128" s="8">
        <v>24</v>
      </c>
      <c r="H128" s="7"/>
      <c r="I128" s="7"/>
      <c r="J128" s="7" t="s">
        <v>593</v>
      </c>
      <c r="K128" s="7" t="s">
        <v>594</v>
      </c>
      <c r="L128" s="7"/>
      <c r="M128" s="7"/>
      <c r="N128" s="8" t="s">
        <v>106</v>
      </c>
      <c r="O128" s="8"/>
      <c r="P128" s="9"/>
      <c r="Q128" s="10" t="s">
        <v>36</v>
      </c>
      <c r="R128" s="8"/>
      <c r="S128" s="8" t="s">
        <v>37</v>
      </c>
      <c r="T128" s="8"/>
      <c r="U128" s="8" t="s">
        <v>38</v>
      </c>
      <c r="V128" s="8"/>
      <c r="W128" s="8"/>
      <c r="X128" s="8"/>
      <c r="Y128" s="8"/>
      <c r="Z128" s="8"/>
      <c r="AA128" s="8"/>
      <c r="AB128" s="8"/>
      <c r="AC128" s="8"/>
      <c r="AD128" s="7"/>
      <c r="AE128" s="7"/>
    </row>
    <row r="129" spans="1:31" ht="26.25" customHeight="1">
      <c r="A129" s="39">
        <v>128</v>
      </c>
      <c r="B129" s="40">
        <v>46186</v>
      </c>
      <c r="C129" s="41" t="s">
        <v>595</v>
      </c>
      <c r="D129" s="41" t="s">
        <v>596</v>
      </c>
      <c r="E129" s="42">
        <v>917200661251</v>
      </c>
      <c r="F129" s="42" t="s">
        <v>597</v>
      </c>
      <c r="G129" s="42">
        <v>50</v>
      </c>
      <c r="H129" s="41"/>
      <c r="I129" s="41"/>
      <c r="J129" s="41" t="s">
        <v>598</v>
      </c>
      <c r="K129" s="41"/>
      <c r="L129" s="41"/>
      <c r="M129" s="41"/>
      <c r="N129" s="42" t="s">
        <v>35</v>
      </c>
      <c r="O129" s="42"/>
      <c r="P129" s="43"/>
      <c r="Q129" s="44" t="s">
        <v>36</v>
      </c>
      <c r="R129" s="42"/>
      <c r="S129" s="42" t="s">
        <v>37</v>
      </c>
      <c r="T129" s="42"/>
      <c r="U129" s="42" t="s">
        <v>38</v>
      </c>
      <c r="V129" s="42"/>
      <c r="W129" s="42"/>
      <c r="X129" s="42"/>
      <c r="Y129" s="42"/>
      <c r="Z129" s="42"/>
      <c r="AA129" s="42"/>
      <c r="AB129" s="42"/>
      <c r="AC129" s="42"/>
      <c r="AD129" s="41"/>
      <c r="AE129" s="41"/>
    </row>
    <row r="130" spans="1:31" ht="26.25" customHeight="1">
      <c r="A130" s="5">
        <v>129</v>
      </c>
      <c r="B130" s="6">
        <v>46186</v>
      </c>
      <c r="C130" s="7" t="s">
        <v>599</v>
      </c>
      <c r="D130" s="7" t="s">
        <v>600</v>
      </c>
      <c r="E130" s="8">
        <v>8008188334</v>
      </c>
      <c r="F130" s="8" t="s">
        <v>601</v>
      </c>
      <c r="G130" s="8">
        <v>100</v>
      </c>
      <c r="H130" s="7"/>
      <c r="I130" s="7"/>
      <c r="J130" s="7" t="s">
        <v>602</v>
      </c>
      <c r="K130" s="7"/>
      <c r="L130" s="7"/>
      <c r="M130" s="7"/>
      <c r="N130" s="8" t="s">
        <v>35</v>
      </c>
      <c r="O130" s="8"/>
      <c r="P130" s="9"/>
      <c r="Q130" s="10" t="s">
        <v>36</v>
      </c>
      <c r="R130" s="8"/>
      <c r="S130" s="8"/>
      <c r="T130" s="8"/>
      <c r="U130" s="8" t="s">
        <v>38</v>
      </c>
      <c r="V130" s="8"/>
      <c r="W130" s="8"/>
      <c r="X130" s="8"/>
      <c r="Y130" s="8"/>
      <c r="Z130" s="8"/>
      <c r="AA130" s="8"/>
      <c r="AB130" s="8"/>
      <c r="AC130" s="8"/>
      <c r="AD130" s="7"/>
      <c r="AE130" s="7"/>
    </row>
    <row r="131" spans="1:31" ht="50.25" customHeight="1">
      <c r="A131" s="5">
        <v>130</v>
      </c>
      <c r="B131" s="6">
        <v>46186</v>
      </c>
      <c r="C131" s="7" t="s">
        <v>603</v>
      </c>
      <c r="D131" s="7" t="s">
        <v>604</v>
      </c>
      <c r="E131" s="8">
        <v>9894655500</v>
      </c>
      <c r="F131" s="8" t="s">
        <v>605</v>
      </c>
      <c r="G131" s="8">
        <v>8</v>
      </c>
      <c r="H131" s="7"/>
      <c r="I131" s="7" t="s">
        <v>606</v>
      </c>
      <c r="J131" s="7" t="s">
        <v>607</v>
      </c>
      <c r="K131" s="7"/>
      <c r="L131" s="7"/>
      <c r="M131" s="7"/>
      <c r="N131" s="8" t="s">
        <v>122</v>
      </c>
      <c r="O131" s="8"/>
      <c r="P131" s="9"/>
      <c r="Q131" s="10" t="s">
        <v>36</v>
      </c>
      <c r="R131" s="8"/>
      <c r="S131" s="8"/>
      <c r="T131" s="8"/>
      <c r="U131" s="8" t="s">
        <v>38</v>
      </c>
      <c r="V131" s="8"/>
      <c r="W131" s="8"/>
      <c r="X131" s="8"/>
      <c r="Y131" s="8"/>
      <c r="Z131" s="8"/>
      <c r="AA131" s="8"/>
      <c r="AB131" s="8"/>
      <c r="AC131" s="8"/>
      <c r="AD131" s="7"/>
      <c r="AE131" s="7"/>
    </row>
    <row r="132" spans="1:31" ht="26.25" customHeight="1">
      <c r="A132" s="5">
        <v>131</v>
      </c>
      <c r="B132" s="6">
        <v>46186</v>
      </c>
      <c r="C132" s="45" t="s">
        <v>608</v>
      </c>
      <c r="D132" s="45"/>
      <c r="E132" s="46">
        <v>8252963867</v>
      </c>
      <c r="F132" s="46" t="s">
        <v>609</v>
      </c>
      <c r="G132" s="46">
        <v>500</v>
      </c>
      <c r="H132" s="7"/>
      <c r="I132" s="45"/>
      <c r="J132" s="45" t="s">
        <v>610</v>
      </c>
      <c r="K132" s="45"/>
      <c r="L132" s="45"/>
      <c r="M132" s="45"/>
      <c r="N132" s="8" t="s">
        <v>35</v>
      </c>
      <c r="O132" s="8"/>
      <c r="P132" s="9"/>
      <c r="Q132" s="10" t="s">
        <v>36</v>
      </c>
      <c r="R132" s="8"/>
      <c r="S132" s="8"/>
      <c r="T132" s="8"/>
      <c r="U132" s="8" t="s">
        <v>38</v>
      </c>
      <c r="V132" s="8"/>
      <c r="W132" s="8"/>
      <c r="X132" s="8"/>
      <c r="Y132" s="8"/>
      <c r="Z132" s="8"/>
      <c r="AA132" s="8"/>
      <c r="AB132" s="8"/>
      <c r="AC132" s="8"/>
      <c r="AD132" s="7"/>
      <c r="AE132" s="7"/>
    </row>
    <row r="133" spans="1:31" ht="26.25" customHeight="1">
      <c r="A133" s="5">
        <v>132</v>
      </c>
      <c r="B133" s="6">
        <v>46186</v>
      </c>
      <c r="C133" s="7" t="s">
        <v>611</v>
      </c>
      <c r="D133" s="7"/>
      <c r="E133" s="8">
        <v>9898225252</v>
      </c>
      <c r="F133" s="8" t="s">
        <v>612</v>
      </c>
      <c r="G133" s="8">
        <v>50</v>
      </c>
      <c r="H133" s="7"/>
      <c r="I133" s="7"/>
      <c r="J133" s="7" t="s">
        <v>613</v>
      </c>
      <c r="K133" s="7"/>
      <c r="L133" s="7"/>
      <c r="M133" s="7"/>
      <c r="N133" s="8" t="s">
        <v>35</v>
      </c>
      <c r="O133" s="8"/>
      <c r="P133" s="9"/>
      <c r="Q133" s="10" t="s">
        <v>36</v>
      </c>
      <c r="R133" s="8"/>
      <c r="S133" s="8"/>
      <c r="T133" s="8"/>
      <c r="U133" s="8" t="s">
        <v>38</v>
      </c>
      <c r="V133" s="8"/>
      <c r="W133" s="8"/>
      <c r="X133" s="8"/>
      <c r="Y133" s="8"/>
      <c r="Z133" s="8"/>
      <c r="AA133" s="8"/>
      <c r="AB133" s="8"/>
      <c r="AC133" s="8"/>
      <c r="AD133" s="7"/>
      <c r="AE133" s="7"/>
    </row>
    <row r="134" spans="1:31" ht="26.25" customHeight="1">
      <c r="A134" s="5">
        <v>133</v>
      </c>
      <c r="B134" s="6">
        <v>46186</v>
      </c>
      <c r="C134" s="7" t="s">
        <v>614</v>
      </c>
      <c r="D134" s="7"/>
      <c r="E134" s="8">
        <v>8511099911</v>
      </c>
      <c r="F134" s="8" t="s">
        <v>615</v>
      </c>
      <c r="G134" s="8"/>
      <c r="H134" s="7"/>
      <c r="I134" s="7"/>
      <c r="J134" s="7"/>
      <c r="K134" s="7"/>
      <c r="L134" s="7"/>
      <c r="M134" s="7"/>
      <c r="N134" s="8" t="s">
        <v>44</v>
      </c>
      <c r="O134" s="8"/>
      <c r="P134" s="9"/>
      <c r="Q134" s="10" t="s">
        <v>36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7"/>
      <c r="AE134" s="7"/>
    </row>
    <row r="135" spans="1:31" ht="39.75" customHeight="1">
      <c r="A135" s="5">
        <v>134</v>
      </c>
      <c r="B135" s="6">
        <v>46186</v>
      </c>
      <c r="C135" s="45" t="s">
        <v>432</v>
      </c>
      <c r="D135" s="45" t="s">
        <v>616</v>
      </c>
      <c r="E135" s="46">
        <v>9415218553</v>
      </c>
      <c r="F135" s="46" t="s">
        <v>617</v>
      </c>
      <c r="G135" s="46">
        <v>60</v>
      </c>
      <c r="H135" s="12" t="s">
        <v>618</v>
      </c>
      <c r="I135" s="45"/>
      <c r="J135" s="45" t="s">
        <v>619</v>
      </c>
      <c r="K135" s="45"/>
      <c r="L135" s="45"/>
      <c r="M135" s="45"/>
      <c r="N135" s="8" t="s">
        <v>35</v>
      </c>
      <c r="O135" s="8"/>
      <c r="P135" s="9"/>
      <c r="Q135" s="10" t="s">
        <v>36</v>
      </c>
      <c r="R135" s="8"/>
      <c r="S135" s="8"/>
      <c r="T135" s="8"/>
      <c r="U135" s="8" t="s">
        <v>38</v>
      </c>
      <c r="V135" s="8"/>
      <c r="W135" s="8"/>
      <c r="X135" s="8"/>
      <c r="Y135" s="8"/>
      <c r="Z135" s="8"/>
      <c r="AA135" s="8"/>
      <c r="AB135" s="8"/>
      <c r="AC135" s="8"/>
      <c r="AD135" s="7"/>
      <c r="AE135" s="7"/>
    </row>
    <row r="136" spans="1:31" ht="26.25" customHeight="1">
      <c r="A136" s="5">
        <v>135</v>
      </c>
      <c r="B136" s="6">
        <v>46186</v>
      </c>
      <c r="C136" s="7" t="s">
        <v>620</v>
      </c>
      <c r="D136" s="7" t="s">
        <v>621</v>
      </c>
      <c r="E136" s="8">
        <v>9928091754</v>
      </c>
      <c r="F136" s="8" t="s">
        <v>622</v>
      </c>
      <c r="G136" s="8"/>
      <c r="H136" s="7"/>
      <c r="I136" s="7"/>
      <c r="J136" s="7" t="s">
        <v>431</v>
      </c>
      <c r="K136" s="7"/>
      <c r="L136" s="7"/>
      <c r="M136" s="7"/>
      <c r="N136" s="8" t="s">
        <v>35</v>
      </c>
      <c r="O136" s="8"/>
      <c r="P136" s="9"/>
      <c r="Q136" s="10" t="s">
        <v>36</v>
      </c>
      <c r="R136" s="8"/>
      <c r="S136" s="8"/>
      <c r="T136" s="8"/>
      <c r="U136" s="8" t="s">
        <v>38</v>
      </c>
      <c r="V136" s="8"/>
      <c r="W136" s="8"/>
      <c r="X136" s="8"/>
      <c r="Y136" s="8"/>
      <c r="Z136" s="8"/>
      <c r="AA136" s="8"/>
      <c r="AB136" s="8"/>
      <c r="AC136" s="8"/>
      <c r="AD136" s="7"/>
      <c r="AE136" s="7"/>
    </row>
    <row r="137" spans="1:31" ht="44.25" customHeight="1">
      <c r="A137" s="5">
        <v>136</v>
      </c>
      <c r="B137" s="6">
        <v>46186</v>
      </c>
      <c r="C137" s="7" t="s">
        <v>623</v>
      </c>
      <c r="D137" s="7" t="s">
        <v>624</v>
      </c>
      <c r="E137" s="8">
        <v>9845126666</v>
      </c>
      <c r="F137" s="8" t="s">
        <v>110</v>
      </c>
      <c r="G137" s="8" t="s">
        <v>625</v>
      </c>
      <c r="H137" s="7"/>
      <c r="I137" s="7"/>
      <c r="J137" s="7" t="s">
        <v>626</v>
      </c>
      <c r="K137" s="7"/>
      <c r="L137" s="7"/>
      <c r="M137" s="7"/>
      <c r="N137" s="8" t="s">
        <v>35</v>
      </c>
      <c r="O137" s="8"/>
      <c r="P137" s="9"/>
      <c r="Q137" s="10" t="s">
        <v>36</v>
      </c>
      <c r="R137" s="8"/>
      <c r="S137" s="8"/>
      <c r="T137" s="8"/>
      <c r="U137" s="8" t="s">
        <v>38</v>
      </c>
      <c r="V137" s="8"/>
      <c r="W137" s="8"/>
      <c r="X137" s="8"/>
      <c r="Y137" s="8"/>
      <c r="Z137" s="8"/>
      <c r="AA137" s="8"/>
      <c r="AB137" s="8"/>
      <c r="AC137" s="8"/>
      <c r="AD137" s="7"/>
      <c r="AE137" s="7"/>
    </row>
    <row r="138" spans="1:31" ht="26.25" customHeight="1">
      <c r="A138" s="5">
        <v>137</v>
      </c>
      <c r="B138" s="6">
        <v>46186</v>
      </c>
      <c r="C138" s="7" t="s">
        <v>627</v>
      </c>
      <c r="D138" s="7" t="s">
        <v>628</v>
      </c>
      <c r="E138" s="8">
        <v>9830042996</v>
      </c>
      <c r="F138" s="8" t="s">
        <v>629</v>
      </c>
      <c r="G138" s="8" t="s">
        <v>630</v>
      </c>
      <c r="H138" s="7"/>
      <c r="I138" s="7"/>
      <c r="J138" s="7" t="s">
        <v>631</v>
      </c>
      <c r="K138" s="7"/>
      <c r="L138" s="7"/>
      <c r="M138" s="7"/>
      <c r="N138" s="8" t="s">
        <v>44</v>
      </c>
      <c r="O138" s="8"/>
      <c r="P138" s="9"/>
      <c r="Q138" s="10" t="s">
        <v>36</v>
      </c>
      <c r="R138" s="8"/>
      <c r="S138" s="8"/>
      <c r="T138" s="8"/>
      <c r="U138" s="8" t="s">
        <v>38</v>
      </c>
      <c r="V138" s="8"/>
      <c r="W138" s="8"/>
      <c r="X138" s="8"/>
      <c r="Y138" s="8"/>
      <c r="Z138" s="8"/>
      <c r="AA138" s="8"/>
      <c r="AB138" s="8"/>
      <c r="AC138" s="8"/>
      <c r="AD138" s="7"/>
      <c r="AE138" s="7"/>
    </row>
    <row r="139" spans="1:31" ht="46.5" customHeight="1">
      <c r="A139" s="5">
        <v>138</v>
      </c>
      <c r="B139" s="47">
        <v>46186</v>
      </c>
      <c r="C139" s="45" t="s">
        <v>632</v>
      </c>
      <c r="D139" s="45" t="s">
        <v>633</v>
      </c>
      <c r="E139" s="46">
        <v>9822588321</v>
      </c>
      <c r="F139" s="46" t="s">
        <v>634</v>
      </c>
      <c r="G139" s="46">
        <v>100</v>
      </c>
      <c r="H139" s="7"/>
      <c r="I139" s="45"/>
      <c r="J139" s="45" t="s">
        <v>635</v>
      </c>
      <c r="K139" s="45"/>
      <c r="L139" s="45"/>
      <c r="M139" s="45"/>
      <c r="N139" s="8" t="s">
        <v>35</v>
      </c>
      <c r="O139" s="8"/>
      <c r="P139" s="9"/>
      <c r="Q139" s="10" t="s">
        <v>36</v>
      </c>
      <c r="R139" s="8"/>
      <c r="S139" s="8"/>
      <c r="T139" s="8"/>
      <c r="U139" s="8" t="s">
        <v>38</v>
      </c>
      <c r="V139" s="8"/>
      <c r="W139" s="8"/>
      <c r="X139" s="8"/>
      <c r="Y139" s="8"/>
      <c r="Z139" s="8"/>
      <c r="AA139" s="8"/>
      <c r="AB139" s="8"/>
      <c r="AC139" s="8"/>
      <c r="AD139" s="7"/>
      <c r="AE139" s="7"/>
    </row>
    <row r="140" spans="1:31" ht="54" customHeight="1">
      <c r="A140" s="5">
        <v>139</v>
      </c>
      <c r="B140" s="47">
        <v>46186</v>
      </c>
      <c r="C140" s="45" t="s">
        <v>636</v>
      </c>
      <c r="D140" s="45" t="s">
        <v>637</v>
      </c>
      <c r="E140" s="46">
        <v>9908049043</v>
      </c>
      <c r="F140" s="46" t="s">
        <v>638</v>
      </c>
      <c r="G140" s="46" t="s">
        <v>625</v>
      </c>
      <c r="H140" s="7"/>
      <c r="I140" s="45"/>
      <c r="J140" s="45" t="s">
        <v>639</v>
      </c>
      <c r="K140" s="45"/>
      <c r="L140" s="45"/>
      <c r="M140" s="45"/>
      <c r="N140" s="8" t="s">
        <v>35</v>
      </c>
      <c r="O140" s="8"/>
      <c r="P140" s="9"/>
      <c r="Q140" s="10" t="s">
        <v>36</v>
      </c>
      <c r="R140" s="8"/>
      <c r="S140" s="8"/>
      <c r="T140" s="8"/>
      <c r="U140" s="8" t="s">
        <v>38</v>
      </c>
      <c r="V140" s="8"/>
      <c r="W140" s="8"/>
      <c r="X140" s="8"/>
      <c r="Y140" s="8"/>
      <c r="Z140" s="8"/>
      <c r="AA140" s="8"/>
      <c r="AB140" s="8"/>
      <c r="AC140" s="8"/>
      <c r="AD140" s="7"/>
      <c r="AE140" s="7"/>
    </row>
    <row r="141" spans="1:31" ht="54" customHeight="1">
      <c r="A141" s="5">
        <v>140</v>
      </c>
      <c r="B141" s="6">
        <v>46186</v>
      </c>
      <c r="C141" s="7" t="s">
        <v>640</v>
      </c>
      <c r="D141" s="7" t="s">
        <v>641</v>
      </c>
      <c r="E141" s="8" t="s">
        <v>642</v>
      </c>
      <c r="F141" s="8" t="s">
        <v>110</v>
      </c>
      <c r="G141" s="8">
        <v>5000</v>
      </c>
      <c r="H141" s="7"/>
      <c r="I141" s="7"/>
      <c r="J141" s="7" t="s">
        <v>643</v>
      </c>
      <c r="K141" s="7"/>
      <c r="L141" s="7"/>
      <c r="M141" s="7"/>
      <c r="N141" s="8" t="s">
        <v>35</v>
      </c>
      <c r="O141" s="8"/>
      <c r="P141" s="9"/>
      <c r="Q141" s="10" t="s">
        <v>36</v>
      </c>
      <c r="R141" s="8"/>
      <c r="S141" s="8"/>
      <c r="T141" s="8"/>
      <c r="U141" s="8" t="s">
        <v>38</v>
      </c>
      <c r="V141" s="8"/>
      <c r="W141" s="8"/>
      <c r="X141" s="8"/>
      <c r="Y141" s="8"/>
      <c r="Z141" s="8"/>
      <c r="AA141" s="8"/>
      <c r="AB141" s="8"/>
      <c r="AC141" s="8"/>
      <c r="AD141" s="7"/>
      <c r="AE141" s="7"/>
    </row>
    <row r="142" spans="1:31" ht="26.25" customHeight="1">
      <c r="A142" s="5">
        <v>141</v>
      </c>
      <c r="B142" s="6">
        <v>46186</v>
      </c>
      <c r="C142" s="7" t="s">
        <v>644</v>
      </c>
      <c r="D142" s="7" t="s">
        <v>645</v>
      </c>
      <c r="E142" s="8" t="s">
        <v>646</v>
      </c>
      <c r="F142" s="8" t="s">
        <v>647</v>
      </c>
      <c r="G142" s="8">
        <v>10</v>
      </c>
      <c r="H142" s="7"/>
      <c r="I142" s="7"/>
      <c r="J142" s="7" t="s">
        <v>648</v>
      </c>
      <c r="K142" s="7"/>
      <c r="L142" s="7"/>
      <c r="M142" s="7"/>
      <c r="N142" s="8" t="s">
        <v>35</v>
      </c>
      <c r="O142" s="8"/>
      <c r="P142" s="9"/>
      <c r="Q142" s="10" t="s">
        <v>36</v>
      </c>
      <c r="R142" s="8"/>
      <c r="S142" s="8" t="s">
        <v>228</v>
      </c>
      <c r="T142" s="8"/>
      <c r="U142" s="8" t="s">
        <v>38</v>
      </c>
      <c r="V142" s="8"/>
      <c r="W142" s="8"/>
      <c r="X142" s="8"/>
      <c r="Y142" s="8"/>
      <c r="Z142" s="8"/>
      <c r="AA142" s="8"/>
      <c r="AB142" s="8"/>
      <c r="AC142" s="8"/>
      <c r="AD142" s="7"/>
      <c r="AE142" s="7"/>
    </row>
    <row r="143" spans="1:31" ht="68.25" customHeight="1">
      <c r="A143" s="5">
        <v>142</v>
      </c>
      <c r="B143" s="6">
        <v>46186</v>
      </c>
      <c r="C143" s="7" t="s">
        <v>649</v>
      </c>
      <c r="D143" s="7" t="s">
        <v>650</v>
      </c>
      <c r="E143" s="8" t="s">
        <v>651</v>
      </c>
      <c r="F143" s="8" t="s">
        <v>652</v>
      </c>
      <c r="G143" s="8">
        <v>60</v>
      </c>
      <c r="H143" s="7"/>
      <c r="I143" s="7"/>
      <c r="J143" s="7" t="s">
        <v>653</v>
      </c>
      <c r="K143" s="7" t="s">
        <v>654</v>
      </c>
      <c r="L143" s="7"/>
      <c r="M143" s="7"/>
      <c r="N143" s="8" t="s">
        <v>77</v>
      </c>
      <c r="O143" s="8"/>
      <c r="P143" s="9"/>
      <c r="Q143" s="10" t="s">
        <v>36</v>
      </c>
      <c r="R143" s="8"/>
      <c r="S143" s="8" t="s">
        <v>526</v>
      </c>
      <c r="T143" s="8"/>
      <c r="U143" s="8" t="s">
        <v>38</v>
      </c>
      <c r="V143" s="8"/>
      <c r="W143" s="8"/>
      <c r="X143" s="8"/>
      <c r="Y143" s="8"/>
      <c r="Z143" s="8"/>
      <c r="AA143" s="8"/>
      <c r="AB143" s="8"/>
      <c r="AC143" s="8"/>
      <c r="AD143" s="7"/>
      <c r="AE143" s="7"/>
    </row>
    <row r="144" spans="1:31" ht="26.25" customHeight="1">
      <c r="A144" s="5">
        <v>143</v>
      </c>
      <c r="B144" s="6">
        <v>46186</v>
      </c>
      <c r="C144" s="7" t="s">
        <v>655</v>
      </c>
      <c r="D144" s="7" t="s">
        <v>656</v>
      </c>
      <c r="E144" s="8">
        <v>9373658188</v>
      </c>
      <c r="F144" s="8" t="s">
        <v>657</v>
      </c>
      <c r="G144" s="8">
        <v>50</v>
      </c>
      <c r="H144" s="7"/>
      <c r="I144" s="7"/>
      <c r="J144" s="7" t="s">
        <v>658</v>
      </c>
      <c r="K144" s="7"/>
      <c r="L144" s="7"/>
      <c r="M144" s="7"/>
      <c r="N144" s="8" t="s">
        <v>44</v>
      </c>
      <c r="O144" s="8"/>
      <c r="P144" s="9"/>
      <c r="Q144" s="10" t="s">
        <v>36</v>
      </c>
      <c r="R144" s="8"/>
      <c r="S144" s="8"/>
      <c r="T144" s="8"/>
      <c r="U144" s="8" t="s">
        <v>38</v>
      </c>
      <c r="V144" s="8"/>
      <c r="W144" s="8"/>
      <c r="X144" s="8"/>
      <c r="Y144" s="8"/>
      <c r="Z144" s="8"/>
      <c r="AA144" s="8"/>
      <c r="AB144" s="8"/>
      <c r="AC144" s="8"/>
      <c r="AD144" s="7"/>
      <c r="AE144" s="7"/>
    </row>
    <row r="145" spans="1:31" ht="26.25" customHeight="1">
      <c r="A145" s="5">
        <v>144</v>
      </c>
      <c r="B145" s="6">
        <v>46186</v>
      </c>
      <c r="C145" s="7" t="s">
        <v>659</v>
      </c>
      <c r="D145" s="7" t="s">
        <v>660</v>
      </c>
      <c r="E145" s="8">
        <v>9842212021</v>
      </c>
      <c r="F145" s="8" t="s">
        <v>661</v>
      </c>
      <c r="G145" s="8">
        <v>25</v>
      </c>
      <c r="H145" s="7"/>
      <c r="I145" s="7"/>
      <c r="J145" s="7" t="s">
        <v>662</v>
      </c>
      <c r="K145" s="7"/>
      <c r="L145" s="7"/>
      <c r="M145" s="7"/>
      <c r="N145" s="8" t="s">
        <v>35</v>
      </c>
      <c r="O145" s="8"/>
      <c r="P145" s="9"/>
      <c r="Q145" s="10" t="s">
        <v>36</v>
      </c>
      <c r="R145" s="8"/>
      <c r="S145" s="8" t="s">
        <v>228</v>
      </c>
      <c r="T145" s="8"/>
      <c r="U145" s="8" t="s">
        <v>38</v>
      </c>
      <c r="V145" s="8"/>
      <c r="W145" s="8"/>
      <c r="X145" s="8"/>
      <c r="Y145" s="8"/>
      <c r="Z145" s="8"/>
      <c r="AA145" s="8"/>
      <c r="AB145" s="8"/>
      <c r="AC145" s="8"/>
      <c r="AD145" s="7"/>
      <c r="AE145" s="7"/>
    </row>
    <row r="146" spans="1:31" ht="26.25" customHeight="1">
      <c r="A146" s="5">
        <v>145</v>
      </c>
      <c r="B146" s="6">
        <v>46186</v>
      </c>
      <c r="C146" s="7" t="s">
        <v>663</v>
      </c>
      <c r="D146" s="7" t="s">
        <v>664</v>
      </c>
      <c r="E146" s="8">
        <v>9403938234</v>
      </c>
      <c r="F146" s="8" t="s">
        <v>664</v>
      </c>
      <c r="G146" s="8">
        <v>25</v>
      </c>
      <c r="H146" s="7"/>
      <c r="I146" s="7"/>
      <c r="J146" s="7" t="s">
        <v>665</v>
      </c>
      <c r="K146" s="7"/>
      <c r="L146" s="7"/>
      <c r="M146" s="7"/>
      <c r="N146" s="8" t="s">
        <v>35</v>
      </c>
      <c r="O146" s="8"/>
      <c r="P146" s="9"/>
      <c r="Q146" s="10" t="s">
        <v>36</v>
      </c>
      <c r="R146" s="8"/>
      <c r="S146" s="8"/>
      <c r="T146" s="8"/>
      <c r="U146" s="8" t="s">
        <v>38</v>
      </c>
      <c r="V146" s="8"/>
      <c r="W146" s="8"/>
      <c r="X146" s="8"/>
      <c r="Y146" s="8"/>
      <c r="Z146" s="8"/>
      <c r="AA146" s="8"/>
      <c r="AB146" s="8"/>
      <c r="AC146" s="8"/>
      <c r="AD146" s="7"/>
      <c r="AE146" s="7"/>
    </row>
    <row r="147" spans="1:31" ht="26.25" customHeight="1">
      <c r="A147" s="5">
        <v>146</v>
      </c>
      <c r="B147" s="6">
        <v>46186</v>
      </c>
      <c r="C147" s="7" t="s">
        <v>666</v>
      </c>
      <c r="D147" s="7" t="s">
        <v>667</v>
      </c>
      <c r="E147" s="8" t="s">
        <v>668</v>
      </c>
      <c r="F147" s="8" t="s">
        <v>669</v>
      </c>
      <c r="G147" s="8">
        <v>50</v>
      </c>
      <c r="H147" s="7"/>
      <c r="I147" s="7" t="s">
        <v>670</v>
      </c>
      <c r="J147" s="7" t="s">
        <v>671</v>
      </c>
      <c r="K147" s="7"/>
      <c r="L147" s="7"/>
      <c r="M147" s="7"/>
      <c r="N147" s="8" t="s">
        <v>35</v>
      </c>
      <c r="O147" s="8"/>
      <c r="P147" s="9"/>
      <c r="Q147" s="10" t="s">
        <v>36</v>
      </c>
      <c r="R147" s="8"/>
      <c r="S147" s="8"/>
      <c r="T147" s="8"/>
      <c r="U147" s="8" t="s">
        <v>38</v>
      </c>
      <c r="V147" s="8"/>
      <c r="W147" s="8"/>
      <c r="X147" s="8"/>
      <c r="Y147" s="8"/>
      <c r="Z147" s="8"/>
      <c r="AA147" s="8"/>
      <c r="AB147" s="8"/>
      <c r="AC147" s="8"/>
      <c r="AD147" s="7"/>
      <c r="AE147" s="7"/>
    </row>
    <row r="148" spans="1:31" ht="26.25" customHeight="1">
      <c r="A148" s="5">
        <v>147</v>
      </c>
      <c r="B148" s="6">
        <v>46186</v>
      </c>
      <c r="C148" s="7" t="s">
        <v>672</v>
      </c>
      <c r="D148" s="7"/>
      <c r="E148" s="8" t="s">
        <v>673</v>
      </c>
      <c r="F148" s="8" t="s">
        <v>101</v>
      </c>
      <c r="G148" s="8">
        <v>500</v>
      </c>
      <c r="H148" s="7"/>
      <c r="I148" s="7" t="s">
        <v>674</v>
      </c>
      <c r="J148" s="7"/>
      <c r="K148" s="7"/>
      <c r="L148" s="7"/>
      <c r="M148" s="7"/>
      <c r="N148" s="8" t="s">
        <v>35</v>
      </c>
      <c r="O148" s="8"/>
      <c r="P148" s="9"/>
      <c r="Q148" s="10" t="s">
        <v>36</v>
      </c>
      <c r="R148" s="8"/>
      <c r="S148" s="8"/>
      <c r="T148" s="8"/>
      <c r="U148" s="8" t="s">
        <v>38</v>
      </c>
      <c r="V148" s="8"/>
      <c r="W148" s="8"/>
      <c r="X148" s="8"/>
      <c r="Y148" s="8"/>
      <c r="Z148" s="8"/>
      <c r="AA148" s="8"/>
      <c r="AB148" s="8"/>
      <c r="AC148" s="8"/>
      <c r="AD148" s="7"/>
      <c r="AE148" s="7"/>
    </row>
    <row r="149" spans="1:31" ht="35.25" customHeight="1">
      <c r="A149" s="5">
        <v>148</v>
      </c>
      <c r="B149" s="6">
        <v>46186</v>
      </c>
      <c r="C149" s="7" t="s">
        <v>675</v>
      </c>
      <c r="D149" s="7" t="s">
        <v>676</v>
      </c>
      <c r="E149" s="8">
        <v>7305627478</v>
      </c>
      <c r="F149" s="8" t="s">
        <v>677</v>
      </c>
      <c r="G149" s="8"/>
      <c r="H149" s="7"/>
      <c r="I149" s="7" t="s">
        <v>678</v>
      </c>
      <c r="J149" s="7" t="s">
        <v>679</v>
      </c>
      <c r="K149" s="7"/>
      <c r="L149" s="7"/>
      <c r="M149" s="7"/>
      <c r="N149" s="8" t="s">
        <v>122</v>
      </c>
      <c r="O149" s="8"/>
      <c r="P149" s="9"/>
      <c r="Q149" s="10" t="s">
        <v>71</v>
      </c>
      <c r="R149" s="8"/>
      <c r="S149" s="8"/>
      <c r="T149" s="8"/>
      <c r="U149" s="8" t="s">
        <v>38</v>
      </c>
      <c r="V149" s="8"/>
      <c r="W149" s="8"/>
      <c r="X149" s="8"/>
      <c r="Y149" s="8"/>
      <c r="Z149" s="8"/>
      <c r="AA149" s="8"/>
      <c r="AB149" s="8"/>
      <c r="AC149" s="8"/>
      <c r="AD149" s="7"/>
      <c r="AE149" s="7"/>
    </row>
    <row r="150" spans="1:31" ht="26.25" customHeight="1">
      <c r="A150" s="5">
        <v>149</v>
      </c>
      <c r="B150" s="6">
        <v>46186</v>
      </c>
      <c r="C150" s="7"/>
      <c r="D150" s="7"/>
      <c r="E150" s="8">
        <v>9886357107</v>
      </c>
      <c r="F150" s="8" t="s">
        <v>680</v>
      </c>
      <c r="G150" s="8"/>
      <c r="H150" s="7"/>
      <c r="I150" s="7" t="s">
        <v>681</v>
      </c>
      <c r="J150" s="7"/>
      <c r="K150" s="7"/>
      <c r="L150" s="7"/>
      <c r="M150" s="7"/>
      <c r="N150" s="8" t="s">
        <v>122</v>
      </c>
      <c r="O150" s="8"/>
      <c r="P150" s="9"/>
      <c r="Q150" s="10" t="s">
        <v>71</v>
      </c>
      <c r="R150" s="8"/>
      <c r="S150" s="8"/>
      <c r="T150" s="8"/>
      <c r="U150" s="8" t="s">
        <v>38</v>
      </c>
      <c r="V150" s="8"/>
      <c r="W150" s="8"/>
      <c r="X150" s="8"/>
      <c r="Y150" s="8"/>
      <c r="Z150" s="8"/>
      <c r="AA150" s="8"/>
      <c r="AB150" s="8"/>
      <c r="AC150" s="8"/>
      <c r="AD150" s="7"/>
      <c r="AE150" s="7"/>
    </row>
    <row r="151" spans="1:31" ht="26.25" customHeight="1">
      <c r="A151" s="5">
        <v>150</v>
      </c>
      <c r="B151" s="6">
        <v>46186</v>
      </c>
      <c r="C151" s="7" t="s">
        <v>682</v>
      </c>
      <c r="D151" s="7" t="s">
        <v>683</v>
      </c>
      <c r="E151" s="8">
        <v>9954705797</v>
      </c>
      <c r="F151" s="8" t="s">
        <v>684</v>
      </c>
      <c r="G151" s="8">
        <v>50</v>
      </c>
      <c r="H151" s="7"/>
      <c r="I151" s="7" t="s">
        <v>685</v>
      </c>
      <c r="J151" s="7"/>
      <c r="K151" s="7"/>
      <c r="L151" s="7"/>
      <c r="M151" s="7"/>
      <c r="N151" s="8" t="s">
        <v>44</v>
      </c>
      <c r="O151" s="8"/>
      <c r="P151" s="9"/>
      <c r="Q151" s="10" t="s">
        <v>36</v>
      </c>
      <c r="R151" s="8"/>
      <c r="S151" s="8"/>
      <c r="T151" s="8" t="s">
        <v>686</v>
      </c>
      <c r="U151" s="8"/>
      <c r="V151" s="8"/>
      <c r="W151" s="8"/>
      <c r="X151" s="8"/>
      <c r="Y151" s="8"/>
      <c r="Z151" s="8"/>
      <c r="AA151" s="8"/>
      <c r="AB151" s="8"/>
      <c r="AC151" s="8"/>
      <c r="AD151" s="7"/>
      <c r="AE151" s="7"/>
    </row>
    <row r="152" spans="1:31" ht="26.25" customHeight="1">
      <c r="A152" s="5">
        <v>151</v>
      </c>
      <c r="B152" s="6">
        <v>46186</v>
      </c>
      <c r="C152" s="7" t="s">
        <v>687</v>
      </c>
      <c r="D152" s="7" t="s">
        <v>688</v>
      </c>
      <c r="E152" s="8" t="s">
        <v>689</v>
      </c>
      <c r="F152" s="8" t="s">
        <v>448</v>
      </c>
      <c r="G152" s="8">
        <v>50</v>
      </c>
      <c r="H152" s="7"/>
      <c r="I152" s="7" t="s">
        <v>690</v>
      </c>
      <c r="J152" s="7"/>
      <c r="K152" s="7"/>
      <c r="L152" s="7"/>
      <c r="M152" s="7"/>
      <c r="N152" s="8" t="s">
        <v>44</v>
      </c>
      <c r="O152" s="8"/>
      <c r="P152" s="9"/>
      <c r="Q152" s="10" t="s">
        <v>36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7"/>
      <c r="AE152" s="7"/>
    </row>
    <row r="153" spans="1:31" ht="39" customHeight="1">
      <c r="A153" s="5">
        <v>152</v>
      </c>
      <c r="B153" s="6">
        <v>46186</v>
      </c>
      <c r="C153" s="7" t="s">
        <v>691</v>
      </c>
      <c r="D153" s="7" t="s">
        <v>692</v>
      </c>
      <c r="E153" s="8">
        <v>919422157475</v>
      </c>
      <c r="F153" s="8" t="s">
        <v>693</v>
      </c>
      <c r="G153" s="8">
        <v>200</v>
      </c>
      <c r="H153" s="7"/>
      <c r="I153" s="7" t="s">
        <v>694</v>
      </c>
      <c r="J153" s="7" t="s">
        <v>695</v>
      </c>
      <c r="K153" s="7"/>
      <c r="L153" s="7"/>
      <c r="M153" s="7"/>
      <c r="N153" s="8" t="s">
        <v>44</v>
      </c>
      <c r="O153" s="8"/>
      <c r="P153" s="9"/>
      <c r="Q153" s="10" t="s">
        <v>36</v>
      </c>
      <c r="R153" s="8"/>
      <c r="S153" s="8"/>
      <c r="T153" s="8"/>
      <c r="U153" s="8" t="s">
        <v>38</v>
      </c>
      <c r="V153" s="8"/>
      <c r="W153" s="8"/>
      <c r="X153" s="8"/>
      <c r="Y153" s="8"/>
      <c r="Z153" s="8"/>
      <c r="AA153" s="8"/>
      <c r="AB153" s="8"/>
      <c r="AC153" s="8"/>
      <c r="AD153" s="7"/>
      <c r="AE153" s="7"/>
    </row>
    <row r="154" spans="1:31" ht="26.25" customHeight="1">
      <c r="A154" s="5">
        <v>153</v>
      </c>
      <c r="B154" s="6">
        <v>46186</v>
      </c>
      <c r="C154" s="7" t="s">
        <v>696</v>
      </c>
      <c r="D154" s="7" t="s">
        <v>697</v>
      </c>
      <c r="E154" s="8">
        <v>8960245238</v>
      </c>
      <c r="F154" s="8" t="s">
        <v>698</v>
      </c>
      <c r="G154" s="8">
        <v>50</v>
      </c>
      <c r="H154" s="7"/>
      <c r="I154" s="7" t="s">
        <v>699</v>
      </c>
      <c r="J154" s="7"/>
      <c r="K154" s="7"/>
      <c r="L154" s="7"/>
      <c r="M154" s="7"/>
      <c r="N154" s="8" t="s">
        <v>44</v>
      </c>
      <c r="O154" s="8"/>
      <c r="P154" s="9"/>
      <c r="Q154" s="10" t="s">
        <v>36</v>
      </c>
      <c r="R154" s="8"/>
      <c r="S154" s="8"/>
      <c r="T154" s="19" t="s">
        <v>700</v>
      </c>
      <c r="U154" s="8"/>
      <c r="V154" s="8"/>
      <c r="W154" s="8"/>
      <c r="X154" s="8"/>
      <c r="Y154" s="8"/>
      <c r="Z154" s="8"/>
      <c r="AA154" s="8"/>
      <c r="AB154" s="8"/>
      <c r="AC154" s="8"/>
      <c r="AD154" s="7"/>
      <c r="AE154" s="7"/>
    </row>
    <row r="155" spans="1:31" ht="26.25" customHeight="1">
      <c r="A155" s="5">
        <v>154</v>
      </c>
      <c r="B155" s="6">
        <v>46186</v>
      </c>
      <c r="C155" s="7" t="s">
        <v>701</v>
      </c>
      <c r="D155" s="7" t="s">
        <v>702</v>
      </c>
      <c r="E155" s="8">
        <v>9035038686</v>
      </c>
      <c r="F155" s="8" t="s">
        <v>110</v>
      </c>
      <c r="G155" s="8"/>
      <c r="H155" s="7"/>
      <c r="I155" s="7" t="s">
        <v>703</v>
      </c>
      <c r="J155" s="7"/>
      <c r="K155" s="7"/>
      <c r="L155" s="7"/>
      <c r="M155" s="7"/>
      <c r="N155" s="8" t="s">
        <v>44</v>
      </c>
      <c r="O155" s="8"/>
      <c r="P155" s="9"/>
      <c r="Q155" s="10" t="s">
        <v>36</v>
      </c>
      <c r="R155" s="8"/>
      <c r="S155" s="8"/>
      <c r="T155" s="16" t="s">
        <v>704</v>
      </c>
      <c r="U155" s="8"/>
      <c r="V155" s="8"/>
      <c r="W155" s="8"/>
      <c r="X155" s="8"/>
      <c r="Y155" s="8"/>
      <c r="Z155" s="8"/>
      <c r="AA155" s="8"/>
      <c r="AB155" s="8"/>
      <c r="AC155" s="8"/>
      <c r="AD155" s="7" t="s">
        <v>705</v>
      </c>
      <c r="AE155" s="7"/>
    </row>
    <row r="156" spans="1:31" ht="26.25" customHeight="1">
      <c r="A156" s="5">
        <v>155</v>
      </c>
      <c r="B156" s="6">
        <v>46186</v>
      </c>
      <c r="C156" s="7" t="s">
        <v>706</v>
      </c>
      <c r="D156" s="7" t="s">
        <v>707</v>
      </c>
      <c r="E156" s="8">
        <v>9865043877</v>
      </c>
      <c r="F156" s="8" t="s">
        <v>708</v>
      </c>
      <c r="G156" s="8" t="s">
        <v>709</v>
      </c>
      <c r="H156" s="7"/>
      <c r="I156" s="7" t="s">
        <v>710</v>
      </c>
      <c r="J156" s="7" t="s">
        <v>711</v>
      </c>
      <c r="K156" s="7"/>
      <c r="L156" s="7"/>
      <c r="M156" s="7"/>
      <c r="N156" s="8" t="s">
        <v>35</v>
      </c>
      <c r="O156" s="8"/>
      <c r="P156" s="9"/>
      <c r="Q156" s="10" t="s">
        <v>36</v>
      </c>
      <c r="R156" s="8"/>
      <c r="S156" s="8"/>
      <c r="T156" s="8" t="s">
        <v>712</v>
      </c>
      <c r="U156" s="8" t="s">
        <v>38</v>
      </c>
      <c r="V156" s="8"/>
      <c r="W156" s="8"/>
      <c r="X156" s="8"/>
      <c r="Y156" s="8"/>
      <c r="Z156" s="8"/>
      <c r="AA156" s="8"/>
      <c r="AB156" s="8"/>
      <c r="AC156" s="8"/>
      <c r="AD156" s="7"/>
      <c r="AE156" s="7"/>
    </row>
    <row r="157" spans="1:31" ht="26.25" customHeight="1">
      <c r="A157" s="5">
        <v>156</v>
      </c>
      <c r="B157" s="6">
        <v>46186</v>
      </c>
      <c r="C157" s="7" t="s">
        <v>713</v>
      </c>
      <c r="D157" s="7" t="s">
        <v>697</v>
      </c>
      <c r="E157" s="8">
        <v>9545567645</v>
      </c>
      <c r="F157" s="8" t="s">
        <v>714</v>
      </c>
      <c r="G157" s="8">
        <v>20</v>
      </c>
      <c r="H157" s="7"/>
      <c r="I157" s="7" t="s">
        <v>703</v>
      </c>
      <c r="J157" s="7"/>
      <c r="K157" s="7"/>
      <c r="L157" s="7"/>
      <c r="M157" s="7"/>
      <c r="N157" s="8" t="s">
        <v>44</v>
      </c>
      <c r="O157" s="8"/>
      <c r="P157" s="9"/>
      <c r="Q157" s="10" t="s">
        <v>36</v>
      </c>
      <c r="R157" s="8"/>
      <c r="S157" s="8"/>
      <c r="T157" s="8" t="s">
        <v>712</v>
      </c>
      <c r="U157" s="8"/>
      <c r="V157" s="8"/>
      <c r="W157" s="8"/>
      <c r="X157" s="8"/>
      <c r="Y157" s="8"/>
      <c r="Z157" s="8"/>
      <c r="AA157" s="8"/>
      <c r="AB157" s="8"/>
      <c r="AC157" s="8"/>
      <c r="AD157" s="7"/>
      <c r="AE157" s="7"/>
    </row>
    <row r="158" spans="1:31" ht="26.25" customHeight="1">
      <c r="A158" s="5">
        <v>157</v>
      </c>
      <c r="B158" s="6">
        <v>46186</v>
      </c>
      <c r="C158" s="7" t="s">
        <v>715</v>
      </c>
      <c r="D158" s="7" t="s">
        <v>716</v>
      </c>
      <c r="E158" s="8">
        <v>9895495615</v>
      </c>
      <c r="F158" s="8" t="s">
        <v>717</v>
      </c>
      <c r="G158" s="8">
        <v>200</v>
      </c>
      <c r="H158" s="7"/>
      <c r="I158" s="7" t="s">
        <v>718</v>
      </c>
      <c r="J158" s="7" t="s">
        <v>719</v>
      </c>
      <c r="K158" s="7"/>
      <c r="L158" s="7"/>
      <c r="M158" s="7"/>
      <c r="N158" s="8" t="s">
        <v>35</v>
      </c>
      <c r="O158" s="8"/>
      <c r="P158" s="9"/>
      <c r="Q158" s="10" t="s">
        <v>36</v>
      </c>
      <c r="R158" s="8"/>
      <c r="S158" s="8"/>
      <c r="T158" s="16" t="s">
        <v>720</v>
      </c>
      <c r="U158" s="8" t="s">
        <v>38</v>
      </c>
      <c r="V158" s="8"/>
      <c r="W158" s="8"/>
      <c r="X158" s="8"/>
      <c r="Y158" s="8"/>
      <c r="Z158" s="8"/>
      <c r="AA158" s="8"/>
      <c r="AB158" s="8"/>
      <c r="AC158" s="8"/>
      <c r="AD158" s="7"/>
      <c r="AE158" s="7"/>
    </row>
    <row r="159" spans="1:31" ht="49.5" customHeight="1">
      <c r="A159" s="5">
        <v>158</v>
      </c>
      <c r="B159" s="6">
        <v>46186</v>
      </c>
      <c r="C159" s="7" t="s">
        <v>721</v>
      </c>
      <c r="D159" s="7" t="s">
        <v>722</v>
      </c>
      <c r="E159" s="8">
        <v>9846163114</v>
      </c>
      <c r="F159" s="8" t="s">
        <v>723</v>
      </c>
      <c r="G159" s="8"/>
      <c r="H159" s="7"/>
      <c r="I159" s="7" t="s">
        <v>699</v>
      </c>
      <c r="J159" s="7" t="s">
        <v>724</v>
      </c>
      <c r="K159" s="7"/>
      <c r="L159" s="7"/>
      <c r="M159" s="7"/>
      <c r="N159" s="8" t="s">
        <v>44</v>
      </c>
      <c r="O159" s="8"/>
      <c r="P159" s="9"/>
      <c r="Q159" s="10" t="s">
        <v>36</v>
      </c>
      <c r="R159" s="8"/>
      <c r="S159" s="8"/>
      <c r="T159" s="28" t="s">
        <v>725</v>
      </c>
      <c r="U159" s="8"/>
      <c r="V159" s="8"/>
      <c r="W159" s="8"/>
      <c r="X159" s="8"/>
      <c r="Y159" s="8"/>
      <c r="Z159" s="8"/>
      <c r="AA159" s="8"/>
      <c r="AB159" s="8"/>
      <c r="AC159" s="8"/>
      <c r="AD159" s="7"/>
      <c r="AE159" s="7"/>
    </row>
    <row r="160" spans="1:31" ht="26.25" customHeight="1">
      <c r="A160" s="21">
        <v>159</v>
      </c>
      <c r="B160" s="22">
        <v>46186</v>
      </c>
      <c r="C160" s="23" t="s">
        <v>726</v>
      </c>
      <c r="D160" s="23" t="s">
        <v>727</v>
      </c>
      <c r="E160" s="24">
        <v>8888861606</v>
      </c>
      <c r="F160" s="24" t="s">
        <v>482</v>
      </c>
      <c r="G160" s="24">
        <v>189</v>
      </c>
      <c r="H160" s="23"/>
      <c r="I160" s="23" t="s">
        <v>728</v>
      </c>
      <c r="J160" s="23" t="s">
        <v>729</v>
      </c>
      <c r="K160" s="23"/>
      <c r="L160" s="23"/>
      <c r="M160" s="23"/>
      <c r="N160" s="24" t="s">
        <v>122</v>
      </c>
      <c r="O160" s="24"/>
      <c r="P160" s="25"/>
      <c r="Q160" s="26" t="s">
        <v>36</v>
      </c>
      <c r="R160" s="24"/>
      <c r="S160" s="24"/>
      <c r="T160" s="24" t="s">
        <v>725</v>
      </c>
      <c r="U160" s="24" t="s">
        <v>38</v>
      </c>
      <c r="V160" s="24"/>
      <c r="W160" s="24"/>
      <c r="X160" s="24"/>
      <c r="Y160" s="24"/>
      <c r="Z160" s="24"/>
      <c r="AA160" s="24"/>
      <c r="AB160" s="24"/>
      <c r="AC160" s="24"/>
      <c r="AD160" s="23"/>
      <c r="AE160" s="23"/>
    </row>
    <row r="161" spans="1:31" ht="24.75" customHeight="1">
      <c r="A161" s="5">
        <v>160</v>
      </c>
      <c r="B161" s="6">
        <v>46187</v>
      </c>
      <c r="C161" s="7" t="s">
        <v>730</v>
      </c>
      <c r="D161" s="7" t="s">
        <v>731</v>
      </c>
      <c r="E161" s="8">
        <v>9437495634</v>
      </c>
      <c r="F161" s="8" t="s">
        <v>732</v>
      </c>
      <c r="G161" s="8"/>
      <c r="H161" s="7"/>
      <c r="I161" s="7" t="s">
        <v>699</v>
      </c>
      <c r="J161" s="7"/>
      <c r="K161" s="7"/>
      <c r="L161" s="7"/>
      <c r="M161" s="7"/>
      <c r="N161" s="8" t="s">
        <v>44</v>
      </c>
      <c r="O161" s="8"/>
      <c r="P161" s="9"/>
      <c r="Q161" s="10" t="s">
        <v>36</v>
      </c>
      <c r="R161" s="8"/>
      <c r="S161" s="8"/>
      <c r="T161" s="19" t="s">
        <v>700</v>
      </c>
      <c r="U161" s="8"/>
      <c r="V161" s="8"/>
      <c r="W161" s="8"/>
      <c r="X161" s="8"/>
      <c r="Y161" s="8"/>
      <c r="Z161" s="8"/>
      <c r="AA161" s="8"/>
      <c r="AB161" s="8"/>
      <c r="AC161" s="8"/>
      <c r="AD161" s="7"/>
      <c r="AE161" s="7"/>
    </row>
    <row r="162" spans="1:31" ht="42" customHeight="1">
      <c r="A162" s="5">
        <v>161</v>
      </c>
      <c r="B162" s="47">
        <v>46187</v>
      </c>
      <c r="C162" s="45" t="s">
        <v>733</v>
      </c>
      <c r="D162" s="45" t="s">
        <v>734</v>
      </c>
      <c r="E162" s="46">
        <v>9937227262</v>
      </c>
      <c r="F162" s="46" t="s">
        <v>164</v>
      </c>
      <c r="G162" s="46">
        <v>200</v>
      </c>
      <c r="H162" s="7"/>
      <c r="I162" s="45" t="s">
        <v>728</v>
      </c>
      <c r="J162" s="45" t="s">
        <v>735</v>
      </c>
      <c r="K162" s="45"/>
      <c r="L162" s="45"/>
      <c r="M162" s="45"/>
      <c r="N162" s="8" t="s">
        <v>77</v>
      </c>
      <c r="O162" s="8"/>
      <c r="P162" s="9"/>
      <c r="Q162" s="10" t="s">
        <v>36</v>
      </c>
      <c r="R162" s="8"/>
      <c r="S162" s="8"/>
      <c r="T162" s="16" t="s">
        <v>736</v>
      </c>
      <c r="U162" s="8" t="s">
        <v>38</v>
      </c>
      <c r="V162" s="8"/>
      <c r="W162" s="8"/>
      <c r="X162" s="8"/>
      <c r="Y162" s="8"/>
      <c r="Z162" s="8"/>
      <c r="AA162" s="8"/>
      <c r="AB162" s="8"/>
      <c r="AC162" s="8"/>
      <c r="AD162" s="7"/>
      <c r="AE162" s="7"/>
    </row>
    <row r="163" spans="1:31" ht="26.25" customHeight="1">
      <c r="A163" s="5">
        <v>162</v>
      </c>
      <c r="B163" s="6">
        <v>46187</v>
      </c>
      <c r="C163" s="11" t="s">
        <v>737</v>
      </c>
      <c r="D163" s="11" t="s">
        <v>738</v>
      </c>
      <c r="E163" s="28">
        <v>9915701151</v>
      </c>
      <c r="F163" s="28" t="s">
        <v>739</v>
      </c>
      <c r="G163" s="28">
        <v>100</v>
      </c>
      <c r="H163" s="11"/>
      <c r="I163" s="11" t="s">
        <v>710</v>
      </c>
      <c r="J163" s="11" t="s">
        <v>740</v>
      </c>
      <c r="K163" s="11"/>
      <c r="L163" s="11" t="s">
        <v>441</v>
      </c>
      <c r="M163" s="11"/>
      <c r="N163" s="8" t="s">
        <v>35</v>
      </c>
      <c r="O163" s="8"/>
      <c r="P163" s="9"/>
      <c r="Q163" s="10" t="s">
        <v>36</v>
      </c>
      <c r="R163" s="8"/>
      <c r="S163" s="8"/>
      <c r="T163" s="16" t="s">
        <v>736</v>
      </c>
      <c r="U163" s="8" t="s">
        <v>38</v>
      </c>
      <c r="V163" s="8"/>
      <c r="W163" s="8"/>
      <c r="X163" s="8"/>
      <c r="Y163" s="8"/>
      <c r="Z163" s="8"/>
      <c r="AA163" s="8"/>
      <c r="AB163" s="8"/>
      <c r="AC163" s="8"/>
      <c r="AD163" s="7"/>
      <c r="AE163" s="7"/>
    </row>
    <row r="164" spans="1:31" ht="26.25" customHeight="1">
      <c r="A164" s="5">
        <v>163</v>
      </c>
      <c r="B164" s="6">
        <v>46187</v>
      </c>
      <c r="C164" s="7" t="s">
        <v>741</v>
      </c>
      <c r="D164" s="7" t="s">
        <v>742</v>
      </c>
      <c r="E164" s="8">
        <v>9071091256</v>
      </c>
      <c r="F164" s="8" t="s">
        <v>743</v>
      </c>
      <c r="G164" s="8">
        <v>10</v>
      </c>
      <c r="H164" s="7"/>
      <c r="I164" s="7" t="s">
        <v>699</v>
      </c>
      <c r="J164" s="7" t="s">
        <v>744</v>
      </c>
      <c r="K164" s="7"/>
      <c r="L164" s="7"/>
      <c r="M164" s="7"/>
      <c r="N164" s="8" t="s">
        <v>35</v>
      </c>
      <c r="O164" s="8"/>
      <c r="P164" s="9"/>
      <c r="Q164" s="10" t="s">
        <v>36</v>
      </c>
      <c r="R164" s="8"/>
      <c r="S164" s="8"/>
      <c r="T164" s="8" t="s">
        <v>712</v>
      </c>
      <c r="U164" s="8"/>
      <c r="V164" s="8"/>
      <c r="W164" s="8"/>
      <c r="X164" s="8"/>
      <c r="Y164" s="8"/>
      <c r="Z164" s="8"/>
      <c r="AA164" s="8"/>
      <c r="AB164" s="8"/>
      <c r="AC164" s="8"/>
      <c r="AD164" s="7"/>
      <c r="AE164" s="7"/>
    </row>
    <row r="165" spans="1:31" ht="26.25" customHeight="1">
      <c r="A165" s="5">
        <v>164</v>
      </c>
      <c r="B165" s="6">
        <v>46187</v>
      </c>
      <c r="C165" s="11" t="s">
        <v>745</v>
      </c>
      <c r="D165" s="11" t="s">
        <v>746</v>
      </c>
      <c r="E165" s="28">
        <v>9822132159</v>
      </c>
      <c r="F165" s="28" t="s">
        <v>482</v>
      </c>
      <c r="G165" s="28">
        <v>80</v>
      </c>
      <c r="H165" s="11"/>
      <c r="I165" s="11" t="s">
        <v>710</v>
      </c>
      <c r="J165" s="7" t="s">
        <v>747</v>
      </c>
      <c r="K165" s="7"/>
      <c r="L165" s="7" t="s">
        <v>441</v>
      </c>
      <c r="M165" s="7"/>
      <c r="N165" s="8" t="s">
        <v>35</v>
      </c>
      <c r="O165" s="8"/>
      <c r="P165" s="9"/>
      <c r="Q165" s="10" t="s">
        <v>36</v>
      </c>
      <c r="R165" s="8"/>
      <c r="S165" s="8"/>
      <c r="T165" s="19" t="s">
        <v>700</v>
      </c>
      <c r="U165" s="8" t="s">
        <v>38</v>
      </c>
      <c r="V165" s="8"/>
      <c r="W165" s="8"/>
      <c r="X165" s="8"/>
      <c r="Y165" s="8"/>
      <c r="Z165" s="8"/>
      <c r="AA165" s="8"/>
      <c r="AB165" s="8"/>
      <c r="AC165" s="8"/>
      <c r="AD165" s="7"/>
      <c r="AE165" s="7"/>
    </row>
    <row r="166" spans="1:31" ht="26.25" customHeight="1">
      <c r="A166" s="5">
        <v>165</v>
      </c>
      <c r="B166" s="6">
        <v>46187</v>
      </c>
      <c r="C166" s="20" t="s">
        <v>748</v>
      </c>
      <c r="D166" s="20" t="s">
        <v>749</v>
      </c>
      <c r="E166" s="19">
        <v>9425058001</v>
      </c>
      <c r="F166" s="19" t="s">
        <v>750</v>
      </c>
      <c r="G166" s="19">
        <v>300</v>
      </c>
      <c r="H166" s="7"/>
      <c r="I166" s="20" t="s">
        <v>718</v>
      </c>
      <c r="J166" s="20" t="s">
        <v>751</v>
      </c>
      <c r="K166" s="20" t="s">
        <v>752</v>
      </c>
      <c r="L166" s="20"/>
      <c r="M166" s="20"/>
      <c r="N166" s="8" t="s">
        <v>35</v>
      </c>
      <c r="O166" s="8"/>
      <c r="P166" s="9"/>
      <c r="Q166" s="10" t="s">
        <v>36</v>
      </c>
      <c r="R166" s="8"/>
      <c r="S166" s="8"/>
      <c r="T166" s="19" t="s">
        <v>700</v>
      </c>
      <c r="U166" s="8" t="s">
        <v>38</v>
      </c>
      <c r="V166" s="8"/>
      <c r="W166" s="8"/>
      <c r="X166" s="8"/>
      <c r="Y166" s="8"/>
      <c r="Z166" s="8"/>
      <c r="AA166" s="8"/>
      <c r="AB166" s="8"/>
      <c r="AC166" s="8"/>
      <c r="AD166" s="7"/>
      <c r="AE166" s="7"/>
    </row>
    <row r="167" spans="1:31" ht="26.25" customHeight="1">
      <c r="A167" s="5">
        <v>166</v>
      </c>
      <c r="B167" s="6">
        <v>46187</v>
      </c>
      <c r="C167" s="20" t="s">
        <v>753</v>
      </c>
      <c r="D167" s="20" t="s">
        <v>754</v>
      </c>
      <c r="E167" s="19">
        <v>9458955555</v>
      </c>
      <c r="F167" s="19" t="s">
        <v>755</v>
      </c>
      <c r="G167" s="19">
        <v>100</v>
      </c>
      <c r="H167" s="7"/>
      <c r="I167" s="20" t="s">
        <v>710</v>
      </c>
      <c r="J167" s="20" t="s">
        <v>756</v>
      </c>
      <c r="K167" s="20"/>
      <c r="L167" s="20"/>
      <c r="M167" s="20"/>
      <c r="N167" s="8" t="s">
        <v>35</v>
      </c>
      <c r="O167" s="8"/>
      <c r="P167" s="9"/>
      <c r="Q167" s="10" t="s">
        <v>36</v>
      </c>
      <c r="R167" s="8" t="s">
        <v>757</v>
      </c>
      <c r="S167" s="8"/>
      <c r="T167" s="19" t="s">
        <v>700</v>
      </c>
      <c r="U167" s="8" t="s">
        <v>38</v>
      </c>
      <c r="V167" s="8"/>
      <c r="W167" s="8"/>
      <c r="X167" s="8"/>
      <c r="Y167" s="8"/>
      <c r="Z167" s="8"/>
      <c r="AA167" s="8"/>
      <c r="AB167" s="8"/>
      <c r="AC167" s="8"/>
      <c r="AD167" s="7"/>
      <c r="AE167" s="7"/>
    </row>
    <row r="168" spans="1:31" ht="26.25" customHeight="1">
      <c r="A168" s="5">
        <v>167</v>
      </c>
      <c r="B168" s="6">
        <v>46187</v>
      </c>
      <c r="C168" s="7" t="s">
        <v>758</v>
      </c>
      <c r="D168" s="7" t="s">
        <v>759</v>
      </c>
      <c r="E168" s="8">
        <v>9438805291</v>
      </c>
      <c r="F168" s="8" t="s">
        <v>164</v>
      </c>
      <c r="G168" s="8">
        <v>50</v>
      </c>
      <c r="H168" s="7"/>
      <c r="I168" s="7" t="s">
        <v>703</v>
      </c>
      <c r="J168" s="7" t="s">
        <v>760</v>
      </c>
      <c r="K168" s="7"/>
      <c r="L168" s="7"/>
      <c r="M168" s="7"/>
      <c r="N168" s="8" t="s">
        <v>35</v>
      </c>
      <c r="O168" s="8"/>
      <c r="P168" s="9"/>
      <c r="Q168" s="10" t="s">
        <v>36</v>
      </c>
      <c r="R168" s="8"/>
      <c r="S168" s="8"/>
      <c r="T168" s="28" t="s">
        <v>725</v>
      </c>
      <c r="U168" s="8" t="s">
        <v>38</v>
      </c>
      <c r="V168" s="8"/>
      <c r="W168" s="8"/>
      <c r="X168" s="8"/>
      <c r="Y168" s="8"/>
      <c r="Z168" s="8"/>
      <c r="AA168" s="8"/>
      <c r="AB168" s="8"/>
      <c r="AC168" s="8"/>
      <c r="AD168" s="7"/>
      <c r="AE168" s="7"/>
    </row>
    <row r="169" spans="1:31" ht="26.25" customHeight="1">
      <c r="A169" s="5">
        <v>168</v>
      </c>
      <c r="B169" s="6">
        <v>46187</v>
      </c>
      <c r="C169" s="45" t="s">
        <v>761</v>
      </c>
      <c r="D169" s="45" t="s">
        <v>762</v>
      </c>
      <c r="E169" s="46">
        <v>9322224495</v>
      </c>
      <c r="F169" s="46" t="s">
        <v>763</v>
      </c>
      <c r="G169" s="46">
        <v>200</v>
      </c>
      <c r="H169" s="7"/>
      <c r="I169" s="45" t="s">
        <v>710</v>
      </c>
      <c r="J169" s="45" t="s">
        <v>764</v>
      </c>
      <c r="K169" s="45"/>
      <c r="L169" s="45"/>
      <c r="M169" s="45"/>
      <c r="N169" s="8" t="s">
        <v>35</v>
      </c>
      <c r="O169" s="8"/>
      <c r="P169" s="9"/>
      <c r="Q169" s="10" t="s">
        <v>36</v>
      </c>
      <c r="R169" s="8"/>
      <c r="S169" s="8"/>
      <c r="T169" s="28" t="s">
        <v>725</v>
      </c>
      <c r="U169" s="8" t="s">
        <v>38</v>
      </c>
      <c r="V169" s="8"/>
      <c r="W169" s="8"/>
      <c r="X169" s="8"/>
      <c r="Y169" s="8"/>
      <c r="Z169" s="8"/>
      <c r="AA169" s="8"/>
      <c r="AB169" s="8"/>
      <c r="AC169" s="8"/>
      <c r="AD169" s="7"/>
      <c r="AE169" s="7"/>
    </row>
    <row r="170" spans="1:31" ht="26.25" customHeight="1">
      <c r="A170" s="21">
        <v>169</v>
      </c>
      <c r="B170" s="22">
        <v>46187</v>
      </c>
      <c r="C170" s="23" t="s">
        <v>765</v>
      </c>
      <c r="D170" s="23"/>
      <c r="E170" s="24">
        <v>8108432729</v>
      </c>
      <c r="F170" s="24"/>
      <c r="G170" s="24">
        <v>10</v>
      </c>
      <c r="H170" s="23"/>
      <c r="I170" s="23" t="s">
        <v>710</v>
      </c>
      <c r="J170" s="23"/>
      <c r="K170" s="23"/>
      <c r="L170" s="23"/>
      <c r="M170" s="23"/>
      <c r="N170" s="24" t="s">
        <v>122</v>
      </c>
      <c r="O170" s="24"/>
      <c r="P170" s="25"/>
      <c r="Q170" s="26" t="s">
        <v>36</v>
      </c>
      <c r="R170" s="24"/>
      <c r="S170" s="24"/>
      <c r="T170" s="24" t="s">
        <v>712</v>
      </c>
      <c r="U170" s="24"/>
      <c r="V170" s="24"/>
      <c r="W170" s="24"/>
      <c r="X170" s="24"/>
      <c r="Y170" s="24"/>
      <c r="Z170" s="24"/>
      <c r="AA170" s="24"/>
      <c r="AB170" s="24"/>
      <c r="AC170" s="24"/>
      <c r="AD170" s="23"/>
      <c r="AE170" s="23"/>
    </row>
    <row r="171" spans="1:31" ht="26.25" customHeight="1">
      <c r="A171" s="5">
        <v>170</v>
      </c>
      <c r="B171" s="6">
        <v>46187</v>
      </c>
      <c r="C171" s="7" t="s">
        <v>766</v>
      </c>
      <c r="D171" s="7" t="s">
        <v>767</v>
      </c>
      <c r="E171" s="8">
        <v>9833879188</v>
      </c>
      <c r="F171" s="8" t="s">
        <v>101</v>
      </c>
      <c r="G171" s="8">
        <v>150</v>
      </c>
      <c r="H171" s="7"/>
      <c r="I171" s="7" t="s">
        <v>710</v>
      </c>
      <c r="J171" s="7" t="s">
        <v>768</v>
      </c>
      <c r="K171" s="7"/>
      <c r="L171" s="7"/>
      <c r="M171" s="7"/>
      <c r="N171" s="8" t="s">
        <v>35</v>
      </c>
      <c r="O171" s="8"/>
      <c r="P171" s="9"/>
      <c r="Q171" s="10" t="s">
        <v>36</v>
      </c>
      <c r="R171" s="8"/>
      <c r="S171" s="8"/>
      <c r="T171" s="28" t="s">
        <v>725</v>
      </c>
      <c r="U171" s="8" t="s">
        <v>38</v>
      </c>
      <c r="V171" s="8"/>
      <c r="W171" s="8"/>
      <c r="X171" s="8"/>
      <c r="Y171" s="8"/>
      <c r="Z171" s="8"/>
      <c r="AA171" s="8"/>
      <c r="AB171" s="8"/>
      <c r="AC171" s="8"/>
      <c r="AD171" s="7"/>
      <c r="AE171" s="7"/>
    </row>
    <row r="172" spans="1:31" ht="26.25" customHeight="1">
      <c r="A172" s="5">
        <v>171</v>
      </c>
      <c r="B172" s="6">
        <v>46187</v>
      </c>
      <c r="C172" s="7" t="s">
        <v>769</v>
      </c>
      <c r="D172" s="7" t="s">
        <v>770</v>
      </c>
      <c r="E172" s="8">
        <v>9767882552</v>
      </c>
      <c r="F172" s="8" t="s">
        <v>771</v>
      </c>
      <c r="G172" s="8">
        <v>20</v>
      </c>
      <c r="H172" s="7"/>
      <c r="I172" s="7" t="s">
        <v>772</v>
      </c>
      <c r="J172" s="7"/>
      <c r="K172" s="7"/>
      <c r="L172" s="7"/>
      <c r="M172" s="7"/>
      <c r="N172" s="8" t="s">
        <v>35</v>
      </c>
      <c r="O172" s="8"/>
      <c r="P172" s="9"/>
      <c r="Q172" s="10" t="s">
        <v>36</v>
      </c>
      <c r="R172" s="8"/>
      <c r="S172" s="8"/>
      <c r="T172" s="28" t="s">
        <v>725</v>
      </c>
      <c r="U172" s="8" t="s">
        <v>38</v>
      </c>
      <c r="V172" s="8"/>
      <c r="W172" s="8"/>
      <c r="X172" s="8"/>
      <c r="Y172" s="8"/>
      <c r="Z172" s="8"/>
      <c r="AA172" s="8"/>
      <c r="AB172" s="8"/>
      <c r="AC172" s="8"/>
      <c r="AD172" s="7"/>
      <c r="AE172" s="7"/>
    </row>
    <row r="173" spans="1:31" ht="26.25" customHeight="1">
      <c r="A173" s="5">
        <v>172</v>
      </c>
      <c r="B173" s="6">
        <v>46187</v>
      </c>
      <c r="C173" s="7" t="s">
        <v>773</v>
      </c>
      <c r="D173" s="7" t="s">
        <v>774</v>
      </c>
      <c r="E173" s="8">
        <v>9422990500</v>
      </c>
      <c r="F173" s="8" t="s">
        <v>775</v>
      </c>
      <c r="G173" s="8"/>
      <c r="H173" s="7"/>
      <c r="I173" s="7" t="s">
        <v>772</v>
      </c>
      <c r="J173" s="7" t="s">
        <v>776</v>
      </c>
      <c r="K173" s="7"/>
      <c r="L173" s="7"/>
      <c r="M173" s="7"/>
      <c r="N173" s="8" t="s">
        <v>35</v>
      </c>
      <c r="O173" s="8"/>
      <c r="P173" s="9"/>
      <c r="Q173" s="10" t="s">
        <v>36</v>
      </c>
      <c r="R173" s="8"/>
      <c r="S173" s="8"/>
      <c r="T173" s="28" t="s">
        <v>725</v>
      </c>
      <c r="U173" s="8"/>
      <c r="V173" s="8"/>
      <c r="W173" s="8"/>
      <c r="X173" s="8"/>
      <c r="Y173" s="8"/>
      <c r="Z173" s="8"/>
      <c r="AA173" s="8"/>
      <c r="AB173" s="8"/>
      <c r="AC173" s="8"/>
      <c r="AD173" s="7"/>
      <c r="AE173" s="7"/>
    </row>
    <row r="174" spans="1:31" ht="26.25" customHeight="1">
      <c r="A174" s="5">
        <v>173</v>
      </c>
      <c r="B174" s="6">
        <v>46187</v>
      </c>
      <c r="C174" s="7" t="s">
        <v>777</v>
      </c>
      <c r="D174" s="7" t="s">
        <v>778</v>
      </c>
      <c r="E174" s="8">
        <v>9028051733</v>
      </c>
      <c r="F174" s="8" t="s">
        <v>693</v>
      </c>
      <c r="G174" s="8">
        <v>20</v>
      </c>
      <c r="H174" s="7"/>
      <c r="I174" s="7" t="s">
        <v>772</v>
      </c>
      <c r="J174" s="7" t="s">
        <v>779</v>
      </c>
      <c r="K174" s="7"/>
      <c r="L174" s="7"/>
      <c r="M174" s="7"/>
      <c r="N174" s="8" t="s">
        <v>44</v>
      </c>
      <c r="O174" s="8"/>
      <c r="P174" s="9"/>
      <c r="Q174" s="10" t="s">
        <v>36</v>
      </c>
      <c r="R174" s="8"/>
      <c r="S174" s="8"/>
      <c r="T174" s="19" t="s">
        <v>700</v>
      </c>
      <c r="U174" s="8" t="s">
        <v>38</v>
      </c>
      <c r="V174" s="8"/>
      <c r="W174" s="8"/>
      <c r="X174" s="8"/>
      <c r="Y174" s="8"/>
      <c r="Z174" s="8"/>
      <c r="AA174" s="8"/>
      <c r="AB174" s="8"/>
      <c r="AC174" s="8"/>
      <c r="AD174" s="7"/>
      <c r="AE174" s="7"/>
    </row>
    <row r="175" spans="1:31" ht="26.25" customHeight="1">
      <c r="A175" s="5">
        <v>174</v>
      </c>
      <c r="B175" s="6">
        <v>46187</v>
      </c>
      <c r="C175" s="7" t="s">
        <v>780</v>
      </c>
      <c r="D175" s="7" t="s">
        <v>781</v>
      </c>
      <c r="E175" s="8" t="s">
        <v>782</v>
      </c>
      <c r="F175" s="8" t="s">
        <v>783</v>
      </c>
      <c r="G175" s="8">
        <v>200</v>
      </c>
      <c r="H175" s="31"/>
      <c r="I175" s="7" t="s">
        <v>718</v>
      </c>
      <c r="J175" s="7" t="s">
        <v>784</v>
      </c>
      <c r="K175" s="7"/>
      <c r="L175" s="7" t="s">
        <v>785</v>
      </c>
      <c r="M175" s="7" t="s">
        <v>786</v>
      </c>
      <c r="N175" s="8" t="s">
        <v>106</v>
      </c>
      <c r="O175" s="8"/>
      <c r="P175" s="9"/>
      <c r="Q175" s="10" t="s">
        <v>36</v>
      </c>
      <c r="R175" s="8"/>
      <c r="S175" s="8"/>
      <c r="T175" s="16" t="s">
        <v>736</v>
      </c>
      <c r="U175" s="8" t="s">
        <v>38</v>
      </c>
      <c r="V175" s="8"/>
      <c r="W175" s="8"/>
      <c r="X175" s="8"/>
      <c r="Y175" s="8"/>
      <c r="Z175" s="8"/>
      <c r="AA175" s="8"/>
      <c r="AB175" s="8"/>
      <c r="AC175" s="8"/>
      <c r="AD175" s="7"/>
      <c r="AE175" s="7"/>
    </row>
    <row r="176" spans="1:31" ht="26.25" customHeight="1">
      <c r="A176" s="5">
        <v>175</v>
      </c>
      <c r="B176" s="6">
        <v>46187</v>
      </c>
      <c r="C176" s="7" t="s">
        <v>144</v>
      </c>
      <c r="D176" s="7" t="s">
        <v>787</v>
      </c>
      <c r="E176" s="8">
        <v>9417005303</v>
      </c>
      <c r="F176" s="8" t="s">
        <v>788</v>
      </c>
      <c r="G176" s="8">
        <v>80</v>
      </c>
      <c r="H176" s="7"/>
      <c r="I176" s="7" t="s">
        <v>710</v>
      </c>
      <c r="J176" s="7" t="s">
        <v>789</v>
      </c>
      <c r="K176" s="7"/>
      <c r="L176" s="7" t="s">
        <v>790</v>
      </c>
      <c r="M176" s="31"/>
      <c r="N176" s="8" t="s">
        <v>35</v>
      </c>
      <c r="O176" s="8"/>
      <c r="P176" s="9"/>
      <c r="Q176" s="10" t="s">
        <v>36</v>
      </c>
      <c r="R176" s="8"/>
      <c r="S176" s="8"/>
      <c r="T176" s="8" t="s">
        <v>712</v>
      </c>
      <c r="U176" s="8" t="s">
        <v>38</v>
      </c>
      <c r="V176" s="8"/>
      <c r="W176" s="8"/>
      <c r="X176" s="8"/>
      <c r="Y176" s="8"/>
      <c r="Z176" s="8"/>
      <c r="AA176" s="8"/>
      <c r="AB176" s="8"/>
      <c r="AC176" s="8"/>
      <c r="AD176" s="7"/>
      <c r="AE176" s="7"/>
    </row>
    <row r="177" spans="1:31" ht="51.75" customHeight="1">
      <c r="A177" s="5">
        <v>176</v>
      </c>
      <c r="B177" s="6">
        <v>46187</v>
      </c>
      <c r="C177" s="20" t="s">
        <v>791</v>
      </c>
      <c r="D177" s="20" t="s">
        <v>792</v>
      </c>
      <c r="E177" s="19">
        <v>8369998299</v>
      </c>
      <c r="F177" s="19" t="s">
        <v>101</v>
      </c>
      <c r="G177" s="19">
        <v>60</v>
      </c>
      <c r="H177" s="12" t="s">
        <v>793</v>
      </c>
      <c r="I177" s="20" t="s">
        <v>703</v>
      </c>
      <c r="J177" s="20" t="s">
        <v>794</v>
      </c>
      <c r="K177" s="20"/>
      <c r="L177" s="20"/>
      <c r="M177" s="20"/>
      <c r="N177" s="8" t="s">
        <v>35</v>
      </c>
      <c r="O177" s="8"/>
      <c r="P177" s="9"/>
      <c r="Q177" s="10" t="s">
        <v>36</v>
      </c>
      <c r="R177" s="8"/>
      <c r="S177" s="8"/>
      <c r="T177" s="8" t="s">
        <v>712</v>
      </c>
      <c r="U177" s="8" t="s">
        <v>38</v>
      </c>
      <c r="V177" s="8"/>
      <c r="W177" s="8"/>
      <c r="X177" s="8"/>
      <c r="Y177" s="8"/>
      <c r="Z177" s="8"/>
      <c r="AA177" s="8"/>
      <c r="AB177" s="8"/>
      <c r="AC177" s="8"/>
      <c r="AD177" s="7"/>
      <c r="AE177" s="7"/>
    </row>
    <row r="178" spans="1:31" ht="45" customHeight="1">
      <c r="A178" s="5">
        <v>177</v>
      </c>
      <c r="B178" s="6">
        <v>46187</v>
      </c>
      <c r="C178" s="7" t="s">
        <v>795</v>
      </c>
      <c r="D178" s="7" t="s">
        <v>796</v>
      </c>
      <c r="E178" s="8">
        <v>9435229478</v>
      </c>
      <c r="F178" s="8" t="s">
        <v>797</v>
      </c>
      <c r="G178" s="8">
        <v>100</v>
      </c>
      <c r="H178" s="7"/>
      <c r="I178" s="7" t="s">
        <v>699</v>
      </c>
      <c r="J178" s="7" t="s">
        <v>798</v>
      </c>
      <c r="K178" s="7"/>
      <c r="L178" s="7"/>
      <c r="M178" s="7"/>
      <c r="N178" s="8" t="s">
        <v>35</v>
      </c>
      <c r="O178" s="8"/>
      <c r="P178" s="9"/>
      <c r="Q178" s="10" t="s">
        <v>36</v>
      </c>
      <c r="R178" s="8"/>
      <c r="S178" s="8"/>
      <c r="T178" s="28" t="s">
        <v>725</v>
      </c>
      <c r="U178" s="8" t="s">
        <v>38</v>
      </c>
      <c r="V178" s="8"/>
      <c r="W178" s="8"/>
      <c r="X178" s="8"/>
      <c r="Y178" s="8"/>
      <c r="Z178" s="8"/>
      <c r="AA178" s="8"/>
      <c r="AB178" s="8"/>
      <c r="AC178" s="8"/>
      <c r="AD178" s="7"/>
      <c r="AE178" s="7"/>
    </row>
    <row r="179" spans="1:31" ht="37.5" customHeight="1">
      <c r="A179" s="5">
        <v>178</v>
      </c>
      <c r="B179" s="6">
        <v>46187</v>
      </c>
      <c r="C179" s="7" t="s">
        <v>799</v>
      </c>
      <c r="D179" s="7" t="s">
        <v>800</v>
      </c>
      <c r="E179" s="8">
        <v>9944657045</v>
      </c>
      <c r="F179" s="8" t="s">
        <v>259</v>
      </c>
      <c r="G179" s="8">
        <v>10000</v>
      </c>
      <c r="H179" s="7"/>
      <c r="I179" s="7" t="s">
        <v>801</v>
      </c>
      <c r="J179" s="7" t="s">
        <v>802</v>
      </c>
      <c r="K179" s="7"/>
      <c r="L179" s="7" t="s">
        <v>803</v>
      </c>
      <c r="M179" s="7"/>
      <c r="N179" s="8" t="s">
        <v>106</v>
      </c>
      <c r="O179" s="8"/>
      <c r="P179" s="9"/>
      <c r="Q179" s="10" t="s">
        <v>36</v>
      </c>
      <c r="R179" s="8"/>
      <c r="S179" s="8"/>
      <c r="T179" s="8" t="s">
        <v>725</v>
      </c>
      <c r="U179" s="8" t="s">
        <v>38</v>
      </c>
      <c r="V179" s="8"/>
      <c r="W179" s="8"/>
      <c r="X179" s="8"/>
      <c r="Y179" s="8"/>
      <c r="Z179" s="8"/>
      <c r="AA179" s="8"/>
      <c r="AB179" s="8"/>
      <c r="AC179" s="8"/>
      <c r="AD179" s="7" t="s">
        <v>804</v>
      </c>
      <c r="AE179" s="7"/>
    </row>
    <row r="180" spans="1:31" ht="41.25" customHeight="1">
      <c r="A180" s="48">
        <v>179</v>
      </c>
      <c r="B180" s="49">
        <v>46187</v>
      </c>
      <c r="C180" s="50" t="s">
        <v>805</v>
      </c>
      <c r="D180" s="50" t="s">
        <v>806</v>
      </c>
      <c r="E180" s="51">
        <v>8017185820</v>
      </c>
      <c r="F180" s="51" t="s">
        <v>48</v>
      </c>
      <c r="G180" s="51">
        <v>250</v>
      </c>
      <c r="H180" s="50"/>
      <c r="I180" s="50" t="s">
        <v>710</v>
      </c>
      <c r="J180" s="50" t="s">
        <v>807</v>
      </c>
      <c r="K180" s="50"/>
      <c r="L180" s="50" t="s">
        <v>808</v>
      </c>
      <c r="M180" s="50"/>
      <c r="N180" s="51" t="s">
        <v>329</v>
      </c>
      <c r="O180" s="51"/>
      <c r="P180" s="52"/>
      <c r="Q180" s="53" t="s">
        <v>36</v>
      </c>
      <c r="R180" s="51"/>
      <c r="S180" s="51"/>
      <c r="T180" s="51" t="s">
        <v>736</v>
      </c>
      <c r="U180" s="51" t="s">
        <v>38</v>
      </c>
      <c r="V180" s="51"/>
      <c r="W180" s="51"/>
      <c r="X180" s="51"/>
      <c r="Y180" s="51"/>
      <c r="Z180" s="51"/>
      <c r="AA180" s="51"/>
      <c r="AB180" s="51"/>
      <c r="AC180" s="51"/>
      <c r="AD180" s="50"/>
      <c r="AE180" s="50"/>
    </row>
    <row r="181" spans="1:31" ht="26.25" customHeight="1">
      <c r="A181" s="5">
        <v>180</v>
      </c>
      <c r="B181" s="6">
        <v>46188</v>
      </c>
      <c r="C181" s="54" t="s">
        <v>809</v>
      </c>
      <c r="D181" s="54" t="s">
        <v>810</v>
      </c>
      <c r="E181" s="55">
        <v>9732048522</v>
      </c>
      <c r="F181" s="55" t="s">
        <v>811</v>
      </c>
      <c r="G181" s="55">
        <v>50</v>
      </c>
      <c r="H181" s="7"/>
      <c r="I181" s="54" t="s">
        <v>728</v>
      </c>
      <c r="J181" s="54" t="s">
        <v>812</v>
      </c>
      <c r="K181" s="54"/>
      <c r="L181" s="54"/>
      <c r="M181" s="54"/>
      <c r="N181" s="8" t="s">
        <v>35</v>
      </c>
      <c r="O181" s="8"/>
      <c r="P181" s="9"/>
      <c r="Q181" s="10" t="s">
        <v>36</v>
      </c>
      <c r="R181" s="8"/>
      <c r="S181" s="8"/>
      <c r="T181" s="19" t="s">
        <v>700</v>
      </c>
      <c r="U181" s="8"/>
      <c r="V181" s="8"/>
      <c r="W181" s="8"/>
      <c r="X181" s="8"/>
      <c r="Y181" s="8"/>
      <c r="Z181" s="8"/>
      <c r="AA181" s="8"/>
      <c r="AB181" s="8"/>
      <c r="AC181" s="8"/>
      <c r="AD181" s="7"/>
      <c r="AE181" s="7"/>
    </row>
    <row r="182" spans="1:31" ht="26.25" customHeight="1">
      <c r="A182" s="5">
        <v>181</v>
      </c>
      <c r="B182" s="6">
        <v>46188</v>
      </c>
      <c r="C182" s="7" t="s">
        <v>813</v>
      </c>
      <c r="D182" s="7" t="s">
        <v>814</v>
      </c>
      <c r="E182" s="8">
        <v>8299456118</v>
      </c>
      <c r="F182" s="8" t="s">
        <v>815</v>
      </c>
      <c r="G182" s="8">
        <v>20</v>
      </c>
      <c r="H182" s="7"/>
      <c r="I182" s="7" t="s">
        <v>703</v>
      </c>
      <c r="J182" s="7"/>
      <c r="K182" s="7"/>
      <c r="L182" s="7"/>
      <c r="M182" s="7"/>
      <c r="N182" s="8" t="s">
        <v>35</v>
      </c>
      <c r="O182" s="8"/>
      <c r="P182" s="9"/>
      <c r="Q182" s="10" t="s">
        <v>36</v>
      </c>
      <c r="R182" s="8"/>
      <c r="S182" s="8"/>
      <c r="T182" s="16" t="s">
        <v>736</v>
      </c>
      <c r="U182" s="8" t="s">
        <v>38</v>
      </c>
      <c r="V182" s="8"/>
      <c r="W182" s="8"/>
      <c r="X182" s="8"/>
      <c r="Y182" s="8"/>
      <c r="Z182" s="8"/>
      <c r="AA182" s="8"/>
      <c r="AB182" s="8"/>
      <c r="AC182" s="8"/>
      <c r="AD182" s="7"/>
      <c r="AE182" s="7"/>
    </row>
    <row r="183" spans="1:31" ht="26.25" customHeight="1">
      <c r="A183" s="5">
        <v>182</v>
      </c>
      <c r="B183" s="6">
        <v>46188</v>
      </c>
      <c r="C183" s="7" t="s">
        <v>816</v>
      </c>
      <c r="D183" s="7" t="s">
        <v>817</v>
      </c>
      <c r="E183" s="8">
        <v>8877102906</v>
      </c>
      <c r="F183" s="8" t="s">
        <v>818</v>
      </c>
      <c r="G183" s="8"/>
      <c r="H183" s="7"/>
      <c r="I183" s="7" t="s">
        <v>699</v>
      </c>
      <c r="J183" s="7" t="s">
        <v>819</v>
      </c>
      <c r="K183" s="7"/>
      <c r="L183" s="7"/>
      <c r="M183" s="7"/>
      <c r="N183" s="8" t="s">
        <v>35</v>
      </c>
      <c r="O183" s="8"/>
      <c r="P183" s="9"/>
      <c r="Q183" s="10" t="s">
        <v>36</v>
      </c>
      <c r="R183" s="8"/>
      <c r="S183" s="8"/>
      <c r="T183" s="8" t="s">
        <v>712</v>
      </c>
      <c r="U183" s="8"/>
      <c r="V183" s="8"/>
      <c r="W183" s="8"/>
      <c r="X183" s="8"/>
      <c r="Y183" s="8"/>
      <c r="Z183" s="8"/>
      <c r="AA183" s="8"/>
      <c r="AB183" s="8"/>
      <c r="AC183" s="8"/>
      <c r="AD183" s="7"/>
      <c r="AE183" s="7"/>
    </row>
    <row r="184" spans="1:31" ht="41.25" customHeight="1">
      <c r="A184" s="56">
        <v>183</v>
      </c>
      <c r="B184" s="57">
        <v>46188</v>
      </c>
      <c r="C184" s="58" t="s">
        <v>820</v>
      </c>
      <c r="D184" s="58" t="s">
        <v>821</v>
      </c>
      <c r="E184" s="59">
        <v>9320139585</v>
      </c>
      <c r="F184" s="59" t="s">
        <v>101</v>
      </c>
      <c r="G184" s="59">
        <v>36</v>
      </c>
      <c r="H184" s="58"/>
      <c r="I184" s="58" t="s">
        <v>710</v>
      </c>
      <c r="J184" s="58" t="s">
        <v>822</v>
      </c>
      <c r="K184" s="58"/>
      <c r="L184" s="58" t="s">
        <v>823</v>
      </c>
      <c r="M184" s="58"/>
      <c r="N184" s="59" t="s">
        <v>35</v>
      </c>
      <c r="O184" s="59"/>
      <c r="P184" s="60"/>
      <c r="Q184" s="61" t="s">
        <v>36</v>
      </c>
      <c r="R184" s="59"/>
      <c r="S184" s="59"/>
      <c r="T184" s="59" t="s">
        <v>725</v>
      </c>
      <c r="U184" s="59" t="s">
        <v>38</v>
      </c>
      <c r="V184" s="59"/>
      <c r="W184" s="59"/>
      <c r="X184" s="59"/>
      <c r="Y184" s="59"/>
      <c r="Z184" s="59"/>
      <c r="AA184" s="59"/>
      <c r="AB184" s="59"/>
      <c r="AC184" s="59"/>
      <c r="AD184" s="58"/>
      <c r="AE184" s="58"/>
    </row>
    <row r="185" spans="1:31" ht="26.25" customHeight="1">
      <c r="A185" s="5">
        <v>184</v>
      </c>
      <c r="B185" s="6">
        <v>46188</v>
      </c>
      <c r="C185" s="7" t="s">
        <v>824</v>
      </c>
      <c r="D185" s="7" t="s">
        <v>825</v>
      </c>
      <c r="E185" s="8">
        <v>8349091111</v>
      </c>
      <c r="F185" s="8" t="s">
        <v>826</v>
      </c>
      <c r="G185" s="8">
        <v>300</v>
      </c>
      <c r="H185" s="7"/>
      <c r="I185" s="7" t="s">
        <v>827</v>
      </c>
      <c r="J185" s="7" t="s">
        <v>828</v>
      </c>
      <c r="K185" s="7"/>
      <c r="L185" s="7"/>
      <c r="M185" s="7"/>
      <c r="N185" s="8" t="s">
        <v>35</v>
      </c>
      <c r="O185" s="8"/>
      <c r="P185" s="9"/>
      <c r="Q185" s="10" t="s">
        <v>36</v>
      </c>
      <c r="R185" s="8"/>
      <c r="S185" s="8"/>
      <c r="T185" s="8" t="s">
        <v>712</v>
      </c>
      <c r="U185" s="8" t="s">
        <v>38</v>
      </c>
      <c r="V185" s="8"/>
      <c r="W185" s="8"/>
      <c r="X185" s="8"/>
      <c r="Y185" s="8"/>
      <c r="Z185" s="8"/>
      <c r="AA185" s="8"/>
      <c r="AB185" s="8"/>
      <c r="AC185" s="8"/>
      <c r="AD185" s="7"/>
      <c r="AE185" s="7"/>
    </row>
    <row r="186" spans="1:31" ht="26.25" customHeight="1">
      <c r="A186" s="5">
        <v>185</v>
      </c>
      <c r="B186" s="6">
        <v>46188</v>
      </c>
      <c r="C186" s="7" t="s">
        <v>829</v>
      </c>
      <c r="D186" s="7" t="s">
        <v>830</v>
      </c>
      <c r="E186" s="8">
        <v>9870039003</v>
      </c>
      <c r="F186" s="8" t="s">
        <v>101</v>
      </c>
      <c r="G186" s="8">
        <v>20</v>
      </c>
      <c r="H186" s="7"/>
      <c r="I186" s="7" t="s">
        <v>699</v>
      </c>
      <c r="J186" s="7" t="s">
        <v>831</v>
      </c>
      <c r="K186" s="7"/>
      <c r="L186" s="7"/>
      <c r="M186" s="7"/>
      <c r="N186" s="8" t="s">
        <v>77</v>
      </c>
      <c r="O186" s="8"/>
      <c r="P186" s="9"/>
      <c r="Q186" s="10" t="s">
        <v>36</v>
      </c>
      <c r="R186" s="8"/>
      <c r="S186" s="8"/>
      <c r="T186" s="8" t="s">
        <v>712</v>
      </c>
      <c r="U186" s="8" t="s">
        <v>38</v>
      </c>
      <c r="V186" s="8"/>
      <c r="W186" s="8"/>
      <c r="X186" s="8"/>
      <c r="Y186" s="8"/>
      <c r="Z186" s="8"/>
      <c r="AA186" s="8"/>
      <c r="AB186" s="8"/>
      <c r="AC186" s="8"/>
      <c r="AD186" s="7"/>
      <c r="AE186" s="7"/>
    </row>
    <row r="187" spans="1:31" ht="42" customHeight="1">
      <c r="A187" s="5">
        <v>186</v>
      </c>
      <c r="B187" s="6">
        <v>46188</v>
      </c>
      <c r="C187" s="7" t="s">
        <v>832</v>
      </c>
      <c r="D187" s="7" t="s">
        <v>833</v>
      </c>
      <c r="E187" s="8">
        <v>9544420002</v>
      </c>
      <c r="F187" s="8" t="s">
        <v>834</v>
      </c>
      <c r="G187" s="8">
        <v>300</v>
      </c>
      <c r="H187" s="7"/>
      <c r="I187" s="7" t="s">
        <v>835</v>
      </c>
      <c r="J187" s="7" t="s">
        <v>836</v>
      </c>
      <c r="K187" s="7"/>
      <c r="L187" s="7"/>
      <c r="M187" s="7"/>
      <c r="N187" s="8" t="s">
        <v>44</v>
      </c>
      <c r="O187" s="8"/>
      <c r="P187" s="9"/>
      <c r="Q187" s="10" t="s">
        <v>36</v>
      </c>
      <c r="R187" s="8"/>
      <c r="S187" s="8"/>
      <c r="T187" s="28" t="s">
        <v>725</v>
      </c>
      <c r="U187" s="8" t="s">
        <v>38</v>
      </c>
      <c r="V187" s="8"/>
      <c r="W187" s="8"/>
      <c r="X187" s="8"/>
      <c r="Y187" s="8"/>
      <c r="Z187" s="8"/>
      <c r="AA187" s="8"/>
      <c r="AB187" s="8"/>
      <c r="AC187" s="8"/>
      <c r="AD187" s="7"/>
      <c r="AE187" s="7"/>
    </row>
    <row r="188" spans="1:31" ht="26.25" customHeight="1">
      <c r="A188" s="5">
        <v>187</v>
      </c>
      <c r="B188" s="8" t="s">
        <v>837</v>
      </c>
      <c r="C188" s="7" t="s">
        <v>838</v>
      </c>
      <c r="D188" s="7" t="s">
        <v>839</v>
      </c>
      <c r="E188" s="8">
        <v>9263121036</v>
      </c>
      <c r="F188" s="8" t="s">
        <v>287</v>
      </c>
      <c r="G188" s="8">
        <v>50</v>
      </c>
      <c r="H188" s="7"/>
      <c r="I188" s="7" t="s">
        <v>728</v>
      </c>
      <c r="J188" s="7" t="s">
        <v>840</v>
      </c>
      <c r="K188" s="7"/>
      <c r="L188" s="7"/>
      <c r="M188" s="7"/>
      <c r="N188" s="8" t="s">
        <v>35</v>
      </c>
      <c r="O188" s="8"/>
      <c r="P188" s="9"/>
      <c r="Q188" s="10" t="s">
        <v>36</v>
      </c>
      <c r="R188" s="8"/>
      <c r="S188" s="8"/>
      <c r="T188" s="16" t="s">
        <v>736</v>
      </c>
      <c r="U188" s="8" t="s">
        <v>38</v>
      </c>
      <c r="V188" s="8"/>
      <c r="W188" s="8"/>
      <c r="X188" s="8"/>
      <c r="Y188" s="8"/>
      <c r="Z188" s="8"/>
      <c r="AA188" s="8"/>
      <c r="AB188" s="8"/>
      <c r="AC188" s="8"/>
      <c r="AD188" s="7"/>
      <c r="AE188" s="7"/>
    </row>
    <row r="189" spans="1:31" ht="26.25" customHeight="1">
      <c r="A189" s="5">
        <v>188</v>
      </c>
      <c r="B189" s="6">
        <v>46188</v>
      </c>
      <c r="C189" s="7" t="s">
        <v>841</v>
      </c>
      <c r="D189" s="7" t="s">
        <v>810</v>
      </c>
      <c r="E189" s="8">
        <v>9425133688</v>
      </c>
      <c r="F189" s="8" t="s">
        <v>842</v>
      </c>
      <c r="G189" s="8"/>
      <c r="H189" s="7"/>
      <c r="I189" s="7" t="s">
        <v>699</v>
      </c>
      <c r="J189" s="7" t="s">
        <v>819</v>
      </c>
      <c r="K189" s="7"/>
      <c r="L189" s="7"/>
      <c r="M189" s="7"/>
      <c r="N189" s="8" t="s">
        <v>35</v>
      </c>
      <c r="O189" s="8"/>
      <c r="P189" s="9"/>
      <c r="Q189" s="10" t="s">
        <v>36</v>
      </c>
      <c r="R189" s="8"/>
      <c r="S189" s="8"/>
      <c r="T189" s="16" t="s">
        <v>736</v>
      </c>
      <c r="U189" s="8"/>
      <c r="V189" s="8"/>
      <c r="W189" s="8"/>
      <c r="X189" s="8"/>
      <c r="Y189" s="8"/>
      <c r="Z189" s="8"/>
      <c r="AA189" s="8"/>
      <c r="AB189" s="8"/>
      <c r="AC189" s="8"/>
      <c r="AD189" s="7"/>
      <c r="AE189" s="7"/>
    </row>
    <row r="190" spans="1:31" ht="26.25" customHeight="1">
      <c r="A190" s="5">
        <v>189</v>
      </c>
      <c r="B190" s="6">
        <v>46188</v>
      </c>
      <c r="C190" s="7" t="s">
        <v>843</v>
      </c>
      <c r="D190" s="7" t="s">
        <v>844</v>
      </c>
      <c r="E190" s="8">
        <v>9932668439</v>
      </c>
      <c r="F190" s="8" t="s">
        <v>845</v>
      </c>
      <c r="G190" s="8">
        <v>100</v>
      </c>
      <c r="H190" s="7"/>
      <c r="I190" s="7" t="s">
        <v>699</v>
      </c>
      <c r="J190" s="7" t="s">
        <v>846</v>
      </c>
      <c r="K190" s="7"/>
      <c r="L190" s="7"/>
      <c r="M190" s="7"/>
      <c r="N190" s="8" t="s">
        <v>35</v>
      </c>
      <c r="O190" s="8"/>
      <c r="P190" s="9"/>
      <c r="Q190" s="10" t="s">
        <v>36</v>
      </c>
      <c r="R190" s="8"/>
      <c r="S190" s="8"/>
      <c r="T190" s="16" t="s">
        <v>736</v>
      </c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7"/>
    </row>
    <row r="191" spans="1:31" ht="47.25" customHeight="1">
      <c r="A191" s="5">
        <v>190</v>
      </c>
      <c r="B191" s="6">
        <v>46188</v>
      </c>
      <c r="C191" s="7" t="s">
        <v>847</v>
      </c>
      <c r="D191" s="7" t="s">
        <v>848</v>
      </c>
      <c r="E191" s="8">
        <v>7719052999</v>
      </c>
      <c r="F191" s="8" t="s">
        <v>849</v>
      </c>
      <c r="G191" s="8">
        <v>600</v>
      </c>
      <c r="H191" s="7"/>
      <c r="I191" s="7" t="s">
        <v>835</v>
      </c>
      <c r="J191" s="7" t="s">
        <v>850</v>
      </c>
      <c r="K191" s="7"/>
      <c r="L191" s="7"/>
      <c r="M191" s="7"/>
      <c r="N191" s="8" t="s">
        <v>106</v>
      </c>
      <c r="O191" s="8"/>
      <c r="P191" s="9"/>
      <c r="Q191" s="10" t="s">
        <v>36</v>
      </c>
      <c r="R191" s="8"/>
      <c r="S191" s="8"/>
      <c r="T191" s="8" t="s">
        <v>712</v>
      </c>
      <c r="U191" s="8" t="s">
        <v>38</v>
      </c>
      <c r="V191" s="8"/>
      <c r="W191" s="8"/>
      <c r="X191" s="8"/>
      <c r="Y191" s="8"/>
      <c r="Z191" s="8"/>
      <c r="AA191" s="8"/>
      <c r="AB191" s="8"/>
      <c r="AC191" s="8"/>
      <c r="AD191" s="7"/>
      <c r="AE191" s="7"/>
    </row>
    <row r="192" spans="1:31" ht="26.25" customHeight="1">
      <c r="A192" s="5">
        <v>191</v>
      </c>
      <c r="B192" s="6">
        <v>46188</v>
      </c>
      <c r="C192" s="7" t="s">
        <v>851</v>
      </c>
      <c r="D192" s="7" t="s">
        <v>852</v>
      </c>
      <c r="E192" s="8">
        <v>9874231555</v>
      </c>
      <c r="F192" s="8" t="s">
        <v>853</v>
      </c>
      <c r="G192" s="8">
        <v>100</v>
      </c>
      <c r="H192" s="7"/>
      <c r="I192" s="7" t="s">
        <v>728</v>
      </c>
      <c r="J192" s="7" t="s">
        <v>854</v>
      </c>
      <c r="K192" s="7"/>
      <c r="L192" s="7"/>
      <c r="M192" s="7"/>
      <c r="N192" s="8" t="s">
        <v>35</v>
      </c>
      <c r="O192" s="8"/>
      <c r="P192" s="9"/>
      <c r="Q192" s="10" t="s">
        <v>36</v>
      </c>
      <c r="R192" s="8"/>
      <c r="S192" s="8"/>
      <c r="T192" s="16" t="s">
        <v>736</v>
      </c>
      <c r="U192" s="8" t="s">
        <v>38</v>
      </c>
      <c r="V192" s="8"/>
      <c r="W192" s="8"/>
      <c r="X192" s="8"/>
      <c r="Y192" s="8"/>
      <c r="Z192" s="8"/>
      <c r="AA192" s="8"/>
      <c r="AB192" s="8"/>
      <c r="AC192" s="8"/>
      <c r="AD192" s="7"/>
      <c r="AE192" s="7"/>
    </row>
    <row r="193" spans="1:31" ht="26.25" customHeight="1">
      <c r="A193" s="5">
        <v>192</v>
      </c>
      <c r="B193" s="6">
        <v>46188</v>
      </c>
      <c r="C193" s="7" t="s">
        <v>855</v>
      </c>
      <c r="D193" s="7" t="s">
        <v>856</v>
      </c>
      <c r="E193" s="8">
        <v>8807767697</v>
      </c>
      <c r="F193" s="8" t="s">
        <v>857</v>
      </c>
      <c r="G193" s="8">
        <v>50</v>
      </c>
      <c r="H193" s="7"/>
      <c r="I193" s="7" t="s">
        <v>703</v>
      </c>
      <c r="J193" s="7" t="s">
        <v>858</v>
      </c>
      <c r="K193" s="7"/>
      <c r="L193" s="7"/>
      <c r="M193" s="7"/>
      <c r="N193" s="8" t="s">
        <v>596</v>
      </c>
      <c r="O193" s="8"/>
      <c r="P193" s="9"/>
      <c r="Q193" s="10" t="s">
        <v>36</v>
      </c>
      <c r="R193" s="8"/>
      <c r="S193" s="8"/>
      <c r="T193" s="8" t="s">
        <v>712</v>
      </c>
      <c r="U193" s="8" t="s">
        <v>38</v>
      </c>
      <c r="V193" s="8"/>
      <c r="W193" s="8"/>
      <c r="X193" s="8"/>
      <c r="Y193" s="8"/>
      <c r="Z193" s="8"/>
      <c r="AA193" s="8"/>
      <c r="AB193" s="8"/>
      <c r="AC193" s="8"/>
      <c r="AD193" s="7"/>
      <c r="AE193" s="7"/>
    </row>
    <row r="194" spans="1:31" ht="26.25" customHeight="1">
      <c r="A194" s="5">
        <v>193</v>
      </c>
      <c r="B194" s="6">
        <v>46188</v>
      </c>
      <c r="C194" s="7" t="s">
        <v>859</v>
      </c>
      <c r="D194" s="7" t="s">
        <v>860</v>
      </c>
      <c r="E194" s="8">
        <v>9850988699</v>
      </c>
      <c r="F194" s="8" t="s">
        <v>501</v>
      </c>
      <c r="G194" s="8">
        <v>100</v>
      </c>
      <c r="H194" s="7"/>
      <c r="I194" s="7" t="s">
        <v>835</v>
      </c>
      <c r="J194" s="7" t="s">
        <v>819</v>
      </c>
      <c r="K194" s="7"/>
      <c r="L194" s="7"/>
      <c r="M194" s="7"/>
      <c r="N194" s="8" t="s">
        <v>35</v>
      </c>
      <c r="O194" s="8"/>
      <c r="P194" s="9"/>
      <c r="Q194" s="10" t="s">
        <v>36</v>
      </c>
      <c r="R194" s="8"/>
      <c r="S194" s="8"/>
      <c r="T194" s="8" t="s">
        <v>725</v>
      </c>
      <c r="U194" s="8" t="s">
        <v>38</v>
      </c>
      <c r="V194" s="8"/>
      <c r="W194" s="8"/>
      <c r="X194" s="8"/>
      <c r="Y194" s="8"/>
      <c r="Z194" s="8"/>
      <c r="AA194" s="8"/>
      <c r="AB194" s="8"/>
      <c r="AC194" s="8"/>
      <c r="AD194" s="7"/>
      <c r="AE194" s="7"/>
    </row>
    <row r="195" spans="1:31" ht="26.25" customHeight="1">
      <c r="A195" s="5">
        <v>194</v>
      </c>
      <c r="B195" s="6">
        <v>46188</v>
      </c>
      <c r="C195" s="7" t="s">
        <v>861</v>
      </c>
      <c r="D195" s="7" t="s">
        <v>862</v>
      </c>
      <c r="E195" s="8">
        <v>9819148978</v>
      </c>
      <c r="F195" s="8" t="s">
        <v>863</v>
      </c>
      <c r="G195" s="8">
        <v>100</v>
      </c>
      <c r="H195" s="7"/>
      <c r="I195" s="7" t="s">
        <v>694</v>
      </c>
      <c r="J195" s="7" t="s">
        <v>819</v>
      </c>
      <c r="K195" s="7"/>
      <c r="L195" s="7"/>
      <c r="M195" s="7"/>
      <c r="N195" s="8" t="s">
        <v>35</v>
      </c>
      <c r="O195" s="8"/>
      <c r="P195" s="9"/>
      <c r="Q195" s="10" t="s">
        <v>36</v>
      </c>
      <c r="R195" s="8"/>
      <c r="S195" s="8"/>
      <c r="T195" s="19" t="s">
        <v>864</v>
      </c>
      <c r="U195" s="8" t="s">
        <v>38</v>
      </c>
      <c r="V195" s="8"/>
      <c r="W195" s="8"/>
      <c r="X195" s="8"/>
      <c r="Y195" s="8"/>
      <c r="Z195" s="8"/>
      <c r="AA195" s="8"/>
      <c r="AB195" s="8"/>
      <c r="AC195" s="8"/>
      <c r="AD195" s="7"/>
      <c r="AE195" s="7"/>
    </row>
    <row r="196" spans="1:31" ht="26.25" customHeight="1">
      <c r="A196" s="5">
        <v>195</v>
      </c>
      <c r="B196" s="6">
        <v>46188</v>
      </c>
      <c r="C196" s="7" t="s">
        <v>865</v>
      </c>
      <c r="D196" s="7" t="s">
        <v>866</v>
      </c>
      <c r="E196" s="8">
        <v>8923306667</v>
      </c>
      <c r="F196" s="8" t="s">
        <v>867</v>
      </c>
      <c r="G196" s="8">
        <v>500</v>
      </c>
      <c r="H196" s="7"/>
      <c r="I196" s="7" t="s">
        <v>694</v>
      </c>
      <c r="J196" s="7" t="s">
        <v>868</v>
      </c>
      <c r="K196" s="7"/>
      <c r="L196" s="7"/>
      <c r="M196" s="7"/>
      <c r="N196" s="8" t="s">
        <v>35</v>
      </c>
      <c r="O196" s="8"/>
      <c r="P196" s="9"/>
      <c r="Q196" s="10" t="s">
        <v>36</v>
      </c>
      <c r="R196" s="8"/>
      <c r="S196" s="8"/>
      <c r="T196" s="8" t="s">
        <v>725</v>
      </c>
      <c r="U196" s="8" t="s">
        <v>38</v>
      </c>
      <c r="V196" s="8"/>
      <c r="W196" s="8"/>
      <c r="X196" s="8"/>
      <c r="Y196" s="8"/>
      <c r="Z196" s="8"/>
      <c r="AA196" s="8"/>
      <c r="AB196" s="8"/>
      <c r="AC196" s="8"/>
      <c r="AD196" s="7"/>
      <c r="AE196" s="7"/>
    </row>
    <row r="197" spans="1:31" ht="26.25" customHeight="1">
      <c r="A197" s="5">
        <v>196</v>
      </c>
      <c r="B197" s="6">
        <v>46188</v>
      </c>
      <c r="C197" s="7" t="s">
        <v>869</v>
      </c>
      <c r="D197" s="7"/>
      <c r="E197" s="8">
        <v>9900546792</v>
      </c>
      <c r="F197" s="8" t="s">
        <v>48</v>
      </c>
      <c r="G197" s="8">
        <v>30</v>
      </c>
      <c r="H197" s="7"/>
      <c r="I197" s="7"/>
      <c r="J197" s="7" t="s">
        <v>870</v>
      </c>
      <c r="K197" s="7"/>
      <c r="L197" s="7" t="s">
        <v>871</v>
      </c>
      <c r="M197" s="7"/>
      <c r="N197" s="8" t="s">
        <v>329</v>
      </c>
      <c r="O197" s="8"/>
      <c r="P197" s="9"/>
      <c r="Q197" s="10" t="s">
        <v>307</v>
      </c>
      <c r="R197" s="8" t="s">
        <v>872</v>
      </c>
      <c r="S197" s="8"/>
      <c r="T197" s="8"/>
      <c r="U197" s="8" t="s">
        <v>38</v>
      </c>
      <c r="V197" s="8"/>
      <c r="W197" s="8" t="s">
        <v>134</v>
      </c>
      <c r="X197" s="8"/>
      <c r="Y197" s="8"/>
      <c r="Z197" s="8"/>
      <c r="AA197" s="8"/>
      <c r="AB197" s="8"/>
      <c r="AC197" s="8"/>
      <c r="AD197" s="7"/>
      <c r="AE197" s="7"/>
    </row>
    <row r="198" spans="1:31" ht="47.25" customHeight="1">
      <c r="A198" s="5">
        <v>197</v>
      </c>
      <c r="B198" s="6">
        <v>46188</v>
      </c>
      <c r="C198" s="20" t="s">
        <v>873</v>
      </c>
      <c r="D198" s="20" t="s">
        <v>874</v>
      </c>
      <c r="E198" s="19">
        <v>8754484173</v>
      </c>
      <c r="F198" s="19" t="s">
        <v>875</v>
      </c>
      <c r="G198" s="19"/>
      <c r="H198" s="7"/>
      <c r="I198" s="20" t="s">
        <v>876</v>
      </c>
      <c r="J198" s="20" t="s">
        <v>877</v>
      </c>
      <c r="K198" s="20"/>
      <c r="L198" s="20"/>
      <c r="M198" s="20"/>
      <c r="N198" s="8" t="s">
        <v>35</v>
      </c>
      <c r="O198" s="8"/>
      <c r="P198" s="9"/>
      <c r="Q198" s="10" t="s">
        <v>307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7"/>
      <c r="AE198" s="7"/>
    </row>
    <row r="199" spans="1:31" ht="26.25" customHeight="1">
      <c r="A199" s="5">
        <v>198</v>
      </c>
      <c r="B199" s="6">
        <v>46188</v>
      </c>
      <c r="C199" s="7" t="s">
        <v>878</v>
      </c>
      <c r="D199" s="7"/>
      <c r="E199" s="8">
        <v>8124003399</v>
      </c>
      <c r="F199" s="8"/>
      <c r="G199" s="8"/>
      <c r="H199" s="7"/>
      <c r="I199" s="7"/>
      <c r="J199" s="7" t="s">
        <v>879</v>
      </c>
      <c r="K199" s="7"/>
      <c r="L199" s="7"/>
      <c r="M199" s="7"/>
      <c r="N199" s="8" t="s">
        <v>35</v>
      </c>
      <c r="O199" s="8"/>
      <c r="P199" s="9"/>
      <c r="Q199" s="10" t="s">
        <v>307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7"/>
      <c r="AE199" s="7"/>
    </row>
    <row r="200" spans="1:31" ht="26.25" customHeight="1">
      <c r="A200" s="5">
        <v>199</v>
      </c>
      <c r="B200" s="6">
        <v>46188</v>
      </c>
      <c r="C200" s="7" t="s">
        <v>880</v>
      </c>
      <c r="D200" s="7"/>
      <c r="E200" s="8">
        <v>9920515153</v>
      </c>
      <c r="F200" s="8"/>
      <c r="G200" s="8"/>
      <c r="H200" s="7"/>
      <c r="I200" s="7"/>
      <c r="J200" s="7" t="s">
        <v>881</v>
      </c>
      <c r="K200" s="7"/>
      <c r="L200" s="7"/>
      <c r="M200" s="7"/>
      <c r="N200" s="8" t="s">
        <v>35</v>
      </c>
      <c r="O200" s="8"/>
      <c r="P200" s="9"/>
      <c r="Q200" s="10" t="s">
        <v>307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7"/>
      <c r="AE200" s="7"/>
    </row>
    <row r="201" spans="1:31" ht="26.25" customHeight="1">
      <c r="A201" s="5">
        <v>200</v>
      </c>
      <c r="B201" s="6">
        <v>46188</v>
      </c>
      <c r="C201" s="7" t="s">
        <v>882</v>
      </c>
      <c r="D201" s="7"/>
      <c r="E201" s="8">
        <v>8983297464</v>
      </c>
      <c r="F201" s="8"/>
      <c r="G201" s="8"/>
      <c r="H201" s="7"/>
      <c r="I201" s="7" t="s">
        <v>883</v>
      </c>
      <c r="J201" s="7" t="s">
        <v>819</v>
      </c>
      <c r="K201" s="7"/>
      <c r="L201" s="7"/>
      <c r="M201" s="7"/>
      <c r="N201" s="8" t="s">
        <v>35</v>
      </c>
      <c r="O201" s="8"/>
      <c r="P201" s="9"/>
      <c r="Q201" s="10" t="s">
        <v>307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"/>
      <c r="AE201" s="7"/>
    </row>
    <row r="202" spans="1:31" ht="53.25" customHeight="1">
      <c r="A202" s="5">
        <v>201</v>
      </c>
      <c r="B202" s="6">
        <v>46188</v>
      </c>
      <c r="C202" s="7" t="s">
        <v>884</v>
      </c>
      <c r="D202" s="7" t="s">
        <v>885</v>
      </c>
      <c r="E202" s="8">
        <v>7695995232</v>
      </c>
      <c r="F202" s="8" t="s">
        <v>886</v>
      </c>
      <c r="G202" s="8">
        <v>50</v>
      </c>
      <c r="H202" s="7"/>
      <c r="I202" s="7" t="s">
        <v>887</v>
      </c>
      <c r="J202" s="7" t="s">
        <v>888</v>
      </c>
      <c r="K202" s="7"/>
      <c r="L202" s="7" t="s">
        <v>889</v>
      </c>
      <c r="M202" s="7"/>
      <c r="N202" s="8" t="s">
        <v>106</v>
      </c>
      <c r="O202" s="8"/>
      <c r="P202" s="9"/>
      <c r="Q202" s="10" t="s">
        <v>36</v>
      </c>
      <c r="R202" s="8"/>
      <c r="S202" s="8"/>
      <c r="T202" s="8" t="s">
        <v>502</v>
      </c>
      <c r="U202" s="8"/>
      <c r="V202" s="8"/>
      <c r="W202" s="8"/>
      <c r="X202" s="8"/>
      <c r="Y202" s="8"/>
      <c r="Z202" s="8"/>
      <c r="AA202" s="8"/>
      <c r="AB202" s="8"/>
      <c r="AC202" s="8"/>
      <c r="AD202" s="7"/>
      <c r="AE202" s="7"/>
    </row>
    <row r="203" spans="1:31" ht="26.25" customHeight="1">
      <c r="A203" s="5">
        <v>202</v>
      </c>
      <c r="B203" s="6">
        <v>46189</v>
      </c>
      <c r="C203" s="7" t="s">
        <v>890</v>
      </c>
      <c r="D203" s="7"/>
      <c r="E203" s="8">
        <v>8074991699</v>
      </c>
      <c r="F203" s="8" t="s">
        <v>891</v>
      </c>
      <c r="G203" s="8" t="s">
        <v>892</v>
      </c>
      <c r="H203" s="7"/>
      <c r="I203" s="7" t="s">
        <v>893</v>
      </c>
      <c r="J203" s="7" t="s">
        <v>894</v>
      </c>
      <c r="K203" s="7"/>
      <c r="L203" s="7"/>
      <c r="M203" s="7"/>
      <c r="N203" s="8" t="s">
        <v>35</v>
      </c>
      <c r="O203" s="8"/>
      <c r="P203" s="9"/>
      <c r="Q203" s="10" t="s">
        <v>71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7"/>
      <c r="AE203" s="7"/>
    </row>
    <row r="204" spans="1:31" ht="26.25" customHeight="1">
      <c r="A204" s="5">
        <v>203</v>
      </c>
      <c r="B204" s="6">
        <v>46189</v>
      </c>
      <c r="C204" s="7" t="s">
        <v>895</v>
      </c>
      <c r="D204" s="7" t="s">
        <v>896</v>
      </c>
      <c r="E204" s="8">
        <v>9566143830</v>
      </c>
      <c r="F204" s="8" t="s">
        <v>48</v>
      </c>
      <c r="G204" s="19"/>
      <c r="H204" s="7"/>
      <c r="I204" s="20" t="s">
        <v>897</v>
      </c>
      <c r="J204" s="20" t="s">
        <v>898</v>
      </c>
      <c r="K204" s="20"/>
      <c r="L204" s="20"/>
      <c r="M204" s="20"/>
      <c r="N204" s="8" t="s">
        <v>35</v>
      </c>
      <c r="O204" s="8"/>
      <c r="P204" s="9"/>
      <c r="Q204" s="10" t="s">
        <v>71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7"/>
      <c r="AE204" s="7"/>
    </row>
    <row r="205" spans="1:31" ht="26.25" customHeight="1">
      <c r="A205" s="5">
        <v>204</v>
      </c>
      <c r="B205" s="6">
        <v>46189</v>
      </c>
      <c r="C205" s="20" t="s">
        <v>899</v>
      </c>
      <c r="D205" s="20" t="s">
        <v>900</v>
      </c>
      <c r="E205" s="19">
        <v>9447487715</v>
      </c>
      <c r="F205" s="19" t="s">
        <v>901</v>
      </c>
      <c r="G205" s="19">
        <v>10</v>
      </c>
      <c r="H205" s="7"/>
      <c r="I205" s="20" t="s">
        <v>423</v>
      </c>
      <c r="J205" s="20" t="s">
        <v>902</v>
      </c>
      <c r="K205" s="20"/>
      <c r="L205" s="20"/>
      <c r="M205" s="20"/>
      <c r="N205" s="8" t="s">
        <v>106</v>
      </c>
      <c r="O205" s="8"/>
      <c r="P205" s="9"/>
      <c r="Q205" s="10" t="s">
        <v>71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7"/>
      <c r="AE205" s="7"/>
    </row>
    <row r="206" spans="1:31" ht="39" customHeight="1">
      <c r="A206" s="5">
        <v>205</v>
      </c>
      <c r="B206" s="6">
        <v>46189</v>
      </c>
      <c r="C206" s="7" t="s">
        <v>903</v>
      </c>
      <c r="D206" s="7" t="s">
        <v>904</v>
      </c>
      <c r="E206" s="8">
        <v>9309504073</v>
      </c>
      <c r="F206" s="8" t="s">
        <v>905</v>
      </c>
      <c r="G206" s="8"/>
      <c r="H206" s="7"/>
      <c r="I206" s="7" t="s">
        <v>906</v>
      </c>
      <c r="J206" s="7" t="s">
        <v>907</v>
      </c>
      <c r="K206" s="7"/>
      <c r="L206" s="7"/>
      <c r="M206" s="7"/>
      <c r="N206" s="8" t="s">
        <v>35</v>
      </c>
      <c r="O206" s="8"/>
      <c r="P206" s="9"/>
      <c r="Q206" s="10" t="s">
        <v>71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7"/>
      <c r="AE206" s="7"/>
    </row>
    <row r="207" spans="1:31" ht="26.25" customHeight="1">
      <c r="A207" s="5">
        <v>206</v>
      </c>
      <c r="B207" s="6">
        <v>46189</v>
      </c>
      <c r="C207" s="7" t="s">
        <v>908</v>
      </c>
      <c r="D207" s="7" t="s">
        <v>909</v>
      </c>
      <c r="E207" s="8">
        <v>9601090718</v>
      </c>
      <c r="F207" s="8" t="s">
        <v>910</v>
      </c>
      <c r="G207" s="8"/>
      <c r="H207" s="7"/>
      <c r="I207" s="7" t="s">
        <v>911</v>
      </c>
      <c r="J207" s="7" t="s">
        <v>912</v>
      </c>
      <c r="K207" s="7"/>
      <c r="L207" s="7"/>
      <c r="M207" s="7"/>
      <c r="N207" s="8" t="s">
        <v>35</v>
      </c>
      <c r="O207" s="8"/>
      <c r="P207" s="9"/>
      <c r="Q207" s="10" t="s">
        <v>36</v>
      </c>
      <c r="R207" s="8"/>
      <c r="S207" s="8"/>
      <c r="T207" s="8" t="s">
        <v>913</v>
      </c>
      <c r="U207" s="8"/>
      <c r="V207" s="8"/>
      <c r="W207" s="8"/>
      <c r="X207" s="8"/>
      <c r="Y207" s="8"/>
      <c r="Z207" s="8"/>
      <c r="AA207" s="8"/>
      <c r="AB207" s="8"/>
      <c r="AC207" s="8"/>
      <c r="AD207" s="7"/>
      <c r="AE207" s="7"/>
    </row>
    <row r="208" spans="1:31" ht="26.25" customHeight="1">
      <c r="A208" s="5">
        <v>207</v>
      </c>
      <c r="B208" s="6">
        <v>46189</v>
      </c>
      <c r="C208" s="7" t="s">
        <v>805</v>
      </c>
      <c r="D208" s="7" t="s">
        <v>914</v>
      </c>
      <c r="E208" s="8">
        <v>8017185820</v>
      </c>
      <c r="F208" s="8" t="s">
        <v>48</v>
      </c>
      <c r="G208" s="8">
        <v>250</v>
      </c>
      <c r="H208" s="7"/>
      <c r="I208" s="7" t="s">
        <v>710</v>
      </c>
      <c r="J208" s="7" t="s">
        <v>915</v>
      </c>
      <c r="K208" s="7"/>
      <c r="L208" s="7"/>
      <c r="M208" s="7"/>
      <c r="N208" s="8" t="s">
        <v>122</v>
      </c>
      <c r="O208" s="8"/>
      <c r="P208" s="9"/>
      <c r="Q208" s="10" t="s">
        <v>36</v>
      </c>
      <c r="R208" s="8"/>
      <c r="S208" s="8"/>
      <c r="T208" s="8" t="s">
        <v>736</v>
      </c>
      <c r="U208" s="8"/>
      <c r="V208" s="8"/>
      <c r="W208" s="8"/>
      <c r="X208" s="8"/>
      <c r="Y208" s="8"/>
      <c r="Z208" s="8"/>
      <c r="AA208" s="8"/>
      <c r="AB208" s="8"/>
      <c r="AC208" s="8"/>
      <c r="AD208" s="7"/>
      <c r="AE208" s="7"/>
    </row>
    <row r="209" spans="1:31" ht="26.25" customHeight="1">
      <c r="A209" s="5">
        <v>208</v>
      </c>
      <c r="B209" s="6">
        <v>46189</v>
      </c>
      <c r="C209" s="7" t="s">
        <v>916</v>
      </c>
      <c r="D209" s="7" t="s">
        <v>917</v>
      </c>
      <c r="E209" s="8">
        <v>9820570450</v>
      </c>
      <c r="F209" s="8" t="s">
        <v>918</v>
      </c>
      <c r="G209" s="8">
        <v>400</v>
      </c>
      <c r="H209" s="7"/>
      <c r="I209" s="7" t="s">
        <v>694</v>
      </c>
      <c r="J209" s="7" t="s">
        <v>919</v>
      </c>
      <c r="K209" s="7"/>
      <c r="L209" s="7"/>
      <c r="M209" s="7"/>
      <c r="N209" s="8" t="s">
        <v>35</v>
      </c>
      <c r="O209" s="8"/>
      <c r="P209" s="9"/>
      <c r="Q209" s="10" t="s">
        <v>36</v>
      </c>
      <c r="R209" s="8"/>
      <c r="S209" s="8"/>
      <c r="T209" s="8" t="s">
        <v>502</v>
      </c>
      <c r="U209" s="8"/>
      <c r="V209" s="8"/>
      <c r="W209" s="8"/>
      <c r="X209" s="8"/>
      <c r="Y209" s="8"/>
      <c r="Z209" s="8"/>
      <c r="AA209" s="8"/>
      <c r="AB209" s="8"/>
      <c r="AC209" s="8"/>
      <c r="AD209" s="7"/>
      <c r="AE209" s="7"/>
    </row>
    <row r="210" spans="1:31" ht="26.25" customHeight="1">
      <c r="A210" s="5">
        <v>209</v>
      </c>
      <c r="B210" s="6">
        <v>46189</v>
      </c>
      <c r="C210" s="7" t="s">
        <v>920</v>
      </c>
      <c r="D210" s="7" t="s">
        <v>921</v>
      </c>
      <c r="E210" s="8">
        <v>9822807861</v>
      </c>
      <c r="F210" s="8" t="s">
        <v>771</v>
      </c>
      <c r="G210" s="8">
        <v>50</v>
      </c>
      <c r="H210" s="7"/>
      <c r="I210" s="7" t="s">
        <v>911</v>
      </c>
      <c r="J210" s="7" t="s">
        <v>819</v>
      </c>
      <c r="K210" s="7"/>
      <c r="L210" s="7"/>
      <c r="M210" s="7"/>
      <c r="N210" s="8" t="s">
        <v>35</v>
      </c>
      <c r="O210" s="8"/>
      <c r="P210" s="9"/>
      <c r="Q210" s="10" t="s">
        <v>36</v>
      </c>
      <c r="R210" s="8"/>
      <c r="S210" s="8"/>
      <c r="T210" s="8" t="s">
        <v>502</v>
      </c>
      <c r="U210" s="8"/>
      <c r="V210" s="8"/>
      <c r="W210" s="8"/>
      <c r="X210" s="8"/>
      <c r="Y210" s="8"/>
      <c r="Z210" s="8"/>
      <c r="AA210" s="8"/>
      <c r="AB210" s="8"/>
      <c r="AC210" s="8"/>
      <c r="AD210" s="7"/>
      <c r="AE210" s="7"/>
    </row>
    <row r="211" spans="1:31" ht="26.25" customHeight="1">
      <c r="A211" s="5">
        <v>210</v>
      </c>
      <c r="B211" s="6">
        <v>46189</v>
      </c>
      <c r="C211" s="7" t="s">
        <v>922</v>
      </c>
      <c r="D211" s="7" t="s">
        <v>923</v>
      </c>
      <c r="E211" s="8">
        <v>9975580777</v>
      </c>
      <c r="F211" s="8" t="s">
        <v>924</v>
      </c>
      <c r="G211" s="8"/>
      <c r="H211" s="7"/>
      <c r="I211" s="7" t="s">
        <v>694</v>
      </c>
      <c r="J211" s="7" t="s">
        <v>925</v>
      </c>
      <c r="K211" s="7"/>
      <c r="L211" s="7"/>
      <c r="M211" s="7"/>
      <c r="N211" s="8" t="s">
        <v>35</v>
      </c>
      <c r="O211" s="8"/>
      <c r="P211" s="9"/>
      <c r="Q211" s="10" t="s">
        <v>36</v>
      </c>
      <c r="R211" s="8"/>
      <c r="S211" s="8"/>
      <c r="T211" s="8" t="s">
        <v>736</v>
      </c>
      <c r="U211" s="8" t="s">
        <v>378</v>
      </c>
      <c r="V211" s="8"/>
      <c r="W211" s="8"/>
      <c r="X211" s="8"/>
      <c r="Y211" s="8"/>
      <c r="Z211" s="8"/>
      <c r="AA211" s="8"/>
      <c r="AB211" s="8"/>
      <c r="AC211" s="8"/>
      <c r="AD211" s="7"/>
      <c r="AE211" s="7"/>
    </row>
    <row r="212" spans="1:31" ht="26.25" customHeight="1">
      <c r="A212" s="5">
        <v>211</v>
      </c>
      <c r="B212" s="6">
        <v>46189</v>
      </c>
      <c r="C212" s="7" t="s">
        <v>926</v>
      </c>
      <c r="D212" s="7" t="s">
        <v>927</v>
      </c>
      <c r="E212" s="8">
        <v>9957058006</v>
      </c>
      <c r="F212" s="8" t="s">
        <v>928</v>
      </c>
      <c r="G212" s="8"/>
      <c r="H212" s="7"/>
      <c r="I212" s="7" t="s">
        <v>911</v>
      </c>
      <c r="J212" s="7" t="s">
        <v>819</v>
      </c>
      <c r="K212" s="7"/>
      <c r="L212" s="7"/>
      <c r="M212" s="7"/>
      <c r="N212" s="8" t="s">
        <v>35</v>
      </c>
      <c r="O212" s="8"/>
      <c r="P212" s="9"/>
      <c r="Q212" s="10" t="s">
        <v>36</v>
      </c>
      <c r="R212" s="8"/>
      <c r="S212" s="8"/>
      <c r="T212" s="8" t="s">
        <v>725</v>
      </c>
      <c r="U212" s="8"/>
      <c r="V212" s="8"/>
      <c r="W212" s="8"/>
      <c r="X212" s="8"/>
      <c r="Y212" s="8"/>
      <c r="Z212" s="8"/>
      <c r="AA212" s="8"/>
      <c r="AB212" s="8"/>
      <c r="AC212" s="8"/>
      <c r="AD212" s="7"/>
      <c r="AE212" s="7"/>
    </row>
    <row r="213" spans="1:31" ht="26.25" customHeight="1">
      <c r="A213" s="5">
        <v>212</v>
      </c>
      <c r="B213" s="6">
        <v>46189</v>
      </c>
      <c r="C213" s="7" t="s">
        <v>929</v>
      </c>
      <c r="D213" s="7"/>
      <c r="E213" s="8">
        <v>9306027690</v>
      </c>
      <c r="F213" s="8"/>
      <c r="G213" s="8"/>
      <c r="H213" s="7"/>
      <c r="I213" s="7" t="s">
        <v>710</v>
      </c>
      <c r="J213" s="7" t="s">
        <v>930</v>
      </c>
      <c r="K213" s="7"/>
      <c r="L213" s="7"/>
      <c r="M213" s="7"/>
      <c r="N213" s="8" t="s">
        <v>44</v>
      </c>
      <c r="O213" s="8"/>
      <c r="P213" s="9"/>
      <c r="Q213" s="10" t="s">
        <v>36</v>
      </c>
      <c r="R213" s="8"/>
      <c r="S213" s="8"/>
      <c r="T213" s="8" t="s">
        <v>913</v>
      </c>
      <c r="U213" s="8" t="s">
        <v>378</v>
      </c>
      <c r="V213" s="8"/>
      <c r="W213" s="8"/>
      <c r="X213" s="8"/>
      <c r="Y213" s="8"/>
      <c r="Z213" s="8"/>
      <c r="AA213" s="8"/>
      <c r="AB213" s="8"/>
      <c r="AC213" s="8"/>
      <c r="AD213" s="7"/>
      <c r="AE213" s="7"/>
    </row>
    <row r="214" spans="1:31" ht="26.25" customHeight="1">
      <c r="A214" s="5">
        <v>213</v>
      </c>
      <c r="B214" s="6">
        <v>46189</v>
      </c>
      <c r="C214" s="7" t="s">
        <v>931</v>
      </c>
      <c r="D214" s="7" t="s">
        <v>932</v>
      </c>
      <c r="E214" s="8">
        <v>9797530555</v>
      </c>
      <c r="F214" s="8" t="s">
        <v>933</v>
      </c>
      <c r="G214" s="8"/>
      <c r="H214" s="7"/>
      <c r="I214" s="7" t="s">
        <v>911</v>
      </c>
      <c r="J214" s="7"/>
      <c r="K214" s="7"/>
      <c r="L214" s="7"/>
      <c r="M214" s="7"/>
      <c r="N214" s="8" t="s">
        <v>44</v>
      </c>
      <c r="O214" s="8"/>
      <c r="P214" s="9"/>
      <c r="Q214" s="10" t="s">
        <v>36</v>
      </c>
      <c r="R214" s="8"/>
      <c r="S214" s="8"/>
      <c r="T214" s="8" t="s">
        <v>502</v>
      </c>
      <c r="U214" s="8" t="s">
        <v>378</v>
      </c>
      <c r="V214" s="8"/>
      <c r="W214" s="8"/>
      <c r="X214" s="8"/>
      <c r="Y214" s="8"/>
      <c r="Z214" s="8"/>
      <c r="AA214" s="8"/>
      <c r="AB214" s="8"/>
      <c r="AC214" s="8"/>
      <c r="AD214" s="7"/>
      <c r="AE214" s="7"/>
    </row>
    <row r="215" spans="1:31" ht="26.25" customHeight="1">
      <c r="A215" s="5">
        <v>214</v>
      </c>
      <c r="B215" s="6">
        <v>46189</v>
      </c>
      <c r="C215" s="7" t="s">
        <v>934</v>
      </c>
      <c r="D215" s="7" t="s">
        <v>935</v>
      </c>
      <c r="E215" s="8">
        <v>9401453580</v>
      </c>
      <c r="F215" s="8" t="s">
        <v>936</v>
      </c>
      <c r="G215" s="8">
        <v>50</v>
      </c>
      <c r="H215" s="7"/>
      <c r="I215" s="7" t="s">
        <v>911</v>
      </c>
      <c r="J215" s="7" t="s">
        <v>768</v>
      </c>
      <c r="K215" s="7"/>
      <c r="L215" s="7"/>
      <c r="M215" s="7"/>
      <c r="N215" s="8" t="s">
        <v>44</v>
      </c>
      <c r="O215" s="8"/>
      <c r="P215" s="9"/>
      <c r="Q215" s="10" t="s">
        <v>36</v>
      </c>
      <c r="R215" s="8"/>
      <c r="S215" s="8"/>
      <c r="T215" s="8" t="s">
        <v>736</v>
      </c>
      <c r="U215" s="8" t="s">
        <v>378</v>
      </c>
      <c r="V215" s="8"/>
      <c r="W215" s="8"/>
      <c r="X215" s="8"/>
      <c r="Y215" s="8"/>
      <c r="Z215" s="8"/>
      <c r="AA215" s="8"/>
      <c r="AB215" s="8"/>
      <c r="AC215" s="8"/>
      <c r="AD215" s="7"/>
      <c r="AE215" s="7"/>
    </row>
    <row r="216" spans="1:31" ht="26.25" customHeight="1">
      <c r="A216" s="5">
        <v>215</v>
      </c>
      <c r="B216" s="6">
        <v>46189</v>
      </c>
      <c r="C216" s="7" t="s">
        <v>937</v>
      </c>
      <c r="D216" s="7"/>
      <c r="E216" s="8">
        <v>9788859847</v>
      </c>
      <c r="F216" s="8" t="s">
        <v>938</v>
      </c>
      <c r="G216" s="8">
        <v>30</v>
      </c>
      <c r="H216" s="7"/>
      <c r="I216" s="7" t="s">
        <v>911</v>
      </c>
      <c r="J216" s="7" t="s">
        <v>768</v>
      </c>
      <c r="K216" s="7"/>
      <c r="L216" s="7"/>
      <c r="M216" s="7"/>
      <c r="N216" s="8" t="s">
        <v>44</v>
      </c>
      <c r="O216" s="8"/>
      <c r="P216" s="9"/>
      <c r="Q216" s="10" t="s">
        <v>36</v>
      </c>
      <c r="R216" s="8"/>
      <c r="S216" s="8"/>
      <c r="T216" s="8" t="s">
        <v>736</v>
      </c>
      <c r="U216" s="8" t="s">
        <v>378</v>
      </c>
      <c r="V216" s="8"/>
      <c r="W216" s="8"/>
      <c r="X216" s="8"/>
      <c r="Y216" s="8"/>
      <c r="Z216" s="8"/>
      <c r="AA216" s="8"/>
      <c r="AB216" s="8"/>
      <c r="AC216" s="8"/>
      <c r="AD216" s="7"/>
      <c r="AE216" s="7"/>
    </row>
    <row r="217" spans="1:31" ht="26.25" customHeight="1">
      <c r="A217" s="5">
        <v>216</v>
      </c>
      <c r="B217" s="6">
        <v>46189</v>
      </c>
      <c r="C217" s="7" t="s">
        <v>939</v>
      </c>
      <c r="D217" s="7" t="s">
        <v>940</v>
      </c>
      <c r="E217" s="8">
        <v>7999719819</v>
      </c>
      <c r="F217" s="8" t="s">
        <v>941</v>
      </c>
      <c r="G217" s="8">
        <v>50</v>
      </c>
      <c r="H217" s="7"/>
      <c r="I217" s="7" t="s">
        <v>911</v>
      </c>
      <c r="J217" s="7" t="s">
        <v>768</v>
      </c>
      <c r="K217" s="7"/>
      <c r="L217" s="7"/>
      <c r="M217" s="7"/>
      <c r="N217" s="8" t="s">
        <v>44</v>
      </c>
      <c r="O217" s="8"/>
      <c r="P217" s="9"/>
      <c r="Q217" s="10" t="s">
        <v>36</v>
      </c>
      <c r="R217" s="8"/>
      <c r="S217" s="8"/>
      <c r="T217" s="8" t="s">
        <v>736</v>
      </c>
      <c r="U217" s="8" t="s">
        <v>378</v>
      </c>
      <c r="V217" s="8"/>
      <c r="W217" s="8"/>
      <c r="X217" s="8"/>
      <c r="Y217" s="8"/>
      <c r="Z217" s="8"/>
      <c r="AA217" s="8"/>
      <c r="AB217" s="8"/>
      <c r="AC217" s="8"/>
      <c r="AD217" s="7"/>
      <c r="AE217" s="7"/>
    </row>
    <row r="218" spans="1:31" ht="39.75" customHeight="1">
      <c r="A218" s="5">
        <v>217</v>
      </c>
      <c r="B218" s="6">
        <v>46189</v>
      </c>
      <c r="C218" s="20" t="s">
        <v>942</v>
      </c>
      <c r="D218" s="20" t="s">
        <v>943</v>
      </c>
      <c r="E218" s="19">
        <v>9751162819</v>
      </c>
      <c r="F218" s="19" t="s">
        <v>48</v>
      </c>
      <c r="G218" s="19"/>
      <c r="H218" s="7"/>
      <c r="I218" s="20" t="s">
        <v>944</v>
      </c>
      <c r="J218" s="20"/>
      <c r="K218" s="20"/>
      <c r="L218" s="20"/>
      <c r="M218" s="20"/>
      <c r="N218" s="19" t="s">
        <v>35</v>
      </c>
      <c r="O218" s="8"/>
      <c r="P218" s="9"/>
      <c r="Q218" s="10" t="s">
        <v>307</v>
      </c>
      <c r="R218" s="8"/>
      <c r="S218" s="8"/>
      <c r="T218" s="8"/>
      <c r="U218" s="8" t="s">
        <v>378</v>
      </c>
      <c r="V218" s="8"/>
      <c r="W218" s="8"/>
      <c r="X218" s="8"/>
      <c r="Y218" s="8"/>
      <c r="Z218" s="8"/>
      <c r="AA218" s="8"/>
      <c r="AB218" s="8"/>
      <c r="AC218" s="8"/>
      <c r="AD218" s="7"/>
      <c r="AE218" s="7"/>
    </row>
    <row r="219" spans="1:31" ht="26.25" customHeight="1">
      <c r="A219" s="5">
        <v>218</v>
      </c>
      <c r="B219" s="6">
        <v>46189</v>
      </c>
      <c r="C219" s="7" t="s">
        <v>945</v>
      </c>
      <c r="D219" s="7"/>
      <c r="E219" s="8">
        <v>9137983937</v>
      </c>
      <c r="F219" s="8"/>
      <c r="G219" s="8"/>
      <c r="H219" s="7"/>
      <c r="I219" s="7"/>
      <c r="J219" s="7"/>
      <c r="K219" s="7"/>
      <c r="L219" s="7"/>
      <c r="M219" s="7"/>
      <c r="N219" s="8" t="s">
        <v>44</v>
      </c>
      <c r="O219" s="8"/>
      <c r="P219" s="9"/>
      <c r="Q219" s="10" t="s">
        <v>307</v>
      </c>
      <c r="R219" s="8"/>
      <c r="S219" s="8"/>
      <c r="T219" s="8"/>
      <c r="U219" s="8" t="s">
        <v>378</v>
      </c>
      <c r="V219" s="8"/>
      <c r="W219" s="8"/>
      <c r="X219" s="8"/>
      <c r="Y219" s="8"/>
      <c r="Z219" s="8"/>
      <c r="AA219" s="8"/>
      <c r="AB219" s="8"/>
      <c r="AC219" s="8"/>
      <c r="AD219" s="7"/>
      <c r="AE219" s="7"/>
    </row>
    <row r="220" spans="1:31" ht="38.25" customHeight="1">
      <c r="A220" s="5">
        <v>219</v>
      </c>
      <c r="B220" s="6">
        <v>46189</v>
      </c>
      <c r="C220" s="20" t="s">
        <v>946</v>
      </c>
      <c r="D220" s="20"/>
      <c r="E220" s="19">
        <v>9884300711</v>
      </c>
      <c r="F220" s="19" t="s">
        <v>947</v>
      </c>
      <c r="G220" s="19">
        <v>16</v>
      </c>
      <c r="H220" s="7"/>
      <c r="I220" s="20" t="s">
        <v>948</v>
      </c>
      <c r="J220" s="20"/>
      <c r="K220" s="20"/>
      <c r="L220" s="20"/>
      <c r="M220" s="20"/>
      <c r="N220" s="19" t="s">
        <v>35</v>
      </c>
      <c r="O220" s="8"/>
      <c r="P220" s="9"/>
      <c r="Q220" s="10" t="s">
        <v>307</v>
      </c>
      <c r="R220" s="8"/>
      <c r="S220" s="8"/>
      <c r="T220" s="8" t="s">
        <v>502</v>
      </c>
      <c r="U220" s="8" t="s">
        <v>173</v>
      </c>
      <c r="V220" s="8"/>
      <c r="W220" s="8"/>
      <c r="X220" s="8"/>
      <c r="Y220" s="8"/>
      <c r="Z220" s="8"/>
      <c r="AA220" s="8"/>
      <c r="AB220" s="8"/>
      <c r="AC220" s="8"/>
      <c r="AD220" s="7"/>
      <c r="AE220" s="7"/>
    </row>
    <row r="221" spans="1:31" ht="26.25" customHeight="1">
      <c r="A221" s="5">
        <v>220</v>
      </c>
      <c r="B221" s="8" t="s">
        <v>949</v>
      </c>
      <c r="C221" s="7" t="s">
        <v>950</v>
      </c>
      <c r="D221" s="7" t="s">
        <v>810</v>
      </c>
      <c r="E221" s="8">
        <v>9892228122</v>
      </c>
      <c r="F221" s="8" t="s">
        <v>101</v>
      </c>
      <c r="G221" s="8">
        <v>22</v>
      </c>
      <c r="H221" s="7"/>
      <c r="I221" s="7" t="s">
        <v>911</v>
      </c>
      <c r="J221" s="7"/>
      <c r="K221" s="7"/>
      <c r="L221" s="7"/>
      <c r="M221" s="7"/>
      <c r="N221" s="8" t="s">
        <v>44</v>
      </c>
      <c r="O221" s="8"/>
      <c r="P221" s="9"/>
      <c r="Q221" s="10" t="s">
        <v>36</v>
      </c>
      <c r="R221" s="8"/>
      <c r="S221" s="8"/>
      <c r="T221" s="8" t="s">
        <v>725</v>
      </c>
      <c r="U221" s="8" t="s">
        <v>378</v>
      </c>
      <c r="V221" s="8"/>
      <c r="W221" s="8"/>
      <c r="X221" s="8"/>
      <c r="Y221" s="8"/>
      <c r="Z221" s="8"/>
      <c r="AA221" s="8"/>
      <c r="AB221" s="8"/>
      <c r="AC221" s="8"/>
      <c r="AD221" s="7"/>
      <c r="AE221" s="7"/>
    </row>
    <row r="222" spans="1:31" ht="26.25" customHeight="1">
      <c r="A222" s="5">
        <v>221</v>
      </c>
      <c r="B222" s="6">
        <v>46189</v>
      </c>
      <c r="C222" s="7" t="s">
        <v>951</v>
      </c>
      <c r="D222" s="7" t="s">
        <v>952</v>
      </c>
      <c r="E222" s="8">
        <v>9923077722</v>
      </c>
      <c r="F222" s="8" t="s">
        <v>953</v>
      </c>
      <c r="G222" s="8">
        <v>20</v>
      </c>
      <c r="H222" s="7"/>
      <c r="I222" s="7" t="s">
        <v>694</v>
      </c>
      <c r="J222" s="7" t="s">
        <v>954</v>
      </c>
      <c r="K222" s="7"/>
      <c r="L222" s="7"/>
      <c r="M222" s="7"/>
      <c r="N222" s="8" t="s">
        <v>35</v>
      </c>
      <c r="O222" s="8"/>
      <c r="P222" s="9"/>
      <c r="Q222" s="10" t="s">
        <v>36</v>
      </c>
      <c r="R222" s="8"/>
      <c r="S222" s="8"/>
      <c r="T222" s="8" t="s">
        <v>736</v>
      </c>
      <c r="U222" s="8" t="s">
        <v>378</v>
      </c>
      <c r="V222" s="8"/>
      <c r="W222" s="8"/>
      <c r="X222" s="8"/>
      <c r="Y222" s="8"/>
      <c r="Z222" s="8"/>
      <c r="AA222" s="8"/>
      <c r="AB222" s="8"/>
      <c r="AC222" s="8"/>
      <c r="AD222" s="7"/>
      <c r="AE222" s="7"/>
    </row>
    <row r="223" spans="1:31" ht="26.25" customHeight="1">
      <c r="A223" s="5">
        <v>222</v>
      </c>
      <c r="B223" s="6">
        <v>46190</v>
      </c>
      <c r="C223" s="7" t="s">
        <v>955</v>
      </c>
      <c r="D223" s="7" t="s">
        <v>956</v>
      </c>
      <c r="E223" s="8">
        <v>9766232634</v>
      </c>
      <c r="F223" s="8" t="s">
        <v>957</v>
      </c>
      <c r="G223" s="8">
        <v>34</v>
      </c>
      <c r="H223" s="7"/>
      <c r="I223" s="7" t="s">
        <v>911</v>
      </c>
      <c r="J223" s="7" t="s">
        <v>819</v>
      </c>
      <c r="K223" s="7"/>
      <c r="L223" s="7"/>
      <c r="M223" s="7"/>
      <c r="N223" s="8" t="s">
        <v>35</v>
      </c>
      <c r="O223" s="8"/>
      <c r="P223" s="9"/>
      <c r="Q223" s="10" t="s">
        <v>36</v>
      </c>
      <c r="R223" s="8"/>
      <c r="S223" s="8"/>
      <c r="T223" s="8" t="s">
        <v>958</v>
      </c>
      <c r="U223" s="8"/>
      <c r="V223" s="8"/>
      <c r="W223" s="8"/>
      <c r="X223" s="8"/>
      <c r="Y223" s="8"/>
      <c r="Z223" s="8"/>
      <c r="AA223" s="8"/>
      <c r="AB223" s="8"/>
      <c r="AC223" s="8"/>
      <c r="AD223" s="7"/>
      <c r="AE223" s="7"/>
    </row>
    <row r="224" spans="1:31" ht="26.25" customHeight="1">
      <c r="A224" s="5">
        <v>223</v>
      </c>
      <c r="B224" s="6">
        <v>46190</v>
      </c>
      <c r="C224" s="7" t="s">
        <v>959</v>
      </c>
      <c r="D224" s="7" t="s">
        <v>960</v>
      </c>
      <c r="E224" s="8">
        <v>9820696983</v>
      </c>
      <c r="F224" s="8" t="s">
        <v>101</v>
      </c>
      <c r="G224" s="8">
        <v>45</v>
      </c>
      <c r="H224" s="7"/>
      <c r="I224" s="7" t="s">
        <v>911</v>
      </c>
      <c r="J224" s="7" t="s">
        <v>819</v>
      </c>
      <c r="K224" s="7"/>
      <c r="L224" s="7"/>
      <c r="M224" s="7"/>
      <c r="N224" s="8" t="s">
        <v>35</v>
      </c>
      <c r="O224" s="8"/>
      <c r="P224" s="9"/>
      <c r="Q224" s="10" t="s">
        <v>36</v>
      </c>
      <c r="R224" s="8"/>
      <c r="S224" s="8"/>
      <c r="T224" s="8" t="s">
        <v>502</v>
      </c>
      <c r="U224" s="8"/>
      <c r="V224" s="8"/>
      <c r="W224" s="8"/>
      <c r="X224" s="8"/>
      <c r="Y224" s="8"/>
      <c r="Z224" s="8"/>
      <c r="AA224" s="8"/>
      <c r="AB224" s="8"/>
      <c r="AC224" s="8"/>
      <c r="AD224" s="7"/>
      <c r="AE224" s="7"/>
    </row>
    <row r="225" spans="1:31" ht="26.25" customHeight="1">
      <c r="A225" s="5">
        <v>224</v>
      </c>
      <c r="B225" s="6">
        <v>46190</v>
      </c>
      <c r="C225" s="7" t="s">
        <v>961</v>
      </c>
      <c r="D225" s="7" t="s">
        <v>962</v>
      </c>
      <c r="E225" s="8">
        <v>9238334900</v>
      </c>
      <c r="F225" s="8" t="s">
        <v>963</v>
      </c>
      <c r="G225" s="8">
        <v>100</v>
      </c>
      <c r="H225" s="7"/>
      <c r="I225" s="7" t="s">
        <v>772</v>
      </c>
      <c r="J225" s="7" t="s">
        <v>964</v>
      </c>
      <c r="K225" s="7"/>
      <c r="L225" s="7"/>
      <c r="M225" s="7"/>
      <c r="N225" s="8" t="s">
        <v>35</v>
      </c>
      <c r="O225" s="8"/>
      <c r="P225" s="9"/>
      <c r="Q225" s="10" t="s">
        <v>36</v>
      </c>
      <c r="R225" s="8"/>
      <c r="S225" s="8"/>
      <c r="T225" s="8" t="s">
        <v>725</v>
      </c>
      <c r="U225" s="8"/>
      <c r="V225" s="8"/>
      <c r="W225" s="8"/>
      <c r="X225" s="8"/>
      <c r="Y225" s="8"/>
      <c r="Z225" s="8"/>
      <c r="AA225" s="8"/>
      <c r="AB225" s="8"/>
      <c r="AC225" s="8"/>
      <c r="AD225" s="7"/>
      <c r="AE225" s="7"/>
    </row>
    <row r="226" spans="1:31" ht="45.75" customHeight="1">
      <c r="A226" s="5">
        <v>225</v>
      </c>
      <c r="B226" s="6">
        <v>46190</v>
      </c>
      <c r="C226" s="7" t="s">
        <v>965</v>
      </c>
      <c r="D226" s="7" t="s">
        <v>966</v>
      </c>
      <c r="E226" s="8">
        <v>9444054547</v>
      </c>
      <c r="F226" s="8" t="s">
        <v>325</v>
      </c>
      <c r="G226" s="8">
        <v>25</v>
      </c>
      <c r="H226" s="7"/>
      <c r="I226" s="7" t="s">
        <v>694</v>
      </c>
      <c r="J226" s="7" t="s">
        <v>967</v>
      </c>
      <c r="K226" s="7"/>
      <c r="L226" s="7"/>
      <c r="M226" s="7"/>
      <c r="N226" s="8" t="s">
        <v>35</v>
      </c>
      <c r="O226" s="8"/>
      <c r="P226" s="9"/>
      <c r="Q226" s="10" t="s">
        <v>36</v>
      </c>
      <c r="R226" s="8"/>
      <c r="S226" s="8"/>
      <c r="T226" s="8" t="s">
        <v>725</v>
      </c>
      <c r="U226" s="8"/>
      <c r="V226" s="8"/>
      <c r="W226" s="8"/>
      <c r="X226" s="8"/>
      <c r="Y226" s="8"/>
      <c r="Z226" s="8"/>
      <c r="AA226" s="8"/>
      <c r="AB226" s="8"/>
      <c r="AC226" s="8"/>
      <c r="AD226" s="7"/>
      <c r="AE226" s="7"/>
    </row>
    <row r="227" spans="1:31" ht="26.25" customHeight="1">
      <c r="A227" s="5">
        <v>226</v>
      </c>
      <c r="B227" s="6">
        <v>46190</v>
      </c>
      <c r="C227" s="7" t="s">
        <v>968</v>
      </c>
      <c r="D227" s="7" t="s">
        <v>969</v>
      </c>
      <c r="E227" s="8">
        <v>9975570005</v>
      </c>
      <c r="F227" s="8" t="s">
        <v>215</v>
      </c>
      <c r="G227" s="8">
        <v>110</v>
      </c>
      <c r="H227" s="7"/>
      <c r="I227" s="7" t="s">
        <v>694</v>
      </c>
      <c r="J227" s="7" t="s">
        <v>970</v>
      </c>
      <c r="K227" s="7"/>
      <c r="L227" s="7"/>
      <c r="M227" s="7"/>
      <c r="N227" s="8" t="s">
        <v>35</v>
      </c>
      <c r="O227" s="8"/>
      <c r="P227" s="9"/>
      <c r="Q227" s="10" t="s">
        <v>36</v>
      </c>
      <c r="R227" s="8"/>
      <c r="S227" s="8"/>
      <c r="T227" s="8" t="s">
        <v>502</v>
      </c>
      <c r="U227" s="8"/>
      <c r="V227" s="8"/>
      <c r="W227" s="8"/>
      <c r="X227" s="8"/>
      <c r="Y227" s="8"/>
      <c r="Z227" s="8"/>
      <c r="AA227" s="8"/>
      <c r="AB227" s="8"/>
      <c r="AC227" s="8"/>
      <c r="AD227" s="7"/>
      <c r="AE227" s="7"/>
    </row>
    <row r="228" spans="1:31" ht="26.25" customHeight="1">
      <c r="A228" s="5">
        <v>227</v>
      </c>
      <c r="B228" s="6">
        <v>46190</v>
      </c>
      <c r="C228" s="7" t="s">
        <v>971</v>
      </c>
      <c r="D228" s="7" t="s">
        <v>972</v>
      </c>
      <c r="E228" s="8">
        <v>8072792720</v>
      </c>
      <c r="F228" s="8" t="s">
        <v>287</v>
      </c>
      <c r="G228" s="8">
        <v>50</v>
      </c>
      <c r="H228" s="7"/>
      <c r="I228" s="7" t="s">
        <v>911</v>
      </c>
      <c r="J228" s="7" t="s">
        <v>973</v>
      </c>
      <c r="K228" s="7"/>
      <c r="L228" s="7"/>
      <c r="M228" s="7"/>
      <c r="N228" s="8" t="s">
        <v>35</v>
      </c>
      <c r="O228" s="8"/>
      <c r="P228" s="9"/>
      <c r="Q228" s="10" t="s">
        <v>36</v>
      </c>
      <c r="R228" s="8"/>
      <c r="S228" s="8"/>
      <c r="T228" s="8" t="s">
        <v>725</v>
      </c>
      <c r="U228" s="8"/>
      <c r="V228" s="8"/>
      <c r="W228" s="8"/>
      <c r="X228" s="8"/>
      <c r="Y228" s="8"/>
      <c r="Z228" s="8"/>
      <c r="AA228" s="8"/>
      <c r="AB228" s="8"/>
      <c r="AC228" s="8"/>
      <c r="AD228" s="7"/>
      <c r="AE228" s="7"/>
    </row>
    <row r="229" spans="1:31" ht="26.25" customHeight="1">
      <c r="A229" s="5">
        <v>228</v>
      </c>
      <c r="B229" s="6">
        <v>46190</v>
      </c>
      <c r="C229" s="7" t="s">
        <v>974</v>
      </c>
      <c r="D229" s="7" t="s">
        <v>975</v>
      </c>
      <c r="E229" s="8">
        <v>9845201483</v>
      </c>
      <c r="F229" s="8" t="s">
        <v>110</v>
      </c>
      <c r="G229" s="8">
        <v>20</v>
      </c>
      <c r="H229" s="7"/>
      <c r="I229" s="7" t="s">
        <v>911</v>
      </c>
      <c r="J229" s="7" t="s">
        <v>976</v>
      </c>
      <c r="K229" s="7"/>
      <c r="L229" s="7"/>
      <c r="M229" s="7"/>
      <c r="N229" s="8" t="s">
        <v>35</v>
      </c>
      <c r="O229" s="8"/>
      <c r="P229" s="9"/>
      <c r="Q229" s="10" t="s">
        <v>36</v>
      </c>
      <c r="R229" s="8"/>
      <c r="S229" s="8"/>
      <c r="T229" s="8" t="s">
        <v>736</v>
      </c>
      <c r="U229" s="8"/>
      <c r="V229" s="8"/>
      <c r="W229" s="8"/>
      <c r="X229" s="8"/>
      <c r="Y229" s="8"/>
      <c r="Z229" s="8"/>
      <c r="AA229" s="8"/>
      <c r="AB229" s="8"/>
      <c r="AC229" s="8"/>
      <c r="AD229" s="7"/>
      <c r="AE229" s="7"/>
    </row>
    <row r="230" spans="1:31" ht="26.25" customHeight="1">
      <c r="A230" s="5">
        <v>229</v>
      </c>
      <c r="B230" s="6">
        <v>46190</v>
      </c>
      <c r="C230" s="7" t="s">
        <v>977</v>
      </c>
      <c r="D230" s="7"/>
      <c r="E230" s="8">
        <v>8807199511</v>
      </c>
      <c r="F230" s="8" t="s">
        <v>947</v>
      </c>
      <c r="G230" s="8">
        <v>20</v>
      </c>
      <c r="H230" s="7"/>
      <c r="I230" s="7" t="s">
        <v>694</v>
      </c>
      <c r="J230" s="7" t="s">
        <v>978</v>
      </c>
      <c r="K230" s="7"/>
      <c r="L230" s="7"/>
      <c r="M230" s="7"/>
      <c r="N230" s="8" t="s">
        <v>35</v>
      </c>
      <c r="O230" s="8"/>
      <c r="P230" s="9"/>
      <c r="Q230" s="10" t="s">
        <v>307</v>
      </c>
      <c r="R230" s="8"/>
      <c r="S230" s="8"/>
      <c r="T230" s="8" t="s">
        <v>958</v>
      </c>
      <c r="U230" s="8"/>
      <c r="V230" s="8"/>
      <c r="W230" s="8"/>
      <c r="X230" s="8"/>
      <c r="Y230" s="8"/>
      <c r="Z230" s="8"/>
      <c r="AA230" s="8"/>
      <c r="AB230" s="8"/>
      <c r="AC230" s="8"/>
      <c r="AD230" s="7"/>
      <c r="AE230" s="7"/>
    </row>
    <row r="231" spans="1:31" ht="26.25" customHeight="1">
      <c r="A231" s="5">
        <v>230</v>
      </c>
      <c r="B231" s="6">
        <v>46190</v>
      </c>
      <c r="C231" s="7" t="s">
        <v>979</v>
      </c>
      <c r="D231" s="7"/>
      <c r="E231" s="8">
        <v>9937377508</v>
      </c>
      <c r="F231" s="8" t="s">
        <v>980</v>
      </c>
      <c r="G231" s="8">
        <v>500</v>
      </c>
      <c r="H231" s="7"/>
      <c r="I231" s="7" t="s">
        <v>981</v>
      </c>
      <c r="J231" s="7" t="s">
        <v>982</v>
      </c>
      <c r="K231" s="7"/>
      <c r="L231" s="7"/>
      <c r="M231" s="7"/>
      <c r="N231" s="8" t="s">
        <v>35</v>
      </c>
      <c r="O231" s="8"/>
      <c r="P231" s="9"/>
      <c r="Q231" s="10" t="s">
        <v>36</v>
      </c>
      <c r="R231" s="8"/>
      <c r="S231" s="8"/>
      <c r="T231" s="8" t="s">
        <v>736</v>
      </c>
      <c r="U231" s="8" t="s">
        <v>38</v>
      </c>
      <c r="V231" s="8"/>
      <c r="W231" s="8"/>
      <c r="X231" s="8"/>
      <c r="Y231" s="8"/>
      <c r="Z231" s="8"/>
      <c r="AA231" s="8"/>
      <c r="AB231" s="8"/>
      <c r="AC231" s="8"/>
      <c r="AD231" s="7"/>
      <c r="AE231" s="7"/>
    </row>
    <row r="232" spans="1:31" ht="26.25" customHeight="1">
      <c r="A232" s="5">
        <v>231</v>
      </c>
      <c r="B232" s="6">
        <v>46190</v>
      </c>
      <c r="C232" s="7" t="s">
        <v>983</v>
      </c>
      <c r="D232" s="7" t="s">
        <v>984</v>
      </c>
      <c r="E232" s="8">
        <v>9021488888</v>
      </c>
      <c r="F232" s="8" t="s">
        <v>985</v>
      </c>
      <c r="G232" s="8">
        <v>28</v>
      </c>
      <c r="H232" s="7"/>
      <c r="I232" s="7" t="s">
        <v>694</v>
      </c>
      <c r="J232" s="7" t="s">
        <v>768</v>
      </c>
      <c r="K232" s="7"/>
      <c r="L232" s="7"/>
      <c r="M232" s="7"/>
      <c r="N232" s="8" t="s">
        <v>35</v>
      </c>
      <c r="O232" s="8"/>
      <c r="P232" s="9"/>
      <c r="Q232" s="10" t="s">
        <v>36</v>
      </c>
      <c r="R232" s="8"/>
      <c r="S232" s="8"/>
      <c r="T232" s="8" t="s">
        <v>502</v>
      </c>
      <c r="U232" s="8"/>
      <c r="V232" s="8"/>
      <c r="W232" s="8"/>
      <c r="X232" s="8"/>
      <c r="Y232" s="8"/>
      <c r="Z232" s="8"/>
      <c r="AA232" s="8"/>
      <c r="AB232" s="8"/>
      <c r="AC232" s="8"/>
      <c r="AD232" s="7"/>
      <c r="AE232" s="7"/>
    </row>
    <row r="233" spans="1:31" ht="26.25" customHeight="1">
      <c r="A233" s="5">
        <v>232</v>
      </c>
      <c r="B233" s="6">
        <v>46190</v>
      </c>
      <c r="C233" s="7" t="s">
        <v>986</v>
      </c>
      <c r="D233" s="7"/>
      <c r="E233" s="8">
        <v>9304721469</v>
      </c>
      <c r="F233" s="8" t="s">
        <v>987</v>
      </c>
      <c r="G233" s="8">
        <v>70</v>
      </c>
      <c r="H233" s="7"/>
      <c r="I233" s="7" t="s">
        <v>772</v>
      </c>
      <c r="J233" s="7" t="s">
        <v>988</v>
      </c>
      <c r="K233" s="7"/>
      <c r="L233" s="7"/>
      <c r="M233" s="7"/>
      <c r="N233" s="8" t="s">
        <v>35</v>
      </c>
      <c r="O233" s="8"/>
      <c r="P233" s="9"/>
      <c r="Q233" s="10" t="s">
        <v>36</v>
      </c>
      <c r="R233" s="8"/>
      <c r="S233" s="8"/>
      <c r="T233" s="8" t="s">
        <v>736</v>
      </c>
      <c r="U233" s="8"/>
      <c r="V233" s="8"/>
      <c r="W233" s="8"/>
      <c r="X233" s="8"/>
      <c r="Y233" s="8"/>
      <c r="Z233" s="8"/>
      <c r="AA233" s="8"/>
      <c r="AB233" s="8"/>
      <c r="AC233" s="8"/>
      <c r="AD233" s="7"/>
      <c r="AE233" s="7"/>
    </row>
    <row r="234" spans="1:31" ht="26.25" customHeight="1">
      <c r="A234" s="5">
        <v>233</v>
      </c>
      <c r="B234" s="6">
        <v>46190</v>
      </c>
      <c r="C234" s="7" t="s">
        <v>989</v>
      </c>
      <c r="D234" s="7" t="s">
        <v>990</v>
      </c>
      <c r="E234" s="8">
        <v>9355999908</v>
      </c>
      <c r="F234" s="8" t="s">
        <v>427</v>
      </c>
      <c r="G234" s="8">
        <v>200</v>
      </c>
      <c r="H234" s="7"/>
      <c r="I234" s="7" t="s">
        <v>694</v>
      </c>
      <c r="J234" s="7" t="s">
        <v>988</v>
      </c>
      <c r="K234" s="7"/>
      <c r="L234" s="7"/>
      <c r="M234" s="7"/>
      <c r="N234" s="8" t="s">
        <v>35</v>
      </c>
      <c r="O234" s="8"/>
      <c r="P234" s="9"/>
      <c r="Q234" s="10" t="s">
        <v>36</v>
      </c>
      <c r="R234" s="8"/>
      <c r="S234" s="8"/>
      <c r="T234" s="8" t="s">
        <v>725</v>
      </c>
      <c r="U234" s="8" t="s">
        <v>38</v>
      </c>
      <c r="V234" s="8"/>
      <c r="W234" s="8"/>
      <c r="X234" s="8"/>
      <c r="Y234" s="8"/>
      <c r="Z234" s="8"/>
      <c r="AA234" s="8"/>
      <c r="AB234" s="8"/>
      <c r="AC234" s="8"/>
      <c r="AD234" s="7"/>
      <c r="AE234" s="7"/>
    </row>
    <row r="235" spans="1:31" ht="26.25" customHeight="1">
      <c r="A235" s="5">
        <v>234</v>
      </c>
      <c r="B235" s="6">
        <v>46190</v>
      </c>
      <c r="C235" s="7" t="s">
        <v>991</v>
      </c>
      <c r="D235" s="7" t="s">
        <v>992</v>
      </c>
      <c r="E235" s="8">
        <v>9849447460</v>
      </c>
      <c r="F235" s="8" t="s">
        <v>316</v>
      </c>
      <c r="G235" s="8">
        <v>50</v>
      </c>
      <c r="H235" s="7"/>
      <c r="I235" s="7" t="s">
        <v>694</v>
      </c>
      <c r="J235" s="7" t="s">
        <v>768</v>
      </c>
      <c r="K235" s="7"/>
      <c r="L235" s="7"/>
      <c r="M235" s="7"/>
      <c r="N235" s="8" t="s">
        <v>35</v>
      </c>
      <c r="O235" s="8"/>
      <c r="P235" s="9"/>
      <c r="Q235" s="10" t="s">
        <v>36</v>
      </c>
      <c r="R235" s="8"/>
      <c r="S235" s="8"/>
      <c r="T235" s="8" t="s">
        <v>725</v>
      </c>
      <c r="U235" s="8"/>
      <c r="V235" s="8"/>
      <c r="W235" s="8"/>
      <c r="X235" s="8"/>
      <c r="Y235" s="8"/>
      <c r="Z235" s="8"/>
      <c r="AA235" s="8"/>
      <c r="AB235" s="8"/>
      <c r="AC235" s="8"/>
      <c r="AD235" s="7"/>
      <c r="AE235" s="7"/>
    </row>
    <row r="236" spans="1:31" ht="26.25" customHeight="1">
      <c r="A236" s="5">
        <v>235</v>
      </c>
      <c r="B236" s="6">
        <v>46190</v>
      </c>
      <c r="C236" s="7" t="s">
        <v>993</v>
      </c>
      <c r="D236" s="7" t="s">
        <v>994</v>
      </c>
      <c r="E236" s="8">
        <v>9821030907</v>
      </c>
      <c r="F236" s="8" t="s">
        <v>101</v>
      </c>
      <c r="G236" s="8">
        <v>100</v>
      </c>
      <c r="H236" s="7"/>
      <c r="I236" s="7" t="s">
        <v>772</v>
      </c>
      <c r="J236" s="7" t="s">
        <v>768</v>
      </c>
      <c r="K236" s="7"/>
      <c r="L236" s="7"/>
      <c r="M236" s="7"/>
      <c r="N236" s="8" t="s">
        <v>35</v>
      </c>
      <c r="O236" s="8"/>
      <c r="P236" s="9"/>
      <c r="Q236" s="10" t="s">
        <v>36</v>
      </c>
      <c r="R236" s="8"/>
      <c r="S236" s="8"/>
      <c r="T236" s="8" t="s">
        <v>958</v>
      </c>
      <c r="U236" s="8"/>
      <c r="V236" s="8"/>
      <c r="W236" s="8"/>
      <c r="X236" s="8"/>
      <c r="Y236" s="8"/>
      <c r="Z236" s="8"/>
      <c r="AA236" s="8"/>
      <c r="AB236" s="8"/>
      <c r="AC236" s="8"/>
      <c r="AD236" s="7"/>
      <c r="AE236" s="7"/>
    </row>
    <row r="237" spans="1:31" ht="26.25" customHeight="1">
      <c r="A237" s="5">
        <v>236</v>
      </c>
      <c r="B237" s="6">
        <v>46190</v>
      </c>
      <c r="C237" s="7" t="s">
        <v>995</v>
      </c>
      <c r="D237" s="7" t="s">
        <v>996</v>
      </c>
      <c r="E237" s="8">
        <v>9729200001</v>
      </c>
      <c r="F237" s="8" t="s">
        <v>997</v>
      </c>
      <c r="G237" s="8">
        <v>700</v>
      </c>
      <c r="H237" s="7"/>
      <c r="I237" s="7" t="s">
        <v>694</v>
      </c>
      <c r="J237" s="7" t="s">
        <v>998</v>
      </c>
      <c r="K237" s="7"/>
      <c r="L237" s="7"/>
      <c r="M237" s="7"/>
      <c r="N237" s="8" t="s">
        <v>35</v>
      </c>
      <c r="O237" s="8"/>
      <c r="P237" s="9"/>
      <c r="Q237" s="10" t="s">
        <v>36</v>
      </c>
      <c r="R237" s="8"/>
      <c r="S237" s="8"/>
      <c r="T237" s="8" t="s">
        <v>725</v>
      </c>
      <c r="U237" s="8" t="s">
        <v>173</v>
      </c>
      <c r="V237" s="8"/>
      <c r="W237" s="8"/>
      <c r="X237" s="8"/>
      <c r="Y237" s="8"/>
      <c r="Z237" s="8"/>
      <c r="AA237" s="8"/>
      <c r="AB237" s="8"/>
      <c r="AC237" s="8"/>
      <c r="AD237" s="7"/>
      <c r="AE237" s="7"/>
    </row>
    <row r="238" spans="1:31" ht="26.25" customHeight="1">
      <c r="A238" s="5">
        <v>237</v>
      </c>
      <c r="B238" s="6">
        <v>46190</v>
      </c>
      <c r="C238" s="7" t="s">
        <v>999</v>
      </c>
      <c r="D238" s="7" t="s">
        <v>1000</v>
      </c>
      <c r="E238" s="8">
        <v>9438358401</v>
      </c>
      <c r="F238" s="8" t="s">
        <v>1001</v>
      </c>
      <c r="G238" s="8"/>
      <c r="H238" s="7"/>
      <c r="I238" s="7" t="s">
        <v>911</v>
      </c>
      <c r="J238" s="7" t="s">
        <v>768</v>
      </c>
      <c r="K238" s="7"/>
      <c r="L238" s="7"/>
      <c r="M238" s="7"/>
      <c r="N238" s="8" t="s">
        <v>35</v>
      </c>
      <c r="O238" s="8"/>
      <c r="P238" s="9"/>
      <c r="Q238" s="10" t="s">
        <v>36</v>
      </c>
      <c r="R238" s="8"/>
      <c r="S238" s="8"/>
      <c r="T238" s="8" t="s">
        <v>725</v>
      </c>
      <c r="U238" s="8"/>
      <c r="V238" s="8"/>
      <c r="W238" s="8"/>
      <c r="X238" s="8"/>
      <c r="Y238" s="8"/>
      <c r="Z238" s="8"/>
      <c r="AA238" s="8"/>
      <c r="AB238" s="8"/>
      <c r="AC238" s="8"/>
      <c r="AD238" s="7"/>
      <c r="AE238" s="7"/>
    </row>
    <row r="239" spans="1:31" ht="26.25" customHeight="1">
      <c r="A239" s="5">
        <v>238</v>
      </c>
      <c r="B239" s="6">
        <v>46190</v>
      </c>
      <c r="C239" s="7" t="s">
        <v>1002</v>
      </c>
      <c r="D239" s="7" t="s">
        <v>1003</v>
      </c>
      <c r="E239" s="8">
        <v>9337832114</v>
      </c>
      <c r="F239" s="8" t="s">
        <v>1001</v>
      </c>
      <c r="G239" s="8">
        <v>20</v>
      </c>
      <c r="H239" s="7"/>
      <c r="I239" s="7" t="s">
        <v>911</v>
      </c>
      <c r="J239" s="7" t="s">
        <v>1004</v>
      </c>
      <c r="K239" s="7"/>
      <c r="L239" s="7"/>
      <c r="M239" s="7"/>
      <c r="N239" s="8" t="s">
        <v>35</v>
      </c>
      <c r="O239" s="8"/>
      <c r="P239" s="9"/>
      <c r="Q239" s="10" t="s">
        <v>36</v>
      </c>
      <c r="R239" s="8"/>
      <c r="S239" s="8"/>
      <c r="T239" s="8" t="s">
        <v>958</v>
      </c>
      <c r="U239" s="8"/>
      <c r="V239" s="8"/>
      <c r="W239" s="8"/>
      <c r="X239" s="8"/>
      <c r="Y239" s="8"/>
      <c r="Z239" s="8"/>
      <c r="AA239" s="8"/>
      <c r="AB239" s="8"/>
      <c r="AC239" s="8"/>
      <c r="AD239" s="7"/>
      <c r="AE239" s="7"/>
    </row>
    <row r="240" spans="1:31" ht="26.25" customHeight="1">
      <c r="A240" s="5">
        <v>239</v>
      </c>
      <c r="B240" s="6">
        <v>46190</v>
      </c>
      <c r="C240" s="7" t="s">
        <v>1005</v>
      </c>
      <c r="D240" s="7"/>
      <c r="E240" s="8">
        <v>9494222666</v>
      </c>
      <c r="F240" s="8" t="s">
        <v>1006</v>
      </c>
      <c r="G240" s="8">
        <v>6</v>
      </c>
      <c r="H240" s="7"/>
      <c r="I240" s="7" t="s">
        <v>911</v>
      </c>
      <c r="J240" s="7" t="s">
        <v>768</v>
      </c>
      <c r="K240" s="7"/>
      <c r="L240" s="7"/>
      <c r="M240" s="7"/>
      <c r="N240" s="8" t="s">
        <v>35</v>
      </c>
      <c r="O240" s="8"/>
      <c r="P240" s="9"/>
      <c r="Q240" s="10" t="s">
        <v>36</v>
      </c>
      <c r="R240" s="8"/>
      <c r="S240" s="8"/>
      <c r="T240" s="8" t="s">
        <v>958</v>
      </c>
      <c r="U240" s="8"/>
      <c r="V240" s="8"/>
      <c r="W240" s="8"/>
      <c r="X240" s="8"/>
      <c r="Y240" s="8"/>
      <c r="Z240" s="8"/>
      <c r="AA240" s="8"/>
      <c r="AB240" s="8"/>
      <c r="AC240" s="8"/>
      <c r="AD240" s="7"/>
      <c r="AE240" s="7"/>
    </row>
    <row r="241" spans="1:31" ht="26.25" customHeight="1">
      <c r="A241" s="5">
        <v>240</v>
      </c>
      <c r="B241" s="6">
        <v>46190</v>
      </c>
      <c r="C241" s="7" t="s">
        <v>1007</v>
      </c>
      <c r="D241" s="7" t="s">
        <v>1008</v>
      </c>
      <c r="E241" s="8">
        <v>7807849356</v>
      </c>
      <c r="F241" s="8" t="s">
        <v>1009</v>
      </c>
      <c r="G241" s="8">
        <v>300</v>
      </c>
      <c r="H241" s="7"/>
      <c r="I241" s="7" t="s">
        <v>911</v>
      </c>
      <c r="J241" s="7" t="s">
        <v>1010</v>
      </c>
      <c r="K241" s="7"/>
      <c r="L241" s="7"/>
      <c r="M241" s="7"/>
      <c r="N241" s="8" t="s">
        <v>35</v>
      </c>
      <c r="O241" s="8"/>
      <c r="P241" s="9"/>
      <c r="Q241" s="10" t="s">
        <v>36</v>
      </c>
      <c r="R241" s="8"/>
      <c r="S241" s="8"/>
      <c r="T241" s="8" t="s">
        <v>502</v>
      </c>
      <c r="U241" s="8" t="s">
        <v>378</v>
      </c>
      <c r="V241" s="8"/>
      <c r="W241" s="8"/>
      <c r="X241" s="8"/>
      <c r="Y241" s="8"/>
      <c r="Z241" s="8"/>
      <c r="AA241" s="8"/>
      <c r="AB241" s="8"/>
      <c r="AC241" s="8"/>
      <c r="AD241" s="7"/>
      <c r="AE241" s="7"/>
    </row>
    <row r="242" spans="1:31" ht="26.25" customHeight="1">
      <c r="A242" s="5">
        <v>241</v>
      </c>
      <c r="B242" s="6">
        <v>46190</v>
      </c>
      <c r="C242" s="7" t="s">
        <v>1011</v>
      </c>
      <c r="D242" s="7" t="s">
        <v>1012</v>
      </c>
      <c r="E242" s="8">
        <v>9640691518</v>
      </c>
      <c r="F242" s="8" t="s">
        <v>1013</v>
      </c>
      <c r="G242" s="8">
        <v>100</v>
      </c>
      <c r="H242" s="7"/>
      <c r="I242" s="7" t="s">
        <v>911</v>
      </c>
      <c r="J242" s="7" t="s">
        <v>1014</v>
      </c>
      <c r="K242" s="7"/>
      <c r="L242" s="7"/>
      <c r="M242" s="7"/>
      <c r="N242" s="8" t="s">
        <v>35</v>
      </c>
      <c r="O242" s="8"/>
      <c r="P242" s="9"/>
      <c r="Q242" s="10" t="s">
        <v>36</v>
      </c>
      <c r="R242" s="8"/>
      <c r="S242" s="8"/>
      <c r="T242" s="8" t="s">
        <v>736</v>
      </c>
      <c r="U242" s="8"/>
      <c r="V242" s="8"/>
      <c r="W242" s="8"/>
      <c r="X242" s="8"/>
      <c r="Y242" s="8"/>
      <c r="Z242" s="8"/>
      <c r="AA242" s="8"/>
      <c r="AB242" s="8"/>
      <c r="AC242" s="8"/>
      <c r="AD242" s="7"/>
      <c r="AE242" s="7"/>
    </row>
    <row r="243" spans="1:31" ht="26.25" customHeight="1">
      <c r="A243" s="5">
        <v>242</v>
      </c>
      <c r="B243" s="6">
        <v>46190</v>
      </c>
      <c r="C243" s="7" t="s">
        <v>1015</v>
      </c>
      <c r="D243" s="7" t="s">
        <v>1016</v>
      </c>
      <c r="E243" s="8">
        <v>9325545569</v>
      </c>
      <c r="F243" s="8"/>
      <c r="G243" s="8"/>
      <c r="H243" s="7"/>
      <c r="I243" s="7" t="s">
        <v>911</v>
      </c>
      <c r="J243" s="7" t="s">
        <v>768</v>
      </c>
      <c r="K243" s="7"/>
      <c r="L243" s="7"/>
      <c r="M243" s="7"/>
      <c r="N243" s="8" t="s">
        <v>35</v>
      </c>
      <c r="O243" s="8"/>
      <c r="P243" s="9"/>
      <c r="Q243" s="10" t="s">
        <v>36</v>
      </c>
      <c r="R243" s="8"/>
      <c r="S243" s="8"/>
      <c r="T243" s="8" t="s">
        <v>725</v>
      </c>
      <c r="U243" s="8"/>
      <c r="V243" s="8"/>
      <c r="W243" s="8"/>
      <c r="X243" s="8"/>
      <c r="Y243" s="8"/>
      <c r="Z243" s="8"/>
      <c r="AA243" s="8"/>
      <c r="AB243" s="8"/>
      <c r="AC243" s="8"/>
      <c r="AD243" s="7"/>
      <c r="AE243" s="7"/>
    </row>
    <row r="244" spans="1:31" ht="26.25" customHeight="1">
      <c r="A244" s="5">
        <v>243</v>
      </c>
      <c r="B244" s="6">
        <v>46190</v>
      </c>
      <c r="C244" s="7" t="s">
        <v>1017</v>
      </c>
      <c r="D244" s="7" t="s">
        <v>1018</v>
      </c>
      <c r="E244" s="8">
        <v>8121331504</v>
      </c>
      <c r="F244" s="8" t="s">
        <v>110</v>
      </c>
      <c r="G244" s="8"/>
      <c r="H244" s="7"/>
      <c r="I244" s="7" t="s">
        <v>911</v>
      </c>
      <c r="J244" s="7" t="s">
        <v>1019</v>
      </c>
      <c r="K244" s="7"/>
      <c r="L244" s="7"/>
      <c r="M244" s="7"/>
      <c r="N244" s="8" t="s">
        <v>35</v>
      </c>
      <c r="O244" s="8"/>
      <c r="P244" s="9"/>
      <c r="Q244" s="10" t="s">
        <v>36</v>
      </c>
      <c r="R244" s="8"/>
      <c r="S244" s="8"/>
      <c r="T244" s="8" t="s">
        <v>736</v>
      </c>
      <c r="U244" s="8" t="s">
        <v>378</v>
      </c>
      <c r="V244" s="8"/>
      <c r="W244" s="8"/>
      <c r="X244" s="8"/>
      <c r="Y244" s="8"/>
      <c r="Z244" s="8"/>
      <c r="AA244" s="8"/>
      <c r="AB244" s="8"/>
      <c r="AC244" s="8"/>
      <c r="AD244" s="7"/>
      <c r="AE244" s="7"/>
    </row>
    <row r="245" spans="1:31" ht="26.25" customHeight="1">
      <c r="A245" s="5">
        <v>244</v>
      </c>
      <c r="B245" s="6">
        <v>46191</v>
      </c>
      <c r="C245" s="7" t="s">
        <v>1020</v>
      </c>
      <c r="D245" s="7"/>
      <c r="E245" s="8">
        <v>9933087270</v>
      </c>
      <c r="F245" s="8" t="s">
        <v>1021</v>
      </c>
      <c r="G245" s="8">
        <v>100</v>
      </c>
      <c r="H245" s="7"/>
      <c r="I245" s="7" t="s">
        <v>694</v>
      </c>
      <c r="J245" s="7" t="s">
        <v>1022</v>
      </c>
      <c r="K245" s="7"/>
      <c r="L245" s="7"/>
      <c r="M245" s="7"/>
      <c r="N245" s="8" t="s">
        <v>35</v>
      </c>
      <c r="O245" s="8"/>
      <c r="P245" s="9"/>
      <c r="Q245" s="10" t="s">
        <v>36</v>
      </c>
      <c r="R245" s="8"/>
      <c r="S245" s="8"/>
      <c r="T245" s="8" t="s">
        <v>958</v>
      </c>
      <c r="U245" s="8" t="s">
        <v>38</v>
      </c>
      <c r="V245" s="8"/>
      <c r="W245" s="8"/>
      <c r="X245" s="8"/>
      <c r="Y245" s="8"/>
      <c r="Z245" s="8"/>
      <c r="AA245" s="8"/>
      <c r="AB245" s="8"/>
      <c r="AC245" s="8"/>
      <c r="AD245" s="7"/>
      <c r="AE245" s="7"/>
    </row>
    <row r="246" spans="1:31" ht="26.25" customHeight="1">
      <c r="A246" s="5">
        <v>245</v>
      </c>
      <c r="B246" s="6">
        <v>46191</v>
      </c>
      <c r="C246" s="7" t="s">
        <v>282</v>
      </c>
      <c r="D246" s="7" t="s">
        <v>1023</v>
      </c>
      <c r="E246" s="8">
        <v>9531887787</v>
      </c>
      <c r="F246" s="8" t="s">
        <v>553</v>
      </c>
      <c r="G246" s="8">
        <v>20</v>
      </c>
      <c r="H246" s="7"/>
      <c r="I246" s="7" t="s">
        <v>981</v>
      </c>
      <c r="J246" s="7" t="s">
        <v>1024</v>
      </c>
      <c r="K246" s="7"/>
      <c r="L246" s="7"/>
      <c r="M246" s="7"/>
      <c r="N246" s="8" t="s">
        <v>106</v>
      </c>
      <c r="O246" s="8"/>
      <c r="P246" s="9"/>
      <c r="Q246" s="10" t="s">
        <v>36</v>
      </c>
      <c r="R246" s="8"/>
      <c r="S246" s="8"/>
      <c r="T246" s="8" t="s">
        <v>736</v>
      </c>
      <c r="U246" s="8"/>
      <c r="V246" s="8"/>
      <c r="W246" s="8"/>
      <c r="X246" s="8"/>
      <c r="Y246" s="8"/>
      <c r="Z246" s="8"/>
      <c r="AA246" s="8"/>
      <c r="AB246" s="8"/>
      <c r="AC246" s="8"/>
      <c r="AD246" s="7"/>
      <c r="AE246" s="7"/>
    </row>
    <row r="247" spans="1:31" ht="26.25" customHeight="1">
      <c r="A247" s="5">
        <v>246</v>
      </c>
      <c r="B247" s="6">
        <v>46191</v>
      </c>
      <c r="C247" s="7" t="s">
        <v>1025</v>
      </c>
      <c r="D247" s="7" t="s">
        <v>1026</v>
      </c>
      <c r="E247" s="8">
        <v>9845645656</v>
      </c>
      <c r="F247" s="8" t="s">
        <v>110</v>
      </c>
      <c r="G247" s="8"/>
      <c r="H247" s="7"/>
      <c r="I247" s="7" t="s">
        <v>1027</v>
      </c>
      <c r="J247" s="7" t="s">
        <v>1028</v>
      </c>
      <c r="K247" s="7" t="s">
        <v>1029</v>
      </c>
      <c r="L247" s="7"/>
      <c r="M247" s="7"/>
      <c r="N247" s="8" t="s">
        <v>122</v>
      </c>
      <c r="O247" s="8"/>
      <c r="P247" s="9"/>
      <c r="Q247" s="10" t="s">
        <v>36</v>
      </c>
      <c r="R247" s="8"/>
      <c r="S247" s="8"/>
      <c r="T247" s="8" t="s">
        <v>725</v>
      </c>
      <c r="U247" s="8" t="s">
        <v>38</v>
      </c>
      <c r="V247" s="8"/>
      <c r="W247" s="8"/>
      <c r="X247" s="8"/>
      <c r="Y247" s="8"/>
      <c r="Z247" s="8"/>
      <c r="AA247" s="8"/>
      <c r="AB247" s="8"/>
      <c r="AC247" s="8"/>
      <c r="AD247" s="7"/>
      <c r="AE247" s="7"/>
    </row>
    <row r="248" spans="1:31" ht="26.25" customHeight="1">
      <c r="A248" s="5">
        <v>247</v>
      </c>
      <c r="B248" s="6">
        <v>46191</v>
      </c>
      <c r="C248" s="7" t="s">
        <v>1030</v>
      </c>
      <c r="D248" s="7" t="s">
        <v>1031</v>
      </c>
      <c r="E248" s="8">
        <v>9902379599</v>
      </c>
      <c r="F248" s="8" t="s">
        <v>110</v>
      </c>
      <c r="G248" s="8">
        <v>30</v>
      </c>
      <c r="H248" s="7"/>
      <c r="I248" s="7" t="s">
        <v>772</v>
      </c>
      <c r="J248" s="7" t="s">
        <v>1032</v>
      </c>
      <c r="K248" s="7"/>
      <c r="L248" s="7"/>
      <c r="M248" s="7"/>
      <c r="N248" s="8" t="s">
        <v>35</v>
      </c>
      <c r="O248" s="8"/>
      <c r="P248" s="9"/>
      <c r="Q248" s="10" t="s">
        <v>36</v>
      </c>
      <c r="R248" s="8"/>
      <c r="S248" s="8"/>
      <c r="T248" s="8" t="s">
        <v>725</v>
      </c>
      <c r="U248" s="8"/>
      <c r="V248" s="8"/>
      <c r="W248" s="8"/>
      <c r="X248" s="8"/>
      <c r="Y248" s="8"/>
      <c r="Z248" s="8"/>
      <c r="AA248" s="8"/>
      <c r="AB248" s="8"/>
      <c r="AC248" s="8"/>
      <c r="AD248" s="7"/>
      <c r="AE248" s="7"/>
    </row>
    <row r="249" spans="1:31" ht="26.25" customHeight="1">
      <c r="A249" s="5">
        <v>248</v>
      </c>
      <c r="B249" s="6">
        <v>46191</v>
      </c>
      <c r="C249" s="7" t="s">
        <v>1033</v>
      </c>
      <c r="D249" s="7" t="s">
        <v>1034</v>
      </c>
      <c r="E249" s="8">
        <v>9971302220</v>
      </c>
      <c r="F249" s="8" t="s">
        <v>1035</v>
      </c>
      <c r="G249" s="8"/>
      <c r="H249" s="7"/>
      <c r="I249" s="7" t="s">
        <v>981</v>
      </c>
      <c r="J249" s="7" t="s">
        <v>1032</v>
      </c>
      <c r="K249" s="7"/>
      <c r="L249" s="7"/>
      <c r="M249" s="7"/>
      <c r="N249" s="8" t="s">
        <v>35</v>
      </c>
      <c r="O249" s="8"/>
      <c r="P249" s="9"/>
      <c r="Q249" s="10" t="s">
        <v>36</v>
      </c>
      <c r="R249" s="8"/>
      <c r="S249" s="8"/>
      <c r="T249" s="8" t="s">
        <v>736</v>
      </c>
      <c r="U249" s="8"/>
      <c r="V249" s="8"/>
      <c r="W249" s="8"/>
      <c r="X249" s="8"/>
      <c r="Y249" s="8"/>
      <c r="Z249" s="8"/>
      <c r="AA249" s="8"/>
      <c r="AB249" s="8"/>
      <c r="AC249" s="8"/>
      <c r="AD249" s="7"/>
      <c r="AE249" s="7"/>
    </row>
    <row r="250" spans="1:31" ht="33.75" customHeight="1">
      <c r="A250" s="5">
        <v>249</v>
      </c>
      <c r="B250" s="6">
        <v>46191</v>
      </c>
      <c r="C250" s="7" t="s">
        <v>1036</v>
      </c>
      <c r="D250" s="7" t="s">
        <v>1037</v>
      </c>
      <c r="E250" s="8">
        <v>9149040307</v>
      </c>
      <c r="F250" s="8" t="s">
        <v>1038</v>
      </c>
      <c r="G250" s="8">
        <v>1000</v>
      </c>
      <c r="H250" s="7"/>
      <c r="I250" s="7" t="s">
        <v>694</v>
      </c>
      <c r="J250" s="7" t="s">
        <v>1039</v>
      </c>
      <c r="K250" s="7"/>
      <c r="L250" s="7"/>
      <c r="M250" s="7"/>
      <c r="N250" s="8" t="s">
        <v>35</v>
      </c>
      <c r="O250" s="8"/>
      <c r="P250" s="9"/>
      <c r="Q250" s="10" t="s">
        <v>36</v>
      </c>
      <c r="R250" s="8"/>
      <c r="S250" s="8"/>
      <c r="T250" s="8" t="s">
        <v>725</v>
      </c>
      <c r="U250" s="8" t="s">
        <v>38</v>
      </c>
      <c r="V250" s="8"/>
      <c r="W250" s="8"/>
      <c r="X250" s="8"/>
      <c r="Y250" s="8"/>
      <c r="Z250" s="8"/>
      <c r="AA250" s="8"/>
      <c r="AB250" s="8"/>
      <c r="AC250" s="8"/>
      <c r="AD250" s="7"/>
      <c r="AE250" s="7"/>
    </row>
    <row r="251" spans="1:31" ht="26.25" customHeight="1">
      <c r="A251" s="5">
        <v>250</v>
      </c>
      <c r="B251" s="6">
        <v>46191</v>
      </c>
      <c r="C251" s="7" t="s">
        <v>1040</v>
      </c>
      <c r="D251" s="7" t="s">
        <v>1041</v>
      </c>
      <c r="E251" s="8">
        <v>9829030323</v>
      </c>
      <c r="F251" s="8" t="s">
        <v>1042</v>
      </c>
      <c r="G251" s="8">
        <v>100</v>
      </c>
      <c r="H251" s="7"/>
      <c r="I251" s="7" t="s">
        <v>911</v>
      </c>
      <c r="J251" s="7" t="s">
        <v>1043</v>
      </c>
      <c r="K251" s="7"/>
      <c r="L251" s="7"/>
      <c r="M251" s="7"/>
      <c r="N251" s="8" t="s">
        <v>35</v>
      </c>
      <c r="O251" s="8"/>
      <c r="P251" s="9"/>
      <c r="Q251" s="10" t="s">
        <v>36</v>
      </c>
      <c r="R251" s="8"/>
      <c r="S251" s="8"/>
      <c r="T251" s="8" t="s">
        <v>736</v>
      </c>
      <c r="U251" s="8"/>
      <c r="V251" s="8"/>
      <c r="W251" s="8"/>
      <c r="X251" s="8"/>
      <c r="Y251" s="8"/>
      <c r="Z251" s="8"/>
      <c r="AA251" s="8"/>
      <c r="AB251" s="8"/>
      <c r="AC251" s="8"/>
      <c r="AD251" s="7"/>
      <c r="AE251" s="7"/>
    </row>
    <row r="252" spans="1:31" ht="26.25" customHeight="1">
      <c r="A252" s="5">
        <v>251</v>
      </c>
      <c r="B252" s="6">
        <v>46191</v>
      </c>
      <c r="C252" s="7" t="s">
        <v>1044</v>
      </c>
      <c r="D252" s="7" t="s">
        <v>1045</v>
      </c>
      <c r="E252" s="8">
        <v>9010043407</v>
      </c>
      <c r="F252" s="8" t="s">
        <v>1046</v>
      </c>
      <c r="G252" s="8">
        <v>400</v>
      </c>
      <c r="H252" s="7"/>
      <c r="I252" s="7" t="s">
        <v>694</v>
      </c>
      <c r="J252" s="7" t="s">
        <v>1047</v>
      </c>
      <c r="K252" s="7"/>
      <c r="L252" s="7"/>
      <c r="M252" s="7"/>
      <c r="N252" s="8" t="s">
        <v>35</v>
      </c>
      <c r="O252" s="8"/>
      <c r="P252" s="9"/>
      <c r="Q252" s="10" t="s">
        <v>36</v>
      </c>
      <c r="R252" s="8"/>
      <c r="S252" s="8"/>
      <c r="T252" s="8" t="s">
        <v>502</v>
      </c>
      <c r="U252" s="8" t="s">
        <v>38</v>
      </c>
      <c r="V252" s="8"/>
      <c r="W252" s="8"/>
      <c r="X252" s="8"/>
      <c r="Y252" s="8"/>
      <c r="Z252" s="8"/>
      <c r="AA252" s="8"/>
      <c r="AB252" s="8"/>
      <c r="AC252" s="8"/>
      <c r="AD252" s="7"/>
      <c r="AE252" s="7"/>
    </row>
    <row r="253" spans="1:31" ht="26.25" customHeight="1">
      <c r="A253" s="5">
        <v>252</v>
      </c>
      <c r="B253" s="6">
        <v>46191</v>
      </c>
      <c r="C253" s="7" t="s">
        <v>1048</v>
      </c>
      <c r="D253" s="7" t="s">
        <v>1049</v>
      </c>
      <c r="E253" s="8">
        <v>9140013011</v>
      </c>
      <c r="F253" s="8" t="s">
        <v>1050</v>
      </c>
      <c r="G253" s="8">
        <v>100</v>
      </c>
      <c r="H253" s="7"/>
      <c r="I253" s="7" t="s">
        <v>1027</v>
      </c>
      <c r="J253" s="7" t="s">
        <v>1051</v>
      </c>
      <c r="K253" s="7"/>
      <c r="L253" s="7"/>
      <c r="M253" s="7"/>
      <c r="N253" s="8" t="s">
        <v>35</v>
      </c>
      <c r="O253" s="8"/>
      <c r="P253" s="9"/>
      <c r="Q253" s="10" t="s">
        <v>36</v>
      </c>
      <c r="R253" s="8"/>
      <c r="S253" s="8"/>
      <c r="T253" s="8" t="s">
        <v>736</v>
      </c>
      <c r="U253" s="8" t="s">
        <v>38</v>
      </c>
      <c r="V253" s="8"/>
      <c r="W253" s="8"/>
      <c r="X253" s="8"/>
      <c r="Y253" s="8"/>
      <c r="Z253" s="8"/>
      <c r="AA253" s="8"/>
      <c r="AB253" s="8"/>
      <c r="AC253" s="8"/>
      <c r="AD253" s="7"/>
      <c r="AE253" s="7"/>
    </row>
    <row r="254" spans="1:31" ht="26.25" customHeight="1">
      <c r="A254" s="5">
        <v>253</v>
      </c>
      <c r="B254" s="6">
        <v>46191</v>
      </c>
      <c r="C254" s="7" t="s">
        <v>1052</v>
      </c>
      <c r="D254" s="7" t="s">
        <v>1053</v>
      </c>
      <c r="E254" s="8">
        <v>8102233285</v>
      </c>
      <c r="F254" s="8" t="s">
        <v>1054</v>
      </c>
      <c r="G254" s="8">
        <v>18</v>
      </c>
      <c r="H254" s="7"/>
      <c r="I254" s="7" t="s">
        <v>694</v>
      </c>
      <c r="J254" s="7" t="s">
        <v>1055</v>
      </c>
      <c r="K254" s="7"/>
      <c r="L254" s="7"/>
      <c r="M254" s="7"/>
      <c r="N254" s="8" t="s">
        <v>106</v>
      </c>
      <c r="O254" s="8"/>
      <c r="P254" s="9"/>
      <c r="Q254" s="10" t="s">
        <v>36</v>
      </c>
      <c r="R254" s="8"/>
      <c r="S254" s="8"/>
      <c r="T254" s="8" t="s">
        <v>958</v>
      </c>
      <c r="U254" s="8"/>
      <c r="V254" s="8"/>
      <c r="W254" s="8"/>
      <c r="X254" s="8"/>
      <c r="Y254" s="8"/>
      <c r="Z254" s="8"/>
      <c r="AA254" s="8"/>
      <c r="AB254" s="8"/>
      <c r="AC254" s="8"/>
      <c r="AD254" s="7"/>
      <c r="AE254" s="7"/>
    </row>
    <row r="255" spans="1:31" ht="26.25" customHeight="1">
      <c r="A255" s="5">
        <v>254</v>
      </c>
      <c r="B255" s="6">
        <v>46191</v>
      </c>
      <c r="C255" s="7" t="s">
        <v>1056</v>
      </c>
      <c r="D255" s="7" t="s">
        <v>1057</v>
      </c>
      <c r="E255" s="8">
        <v>9816054040</v>
      </c>
      <c r="F255" s="8" t="s">
        <v>1058</v>
      </c>
      <c r="G255" s="8">
        <v>80</v>
      </c>
      <c r="H255" s="7"/>
      <c r="I255" s="7" t="s">
        <v>772</v>
      </c>
      <c r="J255" s="7" t="s">
        <v>441</v>
      </c>
      <c r="K255" s="7"/>
      <c r="L255" s="7"/>
      <c r="M255" s="7"/>
      <c r="N255" s="8" t="s">
        <v>35</v>
      </c>
      <c r="O255" s="8"/>
      <c r="P255" s="9"/>
      <c r="Q255" s="10" t="s">
        <v>36</v>
      </c>
      <c r="R255" s="8"/>
      <c r="S255" s="8"/>
      <c r="T255" s="8" t="s">
        <v>502</v>
      </c>
      <c r="U255" s="8"/>
      <c r="V255" s="8"/>
      <c r="W255" s="8"/>
      <c r="X255" s="8"/>
      <c r="Y255" s="8"/>
      <c r="Z255" s="8"/>
      <c r="AA255" s="8"/>
      <c r="AB255" s="8"/>
      <c r="AC255" s="8"/>
      <c r="AD255" s="7"/>
      <c r="AE255" s="7"/>
    </row>
    <row r="256" spans="1:31" ht="70.5" customHeight="1">
      <c r="A256" s="62">
        <v>255</v>
      </c>
      <c r="B256" s="63">
        <v>46191</v>
      </c>
      <c r="C256" s="64" t="s">
        <v>1059</v>
      </c>
      <c r="D256" s="64" t="s">
        <v>1060</v>
      </c>
      <c r="E256" s="65" t="s">
        <v>1061</v>
      </c>
      <c r="F256" s="65" t="s">
        <v>48</v>
      </c>
      <c r="G256" s="65">
        <v>10</v>
      </c>
      <c r="H256" s="66" t="s">
        <v>1062</v>
      </c>
      <c r="I256" s="64" t="s">
        <v>694</v>
      </c>
      <c r="J256" s="64" t="s">
        <v>1063</v>
      </c>
      <c r="K256" s="64"/>
      <c r="L256" s="64" t="s">
        <v>1064</v>
      </c>
      <c r="M256" s="64"/>
      <c r="N256" s="65" t="s">
        <v>329</v>
      </c>
      <c r="O256" s="65"/>
      <c r="P256" s="67"/>
      <c r="Q256" s="68" t="s">
        <v>36</v>
      </c>
      <c r="R256" s="65"/>
      <c r="S256" s="65"/>
      <c r="T256" s="65" t="s">
        <v>958</v>
      </c>
      <c r="U256" s="65" t="s">
        <v>38</v>
      </c>
      <c r="V256" s="65"/>
      <c r="W256" s="65"/>
      <c r="X256" s="65"/>
      <c r="Y256" s="65"/>
      <c r="Z256" s="65"/>
      <c r="AA256" s="65"/>
      <c r="AB256" s="65"/>
      <c r="AC256" s="65"/>
      <c r="AD256" s="64"/>
      <c r="AE256" s="64"/>
    </row>
    <row r="257" spans="1:31" ht="26.25" customHeight="1">
      <c r="A257" s="5">
        <v>256</v>
      </c>
      <c r="B257" s="6">
        <v>46191</v>
      </c>
      <c r="C257" s="7" t="s">
        <v>1065</v>
      </c>
      <c r="D257" s="7" t="s">
        <v>1066</v>
      </c>
      <c r="E257" s="8">
        <v>919881155995</v>
      </c>
      <c r="F257" s="8" t="s">
        <v>101</v>
      </c>
      <c r="G257" s="8">
        <v>50</v>
      </c>
      <c r="H257" s="7"/>
      <c r="I257" s="7" t="s">
        <v>1027</v>
      </c>
      <c r="J257" s="7" t="s">
        <v>1067</v>
      </c>
      <c r="K257" s="7"/>
      <c r="L257" s="7"/>
      <c r="M257" s="7"/>
      <c r="N257" s="8" t="s">
        <v>106</v>
      </c>
      <c r="O257" s="8"/>
      <c r="P257" s="9"/>
      <c r="Q257" s="10" t="s">
        <v>36</v>
      </c>
      <c r="R257" s="8"/>
      <c r="S257" s="8"/>
      <c r="T257" s="8" t="s">
        <v>958</v>
      </c>
      <c r="U257" s="8" t="s">
        <v>38</v>
      </c>
      <c r="V257" s="8"/>
      <c r="W257" s="8"/>
      <c r="X257" s="8"/>
      <c r="Y257" s="8"/>
      <c r="Z257" s="8"/>
      <c r="AA257" s="8"/>
      <c r="AB257" s="8"/>
      <c r="AC257" s="8"/>
      <c r="AD257" s="7"/>
      <c r="AE257" s="7"/>
    </row>
    <row r="258" spans="1:31" ht="26.25" customHeight="1">
      <c r="A258" s="5">
        <v>257</v>
      </c>
      <c r="B258" s="6">
        <v>46191</v>
      </c>
      <c r="C258" s="7" t="s">
        <v>1068</v>
      </c>
      <c r="D258" s="7" t="s">
        <v>1069</v>
      </c>
      <c r="E258" s="8">
        <v>919412067743</v>
      </c>
      <c r="F258" s="8" t="s">
        <v>287</v>
      </c>
      <c r="G258" s="8">
        <v>100</v>
      </c>
      <c r="H258" s="7"/>
      <c r="I258" s="7" t="s">
        <v>981</v>
      </c>
      <c r="J258" s="7" t="s">
        <v>1070</v>
      </c>
      <c r="K258" s="7"/>
      <c r="L258" s="7"/>
      <c r="M258" s="7"/>
      <c r="N258" s="8" t="s">
        <v>77</v>
      </c>
      <c r="O258" s="8"/>
      <c r="P258" s="9"/>
      <c r="Q258" s="10" t="s">
        <v>36</v>
      </c>
      <c r="R258" s="8"/>
      <c r="S258" s="8"/>
      <c r="T258" s="8" t="s">
        <v>725</v>
      </c>
      <c r="U258" s="8" t="s">
        <v>38</v>
      </c>
      <c r="V258" s="8"/>
      <c r="W258" s="8"/>
      <c r="X258" s="8"/>
      <c r="Y258" s="8"/>
      <c r="Z258" s="8"/>
      <c r="AA258" s="8"/>
      <c r="AB258" s="8"/>
      <c r="AC258" s="8"/>
      <c r="AD258" s="7"/>
      <c r="AE258" s="7"/>
    </row>
    <row r="259" spans="1:31" ht="26.25" customHeight="1">
      <c r="A259" s="5">
        <v>258</v>
      </c>
      <c r="B259" s="6">
        <v>46191</v>
      </c>
      <c r="C259" s="7" t="s">
        <v>1071</v>
      </c>
      <c r="D259" s="7" t="s">
        <v>1072</v>
      </c>
      <c r="E259" s="8">
        <v>9201200812</v>
      </c>
      <c r="F259" s="8" t="s">
        <v>1073</v>
      </c>
      <c r="G259" s="8">
        <v>200</v>
      </c>
      <c r="H259" s="7"/>
      <c r="I259" s="7" t="s">
        <v>911</v>
      </c>
      <c r="J259" s="7" t="s">
        <v>1074</v>
      </c>
      <c r="K259" s="7"/>
      <c r="L259" s="7"/>
      <c r="M259" s="7"/>
      <c r="N259" s="8" t="s">
        <v>35</v>
      </c>
      <c r="O259" s="8"/>
      <c r="P259" s="9"/>
      <c r="Q259" s="10" t="s">
        <v>36</v>
      </c>
      <c r="R259" s="8"/>
      <c r="S259" s="8"/>
      <c r="T259" s="8" t="s">
        <v>725</v>
      </c>
      <c r="U259" s="8"/>
      <c r="V259" s="8"/>
      <c r="W259" s="8"/>
      <c r="X259" s="8"/>
      <c r="Y259" s="8"/>
      <c r="Z259" s="8"/>
      <c r="AA259" s="8"/>
      <c r="AB259" s="8"/>
      <c r="AC259" s="8"/>
      <c r="AD259" s="7"/>
      <c r="AE259" s="7"/>
    </row>
    <row r="260" spans="1:31" ht="26.25" customHeight="1">
      <c r="A260" s="5">
        <v>259</v>
      </c>
      <c r="B260" s="6">
        <v>46192</v>
      </c>
      <c r="C260" s="7" t="s">
        <v>1075</v>
      </c>
      <c r="D260" s="7" t="s">
        <v>1076</v>
      </c>
      <c r="E260" s="8">
        <v>919824049049</v>
      </c>
      <c r="F260" s="8" t="s">
        <v>287</v>
      </c>
      <c r="G260" s="8">
        <v>100</v>
      </c>
      <c r="H260" s="7"/>
      <c r="I260" s="7" t="s">
        <v>981</v>
      </c>
      <c r="J260" s="7" t="s">
        <v>819</v>
      </c>
      <c r="K260" s="7"/>
      <c r="L260" s="7"/>
      <c r="M260" s="7"/>
      <c r="N260" s="8" t="s">
        <v>35</v>
      </c>
      <c r="O260" s="8"/>
      <c r="P260" s="9"/>
      <c r="Q260" s="10" t="s">
        <v>36</v>
      </c>
      <c r="R260" s="8"/>
      <c r="S260" s="8"/>
      <c r="T260" s="8" t="s">
        <v>1077</v>
      </c>
      <c r="U260" s="8" t="s">
        <v>38</v>
      </c>
      <c r="V260" s="8"/>
      <c r="W260" s="8"/>
      <c r="X260" s="8"/>
      <c r="Y260" s="8"/>
      <c r="Z260" s="8"/>
      <c r="AA260" s="8"/>
      <c r="AB260" s="8"/>
      <c r="AC260" s="8"/>
      <c r="AD260" s="7"/>
      <c r="AE260" s="7"/>
    </row>
    <row r="261" spans="1:31" ht="26.25" customHeight="1">
      <c r="A261" s="5">
        <v>260</v>
      </c>
      <c r="B261" s="6">
        <v>46192</v>
      </c>
      <c r="C261" s="7" t="s">
        <v>1078</v>
      </c>
      <c r="D261" s="7" t="s">
        <v>1079</v>
      </c>
      <c r="E261" s="8" t="s">
        <v>1080</v>
      </c>
      <c r="F261" s="8" t="s">
        <v>1081</v>
      </c>
      <c r="G261" s="8">
        <v>14</v>
      </c>
      <c r="H261" s="7"/>
      <c r="I261" s="7" t="s">
        <v>911</v>
      </c>
      <c r="J261" s="7" t="s">
        <v>819</v>
      </c>
      <c r="K261" s="7"/>
      <c r="L261" s="7"/>
      <c r="M261" s="7"/>
      <c r="N261" s="8" t="s">
        <v>35</v>
      </c>
      <c r="O261" s="8"/>
      <c r="P261" s="9"/>
      <c r="Q261" s="10" t="s">
        <v>36</v>
      </c>
      <c r="R261" s="8"/>
      <c r="S261" s="8"/>
      <c r="T261" s="8" t="s">
        <v>502</v>
      </c>
      <c r="U261" s="8"/>
      <c r="V261" s="8"/>
      <c r="W261" s="8"/>
      <c r="X261" s="8"/>
      <c r="Y261" s="8"/>
      <c r="Z261" s="8"/>
      <c r="AA261" s="8"/>
      <c r="AB261" s="8"/>
      <c r="AC261" s="8"/>
      <c r="AD261" s="7"/>
      <c r="AE261" s="7"/>
    </row>
    <row r="262" spans="1:31" ht="26.25" customHeight="1">
      <c r="A262" s="5">
        <v>261</v>
      </c>
      <c r="B262" s="6">
        <v>46192</v>
      </c>
      <c r="C262" s="7" t="s">
        <v>1082</v>
      </c>
      <c r="D262" s="7" t="s">
        <v>1069</v>
      </c>
      <c r="E262" s="8" t="s">
        <v>1083</v>
      </c>
      <c r="F262" s="8" t="s">
        <v>94</v>
      </c>
      <c r="G262" s="8"/>
      <c r="H262" s="7"/>
      <c r="I262" s="7" t="s">
        <v>699</v>
      </c>
      <c r="J262" s="7" t="s">
        <v>819</v>
      </c>
      <c r="K262" s="7"/>
      <c r="L262" s="7"/>
      <c r="M262" s="7"/>
      <c r="N262" s="8" t="s">
        <v>35</v>
      </c>
      <c r="O262" s="8"/>
      <c r="P262" s="9"/>
      <c r="Q262" s="10" t="s">
        <v>36</v>
      </c>
      <c r="R262" s="8"/>
      <c r="S262" s="8"/>
      <c r="T262" s="8" t="s">
        <v>736</v>
      </c>
      <c r="U262" s="8"/>
      <c r="V262" s="8"/>
      <c r="W262" s="8"/>
      <c r="X262" s="8"/>
      <c r="Y262" s="8"/>
      <c r="Z262" s="8"/>
      <c r="AA262" s="8"/>
      <c r="AB262" s="8"/>
      <c r="AC262" s="8"/>
      <c r="AD262" s="7"/>
      <c r="AE262" s="7"/>
    </row>
    <row r="263" spans="1:31" ht="26.25" customHeight="1">
      <c r="A263" s="5">
        <v>262</v>
      </c>
      <c r="B263" s="40">
        <v>46192</v>
      </c>
      <c r="C263" s="20" t="s">
        <v>1084</v>
      </c>
      <c r="D263" s="20" t="s">
        <v>1072</v>
      </c>
      <c r="E263" s="19">
        <v>919982192383</v>
      </c>
      <c r="F263" s="19" t="s">
        <v>1085</v>
      </c>
      <c r="G263" s="19">
        <v>5</v>
      </c>
      <c r="H263" s="20"/>
      <c r="I263" s="20" t="s">
        <v>1027</v>
      </c>
      <c r="J263" s="20" t="s">
        <v>1086</v>
      </c>
      <c r="K263" s="20"/>
      <c r="L263" s="20"/>
      <c r="M263" s="20"/>
      <c r="N263" s="8" t="s">
        <v>35</v>
      </c>
      <c r="O263" s="8"/>
      <c r="P263" s="9"/>
      <c r="Q263" s="10" t="s">
        <v>36</v>
      </c>
      <c r="R263" s="19"/>
      <c r="S263" s="8"/>
      <c r="T263" s="8" t="s">
        <v>958</v>
      </c>
      <c r="U263" s="8"/>
      <c r="V263" s="8"/>
      <c r="W263" s="8"/>
      <c r="X263" s="8"/>
      <c r="Y263" s="8"/>
      <c r="Z263" s="8"/>
      <c r="AA263" s="8"/>
      <c r="AB263" s="8"/>
      <c r="AC263" s="8"/>
      <c r="AD263" s="7"/>
      <c r="AE263" s="7"/>
    </row>
    <row r="264" spans="1:31" ht="26.25" customHeight="1">
      <c r="A264" s="5">
        <v>263</v>
      </c>
      <c r="B264" s="6">
        <v>46192</v>
      </c>
      <c r="C264" s="7" t="s">
        <v>1087</v>
      </c>
      <c r="D264" s="7" t="s">
        <v>1076</v>
      </c>
      <c r="E264" s="8">
        <v>919824049049</v>
      </c>
      <c r="F264" s="8" t="s">
        <v>127</v>
      </c>
      <c r="G264" s="8">
        <v>40</v>
      </c>
      <c r="H264" s="7"/>
      <c r="I264" s="7" t="s">
        <v>1027</v>
      </c>
      <c r="J264" s="7" t="s">
        <v>1088</v>
      </c>
      <c r="K264" s="7"/>
      <c r="L264" s="7"/>
      <c r="M264" s="7"/>
      <c r="N264" s="8" t="s">
        <v>35</v>
      </c>
      <c r="O264" s="8"/>
      <c r="P264" s="9"/>
      <c r="Q264" s="10" t="s">
        <v>36</v>
      </c>
      <c r="R264" s="8"/>
      <c r="S264" s="8"/>
      <c r="T264" s="8" t="s">
        <v>736</v>
      </c>
      <c r="U264" s="8"/>
      <c r="V264" s="8"/>
      <c r="W264" s="8"/>
      <c r="X264" s="8"/>
      <c r="Y264" s="8"/>
      <c r="Z264" s="8"/>
      <c r="AA264" s="8"/>
      <c r="AB264" s="8"/>
      <c r="AC264" s="8"/>
      <c r="AD264" s="7"/>
      <c r="AE264" s="7"/>
    </row>
    <row r="265" spans="1:31" ht="26.25" customHeight="1">
      <c r="A265" s="5">
        <v>264</v>
      </c>
      <c r="B265" s="6">
        <v>46192</v>
      </c>
      <c r="C265" s="7" t="s">
        <v>1089</v>
      </c>
      <c r="D265" s="7" t="s">
        <v>1090</v>
      </c>
      <c r="E265" s="8">
        <v>919823285086</v>
      </c>
      <c r="F265" s="8" t="s">
        <v>693</v>
      </c>
      <c r="G265" s="8">
        <v>30</v>
      </c>
      <c r="H265" s="7"/>
      <c r="I265" s="7" t="s">
        <v>1027</v>
      </c>
      <c r="J265" s="7" t="s">
        <v>1091</v>
      </c>
      <c r="K265" s="7"/>
      <c r="L265" s="7"/>
      <c r="M265" s="7"/>
      <c r="N265" s="8" t="s">
        <v>44</v>
      </c>
      <c r="O265" s="8"/>
      <c r="P265" s="9"/>
      <c r="Q265" s="10" t="s">
        <v>36</v>
      </c>
      <c r="R265" s="8"/>
      <c r="S265" s="8"/>
      <c r="T265" s="8" t="s">
        <v>502</v>
      </c>
      <c r="U265" s="8"/>
      <c r="V265" s="8"/>
      <c r="W265" s="8"/>
      <c r="X265" s="8"/>
      <c r="Y265" s="8"/>
      <c r="Z265" s="8"/>
      <c r="AA265" s="8"/>
      <c r="AB265" s="8"/>
      <c r="AC265" s="8"/>
      <c r="AD265" s="7"/>
      <c r="AE265" s="7"/>
    </row>
    <row r="266" spans="1:31" ht="26.25" customHeight="1">
      <c r="A266" s="5">
        <v>265</v>
      </c>
      <c r="B266" s="6">
        <v>46192</v>
      </c>
      <c r="C266" s="7" t="s">
        <v>1092</v>
      </c>
      <c r="D266" s="7" t="s">
        <v>1093</v>
      </c>
      <c r="E266" s="8">
        <v>919951589641</v>
      </c>
      <c r="F266" s="8" t="s">
        <v>1094</v>
      </c>
      <c r="G266" s="8">
        <v>30</v>
      </c>
      <c r="H266" s="7"/>
      <c r="I266" s="7" t="s">
        <v>1095</v>
      </c>
      <c r="J266" s="7" t="s">
        <v>819</v>
      </c>
      <c r="K266" s="7"/>
      <c r="L266" s="7"/>
      <c r="M266" s="7"/>
      <c r="N266" s="8" t="s">
        <v>35</v>
      </c>
      <c r="O266" s="8"/>
      <c r="P266" s="9"/>
      <c r="Q266" s="10" t="s">
        <v>36</v>
      </c>
      <c r="R266" s="8"/>
      <c r="S266" s="8"/>
      <c r="T266" s="8" t="s">
        <v>736</v>
      </c>
      <c r="U266" s="8"/>
      <c r="V266" s="8"/>
      <c r="W266" s="8"/>
      <c r="X266" s="8"/>
      <c r="Y266" s="8"/>
      <c r="Z266" s="8"/>
      <c r="AA266" s="8"/>
      <c r="AB266" s="8"/>
      <c r="AC266" s="8"/>
      <c r="AD266" s="7"/>
      <c r="AE266" s="7"/>
    </row>
    <row r="267" spans="1:31" ht="26.25" customHeight="1">
      <c r="A267" s="5">
        <v>266</v>
      </c>
      <c r="B267" s="6">
        <v>46192</v>
      </c>
      <c r="C267" s="7" t="s">
        <v>1096</v>
      </c>
      <c r="D267" s="7" t="s">
        <v>1097</v>
      </c>
      <c r="E267" s="8">
        <v>919918095055</v>
      </c>
      <c r="F267" s="8" t="s">
        <v>783</v>
      </c>
      <c r="G267" s="8">
        <v>25</v>
      </c>
      <c r="H267" s="7"/>
      <c r="I267" s="7" t="s">
        <v>1095</v>
      </c>
      <c r="J267" s="7" t="s">
        <v>819</v>
      </c>
      <c r="K267" s="7"/>
      <c r="L267" s="7"/>
      <c r="M267" s="7"/>
      <c r="N267" s="8" t="s">
        <v>35</v>
      </c>
      <c r="O267" s="8"/>
      <c r="P267" s="9"/>
      <c r="Q267" s="10" t="s">
        <v>36</v>
      </c>
      <c r="R267" s="8"/>
      <c r="S267" s="8"/>
      <c r="T267" s="8" t="s">
        <v>736</v>
      </c>
      <c r="U267" s="8"/>
      <c r="V267" s="8"/>
      <c r="W267" s="8"/>
      <c r="X267" s="8"/>
      <c r="Y267" s="8"/>
      <c r="Z267" s="8"/>
      <c r="AA267" s="8"/>
      <c r="AB267" s="8"/>
      <c r="AC267" s="8"/>
      <c r="AD267" s="7"/>
      <c r="AE267" s="7"/>
    </row>
    <row r="268" spans="1:31" ht="26.25" customHeight="1">
      <c r="A268" s="5">
        <v>267</v>
      </c>
      <c r="B268" s="6">
        <v>46192</v>
      </c>
      <c r="C268" s="7" t="s">
        <v>1098</v>
      </c>
      <c r="D268" s="7" t="s">
        <v>1099</v>
      </c>
      <c r="E268" s="8">
        <v>919419196512</v>
      </c>
      <c r="F268" s="8" t="s">
        <v>1100</v>
      </c>
      <c r="G268" s="8">
        <v>24</v>
      </c>
      <c r="H268" s="7"/>
      <c r="I268" s="7" t="s">
        <v>1095</v>
      </c>
      <c r="J268" s="7" t="s">
        <v>819</v>
      </c>
      <c r="K268" s="7"/>
      <c r="L268" s="7"/>
      <c r="M268" s="7"/>
      <c r="N268" s="8" t="s">
        <v>35</v>
      </c>
      <c r="O268" s="8"/>
      <c r="P268" s="9"/>
      <c r="Q268" s="10" t="s">
        <v>36</v>
      </c>
      <c r="R268" s="8"/>
      <c r="S268" s="8"/>
      <c r="T268" s="8" t="s">
        <v>712</v>
      </c>
      <c r="U268" s="8"/>
      <c r="V268" s="8"/>
      <c r="W268" s="8"/>
      <c r="X268" s="8"/>
      <c r="Y268" s="8"/>
      <c r="Z268" s="8"/>
      <c r="AA268" s="8"/>
      <c r="AB268" s="8"/>
      <c r="AC268" s="8"/>
      <c r="AD268" s="7"/>
      <c r="AE268" s="7"/>
    </row>
    <row r="269" spans="1:31" ht="26.25" customHeight="1">
      <c r="A269" s="5">
        <v>268</v>
      </c>
      <c r="B269" s="6">
        <v>46192</v>
      </c>
      <c r="C269" s="7" t="s">
        <v>1101</v>
      </c>
      <c r="D269" s="7" t="s">
        <v>1102</v>
      </c>
      <c r="E269" s="8">
        <v>919820042644</v>
      </c>
      <c r="F269" s="8" t="s">
        <v>101</v>
      </c>
      <c r="G269" s="8">
        <v>40</v>
      </c>
      <c r="H269" s="7"/>
      <c r="I269" s="7" t="s">
        <v>694</v>
      </c>
      <c r="J269" s="7" t="s">
        <v>819</v>
      </c>
      <c r="K269" s="7"/>
      <c r="L269" s="7"/>
      <c r="M269" s="7"/>
      <c r="N269" s="8" t="s">
        <v>35</v>
      </c>
      <c r="O269" s="8"/>
      <c r="P269" s="9"/>
      <c r="Q269" s="10" t="s">
        <v>36</v>
      </c>
      <c r="R269" s="8"/>
      <c r="S269" s="8"/>
      <c r="T269" s="8" t="s">
        <v>736</v>
      </c>
      <c r="U269" s="8"/>
      <c r="V269" s="8"/>
      <c r="W269" s="8"/>
      <c r="X269" s="8"/>
      <c r="Y269" s="8"/>
      <c r="Z269" s="8"/>
      <c r="AA269" s="8"/>
      <c r="AB269" s="8"/>
      <c r="AC269" s="8"/>
      <c r="AD269" s="7"/>
      <c r="AE269" s="7"/>
    </row>
    <row r="270" spans="1:31" ht="26.25" customHeight="1">
      <c r="A270" s="5">
        <v>269</v>
      </c>
      <c r="B270" s="6">
        <v>46192</v>
      </c>
      <c r="C270" s="7" t="s">
        <v>1103</v>
      </c>
      <c r="D270" s="7" t="s">
        <v>1104</v>
      </c>
      <c r="E270" s="8">
        <v>919755222224</v>
      </c>
      <c r="F270" s="8" t="s">
        <v>1073</v>
      </c>
      <c r="G270" s="8">
        <v>100</v>
      </c>
      <c r="H270" s="7"/>
      <c r="I270" s="7" t="s">
        <v>694</v>
      </c>
      <c r="J270" s="7" t="s">
        <v>1105</v>
      </c>
      <c r="K270" s="7"/>
      <c r="L270" s="7"/>
      <c r="M270" s="7"/>
      <c r="N270" s="8" t="s">
        <v>44</v>
      </c>
      <c r="O270" s="8"/>
      <c r="P270" s="9"/>
      <c r="Q270" s="10" t="s">
        <v>36</v>
      </c>
      <c r="R270" s="8"/>
      <c r="S270" s="8"/>
      <c r="T270" s="8" t="s">
        <v>736</v>
      </c>
      <c r="U270" s="8" t="s">
        <v>38</v>
      </c>
      <c r="V270" s="8"/>
      <c r="W270" s="8"/>
      <c r="X270" s="8"/>
      <c r="Y270" s="8"/>
      <c r="Z270" s="8"/>
      <c r="AA270" s="8"/>
      <c r="AB270" s="8"/>
      <c r="AC270" s="8"/>
      <c r="AD270" s="7"/>
      <c r="AE270" s="7"/>
    </row>
    <row r="271" spans="1:31" ht="50.25" customHeight="1">
      <c r="A271" s="5">
        <v>270</v>
      </c>
      <c r="B271" s="6">
        <v>46192</v>
      </c>
      <c r="C271" s="7" t="s">
        <v>1106</v>
      </c>
      <c r="D271" s="7" t="s">
        <v>1107</v>
      </c>
      <c r="E271" s="8">
        <v>9884713638</v>
      </c>
      <c r="F271" s="8" t="s">
        <v>1108</v>
      </c>
      <c r="G271" s="8">
        <v>2</v>
      </c>
      <c r="H271" s="7"/>
      <c r="I271" s="7" t="s">
        <v>1027</v>
      </c>
      <c r="J271" s="7" t="s">
        <v>1109</v>
      </c>
      <c r="K271" s="7" t="s">
        <v>1110</v>
      </c>
      <c r="L271" s="7"/>
      <c r="M271" s="7"/>
      <c r="N271" s="8" t="s">
        <v>106</v>
      </c>
      <c r="O271" s="8"/>
      <c r="P271" s="9"/>
      <c r="Q271" s="10" t="s">
        <v>1111</v>
      </c>
      <c r="R271" s="8"/>
      <c r="S271" s="8"/>
      <c r="T271" s="8" t="s">
        <v>712</v>
      </c>
      <c r="U271" s="8" t="s">
        <v>38</v>
      </c>
      <c r="V271" s="8"/>
      <c r="W271" s="8"/>
      <c r="X271" s="8"/>
      <c r="Y271" s="8"/>
      <c r="Z271" s="8"/>
      <c r="AA271" s="8"/>
      <c r="AB271" s="8"/>
      <c r="AC271" s="8"/>
      <c r="AD271" s="7"/>
      <c r="AE271" s="7"/>
    </row>
    <row r="272" spans="1:31" ht="26.25" customHeight="1">
      <c r="A272" s="5">
        <v>271</v>
      </c>
      <c r="B272" s="6">
        <v>46192</v>
      </c>
      <c r="C272" s="7" t="s">
        <v>1112</v>
      </c>
      <c r="D272" s="7" t="s">
        <v>1113</v>
      </c>
      <c r="E272" s="8">
        <v>9422326399</v>
      </c>
      <c r="F272" s="8" t="s">
        <v>215</v>
      </c>
      <c r="G272" s="8"/>
      <c r="H272" s="7"/>
      <c r="I272" s="7" t="s">
        <v>694</v>
      </c>
      <c r="J272" s="7" t="s">
        <v>1114</v>
      </c>
      <c r="K272" s="7"/>
      <c r="L272" s="7"/>
      <c r="M272" s="7"/>
      <c r="N272" s="8" t="s">
        <v>44</v>
      </c>
      <c r="O272" s="8"/>
      <c r="P272" s="9"/>
      <c r="Q272" s="10" t="s">
        <v>36</v>
      </c>
      <c r="R272" s="8"/>
      <c r="S272" s="8"/>
      <c r="T272" s="8" t="s">
        <v>1115</v>
      </c>
      <c r="U272" s="8"/>
      <c r="V272" s="8"/>
      <c r="W272" s="8"/>
      <c r="X272" s="8"/>
      <c r="Y272" s="8"/>
      <c r="Z272" s="8"/>
      <c r="AA272" s="8"/>
      <c r="AB272" s="8"/>
      <c r="AC272" s="8"/>
      <c r="AD272" s="7"/>
      <c r="AE272" s="7"/>
    </row>
    <row r="273" spans="1:31" ht="26.25" customHeight="1">
      <c r="A273" s="5">
        <v>272</v>
      </c>
      <c r="B273" s="6">
        <v>46192</v>
      </c>
      <c r="C273" s="7" t="s">
        <v>1116</v>
      </c>
      <c r="D273" s="7" t="s">
        <v>1117</v>
      </c>
      <c r="E273" s="8">
        <v>9837028516</v>
      </c>
      <c r="F273" s="8" t="s">
        <v>1118</v>
      </c>
      <c r="G273" s="8"/>
      <c r="H273" s="7"/>
      <c r="I273" s="7" t="s">
        <v>1027</v>
      </c>
      <c r="J273" s="7" t="s">
        <v>1119</v>
      </c>
      <c r="K273" s="7"/>
      <c r="L273" s="7"/>
      <c r="M273" s="7"/>
      <c r="N273" s="8" t="s">
        <v>35</v>
      </c>
      <c r="O273" s="8"/>
      <c r="P273" s="9"/>
      <c r="Q273" s="10" t="s">
        <v>36</v>
      </c>
      <c r="R273" s="8"/>
      <c r="S273" s="8"/>
      <c r="T273" s="8" t="s">
        <v>736</v>
      </c>
      <c r="U273" s="8"/>
      <c r="V273" s="8"/>
      <c r="W273" s="8"/>
      <c r="X273" s="8"/>
      <c r="Y273" s="8"/>
      <c r="Z273" s="8"/>
      <c r="AA273" s="8"/>
      <c r="AB273" s="8"/>
      <c r="AC273" s="8"/>
      <c r="AD273" s="7"/>
      <c r="AE273" s="7"/>
    </row>
    <row r="274" spans="1:31" ht="59.25" customHeight="1">
      <c r="A274" s="5">
        <v>273</v>
      </c>
      <c r="B274" s="6">
        <v>46192</v>
      </c>
      <c r="C274" s="7" t="s">
        <v>1120</v>
      </c>
      <c r="D274" s="7" t="s">
        <v>1121</v>
      </c>
      <c r="E274" s="8">
        <v>9049533308</v>
      </c>
      <c r="F274" s="8" t="s">
        <v>1122</v>
      </c>
      <c r="G274" s="8">
        <v>100</v>
      </c>
      <c r="H274" s="7"/>
      <c r="I274" s="7" t="s">
        <v>1027</v>
      </c>
      <c r="J274" s="7" t="s">
        <v>1123</v>
      </c>
      <c r="K274" s="7"/>
      <c r="L274" s="69"/>
      <c r="M274" s="7"/>
      <c r="N274" s="8" t="s">
        <v>77</v>
      </c>
      <c r="O274" s="8"/>
      <c r="P274" s="9"/>
      <c r="Q274" s="10" t="s">
        <v>36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7"/>
      <c r="AE274" s="7"/>
    </row>
    <row r="275" spans="1:31" ht="26.25" customHeight="1">
      <c r="A275" s="5">
        <v>274</v>
      </c>
      <c r="B275" s="6">
        <v>46192</v>
      </c>
      <c r="C275" s="7" t="s">
        <v>1124</v>
      </c>
      <c r="D275" s="7" t="s">
        <v>1125</v>
      </c>
      <c r="E275" s="8">
        <v>9831437501</v>
      </c>
      <c r="F275" s="8" t="s">
        <v>1126</v>
      </c>
      <c r="G275" s="8">
        <v>75</v>
      </c>
      <c r="H275" s="7"/>
      <c r="I275" s="7" t="s">
        <v>699</v>
      </c>
      <c r="J275" s="7" t="s">
        <v>1091</v>
      </c>
      <c r="K275" s="7"/>
      <c r="L275" s="7"/>
      <c r="M275" s="7"/>
      <c r="N275" s="8" t="s">
        <v>44</v>
      </c>
      <c r="O275" s="8"/>
      <c r="P275" s="9"/>
      <c r="Q275" s="10" t="s">
        <v>36</v>
      </c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7"/>
      <c r="AE275" s="7"/>
    </row>
    <row r="276" spans="1:31" ht="26.25" customHeight="1">
      <c r="A276" s="5">
        <v>275</v>
      </c>
      <c r="B276" s="6">
        <v>46192</v>
      </c>
      <c r="C276" s="7" t="s">
        <v>1127</v>
      </c>
      <c r="D276" s="7" t="s">
        <v>1128</v>
      </c>
      <c r="E276" s="8">
        <v>919706074862</v>
      </c>
      <c r="F276" s="8" t="s">
        <v>1129</v>
      </c>
      <c r="G276" s="8">
        <v>30</v>
      </c>
      <c r="H276" s="7"/>
      <c r="I276" s="7" t="s">
        <v>699</v>
      </c>
      <c r="J276" s="7" t="s">
        <v>1130</v>
      </c>
      <c r="K276" s="7"/>
      <c r="L276" s="7"/>
      <c r="M276" s="7"/>
      <c r="N276" s="8" t="s">
        <v>35</v>
      </c>
      <c r="O276" s="8"/>
      <c r="P276" s="9"/>
      <c r="Q276" s="10" t="s">
        <v>36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7"/>
      <c r="AE276" s="7"/>
    </row>
    <row r="277" spans="1:31" ht="26.25" customHeight="1">
      <c r="A277" s="5">
        <v>276</v>
      </c>
      <c r="B277" s="6">
        <v>46192</v>
      </c>
      <c r="C277" s="7" t="s">
        <v>1131</v>
      </c>
      <c r="D277" s="7" t="s">
        <v>1132</v>
      </c>
      <c r="E277" s="8">
        <v>919371100420</v>
      </c>
      <c r="F277" s="8" t="s">
        <v>1133</v>
      </c>
      <c r="G277" s="8">
        <v>40</v>
      </c>
      <c r="H277" s="7"/>
      <c r="I277" s="7" t="s">
        <v>694</v>
      </c>
      <c r="J277" s="7" t="s">
        <v>1134</v>
      </c>
      <c r="K277" s="7"/>
      <c r="L277" s="7"/>
      <c r="M277" s="7"/>
      <c r="N277" s="8" t="s">
        <v>35</v>
      </c>
      <c r="O277" s="8"/>
      <c r="P277" s="9"/>
      <c r="Q277" s="10" t="s">
        <v>36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7"/>
      <c r="AE277" s="7"/>
    </row>
    <row r="278" spans="1:31" ht="26.25" customHeight="1">
      <c r="A278" s="5">
        <v>277</v>
      </c>
      <c r="B278" s="6">
        <v>46193</v>
      </c>
      <c r="C278" s="7" t="s">
        <v>1135</v>
      </c>
      <c r="D278" s="7"/>
      <c r="E278" s="8">
        <v>919837488140</v>
      </c>
      <c r="F278" s="8" t="s">
        <v>1136</v>
      </c>
      <c r="G278" s="8">
        <v>18</v>
      </c>
      <c r="H278" s="7"/>
      <c r="I278" s="7" t="s">
        <v>1027</v>
      </c>
      <c r="J278" s="7" t="s">
        <v>1137</v>
      </c>
      <c r="K278" s="7"/>
      <c r="L278" s="7"/>
      <c r="M278" s="7"/>
      <c r="N278" s="8" t="s">
        <v>44</v>
      </c>
      <c r="O278" s="8"/>
      <c r="P278" s="9"/>
      <c r="Q278" s="10" t="s">
        <v>36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7"/>
      <c r="AE278" s="7"/>
    </row>
    <row r="279" spans="1:31" ht="26.25" customHeight="1">
      <c r="A279" s="5">
        <v>278</v>
      </c>
      <c r="B279" s="6">
        <v>46193</v>
      </c>
      <c r="C279" s="7" t="s">
        <v>1138</v>
      </c>
      <c r="D279" s="7"/>
      <c r="E279" s="8">
        <v>9847324723</v>
      </c>
      <c r="F279" s="8" t="s">
        <v>1139</v>
      </c>
      <c r="G279" s="8">
        <v>6</v>
      </c>
      <c r="H279" s="7"/>
      <c r="I279" s="7"/>
      <c r="J279" s="7" t="s">
        <v>1140</v>
      </c>
      <c r="K279" s="7"/>
      <c r="L279" s="7"/>
      <c r="M279" s="7"/>
      <c r="N279" s="8" t="s">
        <v>35</v>
      </c>
      <c r="O279" s="8"/>
      <c r="P279" s="9"/>
      <c r="Q279" s="10" t="s">
        <v>71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7"/>
      <c r="AE279" s="7"/>
    </row>
    <row r="280" spans="1:31" ht="26.25" customHeight="1">
      <c r="A280" s="5">
        <v>279</v>
      </c>
      <c r="B280" s="6">
        <v>46194</v>
      </c>
      <c r="C280" s="7" t="s">
        <v>1141</v>
      </c>
      <c r="D280" s="7" t="s">
        <v>1142</v>
      </c>
      <c r="E280" s="8" t="s">
        <v>1143</v>
      </c>
      <c r="F280" s="8" t="s">
        <v>1144</v>
      </c>
      <c r="G280" s="8" t="s">
        <v>1145</v>
      </c>
      <c r="H280" s="7"/>
      <c r="I280" s="7" t="s">
        <v>710</v>
      </c>
      <c r="J280" s="7" t="s">
        <v>1146</v>
      </c>
      <c r="K280" s="7"/>
      <c r="L280" s="7"/>
      <c r="M280" s="7"/>
      <c r="N280" s="8" t="s">
        <v>35</v>
      </c>
      <c r="O280" s="8"/>
      <c r="P280" s="9"/>
      <c r="Q280" s="10" t="s">
        <v>36</v>
      </c>
      <c r="R280" s="8" t="s">
        <v>57</v>
      </c>
      <c r="S280" s="8"/>
      <c r="T280" s="8" t="s">
        <v>1147</v>
      </c>
      <c r="U280" s="8"/>
      <c r="V280" s="8"/>
      <c r="W280" s="8"/>
      <c r="X280" s="8"/>
      <c r="Y280" s="8"/>
      <c r="Z280" s="8"/>
      <c r="AA280" s="8"/>
      <c r="AB280" s="8"/>
      <c r="AC280" s="8"/>
      <c r="AD280" s="7"/>
      <c r="AE280" s="7"/>
    </row>
    <row r="281" spans="1:31" ht="26.25" customHeight="1">
      <c r="A281" s="5">
        <v>280</v>
      </c>
      <c r="B281" s="6">
        <v>46194</v>
      </c>
      <c r="C281" s="7" t="s">
        <v>1148</v>
      </c>
      <c r="D281" s="7" t="s">
        <v>1149</v>
      </c>
      <c r="E281" s="8">
        <v>919021316161</v>
      </c>
      <c r="F281" s="8" t="s">
        <v>1150</v>
      </c>
      <c r="G281" s="8" t="s">
        <v>1151</v>
      </c>
      <c r="H281" s="7"/>
      <c r="I281" s="7" t="s">
        <v>1152</v>
      </c>
      <c r="J281" s="7" t="s">
        <v>1153</v>
      </c>
      <c r="K281" s="7"/>
      <c r="L281" s="7"/>
      <c r="M281" s="7"/>
      <c r="N281" s="8" t="s">
        <v>77</v>
      </c>
      <c r="O281" s="8"/>
      <c r="P281" s="9"/>
      <c r="Q281" s="10" t="s">
        <v>36</v>
      </c>
      <c r="R281" s="8"/>
      <c r="S281" s="8"/>
      <c r="T281" s="8" t="s">
        <v>1147</v>
      </c>
      <c r="U281" s="8"/>
      <c r="V281" s="8"/>
      <c r="W281" s="8"/>
      <c r="X281" s="8"/>
      <c r="Y281" s="8"/>
      <c r="Z281" s="8"/>
      <c r="AA281" s="8"/>
      <c r="AB281" s="8"/>
      <c r="AC281" s="8"/>
      <c r="AD281" s="7"/>
      <c r="AE281" s="7"/>
    </row>
    <row r="282" spans="1:31" ht="45.75" customHeight="1">
      <c r="A282" s="5">
        <v>281</v>
      </c>
      <c r="B282" s="6">
        <v>46194</v>
      </c>
      <c r="C282" s="7" t="s">
        <v>1154</v>
      </c>
      <c r="D282" s="7" t="s">
        <v>1155</v>
      </c>
      <c r="E282" s="8" t="s">
        <v>1156</v>
      </c>
      <c r="F282" s="8" t="s">
        <v>1157</v>
      </c>
      <c r="G282" s="8" t="s">
        <v>1158</v>
      </c>
      <c r="H282" s="7"/>
      <c r="I282" s="7" t="s">
        <v>1159</v>
      </c>
      <c r="J282" s="7" t="s">
        <v>1160</v>
      </c>
      <c r="K282" s="7"/>
      <c r="L282" s="7" t="s">
        <v>1161</v>
      </c>
      <c r="M282" s="7"/>
      <c r="N282" s="8" t="s">
        <v>35</v>
      </c>
      <c r="O282" s="8"/>
      <c r="P282" s="9"/>
      <c r="Q282" s="10" t="s">
        <v>36</v>
      </c>
      <c r="R282" s="8"/>
      <c r="S282" s="8"/>
      <c r="T282" s="8" t="s">
        <v>1162</v>
      </c>
      <c r="U282" s="8"/>
      <c r="V282" s="8"/>
      <c r="W282" s="8"/>
      <c r="X282" s="8"/>
      <c r="Y282" s="8"/>
      <c r="Z282" s="8"/>
      <c r="AA282" s="8"/>
      <c r="AB282" s="8"/>
      <c r="AC282" s="8"/>
      <c r="AD282" s="7"/>
      <c r="AE282" s="7"/>
    </row>
    <row r="283" spans="1:31" ht="26.25" customHeight="1">
      <c r="A283" s="5">
        <v>282</v>
      </c>
      <c r="B283" s="6">
        <v>46194</v>
      </c>
      <c r="C283" s="7" t="s">
        <v>1163</v>
      </c>
      <c r="D283" s="7" t="s">
        <v>1164</v>
      </c>
      <c r="E283" s="8" t="s">
        <v>1165</v>
      </c>
      <c r="F283" s="8" t="s">
        <v>1166</v>
      </c>
      <c r="G283" s="8" t="s">
        <v>1167</v>
      </c>
      <c r="H283" s="7"/>
      <c r="I283" s="7" t="s">
        <v>1168</v>
      </c>
      <c r="J283" s="7" t="s">
        <v>1169</v>
      </c>
      <c r="K283" s="7"/>
      <c r="L283" s="7"/>
      <c r="M283" s="7"/>
      <c r="N283" s="8" t="s">
        <v>35</v>
      </c>
      <c r="O283" s="8"/>
      <c r="P283" s="9"/>
      <c r="Q283" s="10" t="s">
        <v>36</v>
      </c>
      <c r="R283" s="8"/>
      <c r="S283" s="8"/>
      <c r="T283" s="8" t="s">
        <v>1162</v>
      </c>
      <c r="U283" s="8"/>
      <c r="V283" s="8"/>
      <c r="W283" s="8"/>
      <c r="X283" s="8"/>
      <c r="Y283" s="8"/>
      <c r="Z283" s="8"/>
      <c r="AA283" s="8"/>
      <c r="AB283" s="8"/>
      <c r="AC283" s="8"/>
      <c r="AD283" s="7"/>
      <c r="AE283" s="7"/>
    </row>
    <row r="284" spans="1:31" ht="26.25" customHeight="1">
      <c r="A284" s="5">
        <v>283</v>
      </c>
      <c r="B284" s="6">
        <v>46194</v>
      </c>
      <c r="C284" s="7" t="s">
        <v>1170</v>
      </c>
      <c r="D284" s="7" t="s">
        <v>1171</v>
      </c>
      <c r="E284" s="8" t="s">
        <v>1172</v>
      </c>
      <c r="F284" s="8" t="s">
        <v>448</v>
      </c>
      <c r="G284" s="8" t="s">
        <v>1173</v>
      </c>
      <c r="H284" s="7"/>
      <c r="I284" s="7" t="s">
        <v>1152</v>
      </c>
      <c r="J284" s="7" t="s">
        <v>1174</v>
      </c>
      <c r="K284" s="7"/>
      <c r="L284" s="7"/>
      <c r="M284" s="7"/>
      <c r="N284" s="8" t="s">
        <v>35</v>
      </c>
      <c r="O284" s="8"/>
      <c r="P284" s="9"/>
      <c r="Q284" s="10" t="s">
        <v>36</v>
      </c>
      <c r="R284" s="8"/>
      <c r="S284" s="8"/>
      <c r="T284" s="8" t="s">
        <v>1175</v>
      </c>
      <c r="U284" s="8"/>
      <c r="V284" s="8"/>
      <c r="W284" s="8"/>
      <c r="X284" s="8"/>
      <c r="Y284" s="8"/>
      <c r="Z284" s="8"/>
      <c r="AA284" s="8"/>
      <c r="AB284" s="8"/>
      <c r="AC284" s="8"/>
      <c r="AD284" s="7"/>
      <c r="AE284" s="7"/>
    </row>
    <row r="285" spans="1:31" ht="26.25" customHeight="1">
      <c r="A285" s="5">
        <v>284</v>
      </c>
      <c r="B285" s="6">
        <v>46194</v>
      </c>
      <c r="C285" s="7" t="s">
        <v>1176</v>
      </c>
      <c r="D285" s="7" t="s">
        <v>1177</v>
      </c>
      <c r="E285" s="8" t="s">
        <v>1178</v>
      </c>
      <c r="F285" s="8" t="s">
        <v>1179</v>
      </c>
      <c r="G285" s="8" t="s">
        <v>1180</v>
      </c>
      <c r="H285" s="7"/>
      <c r="I285" s="7" t="s">
        <v>1159</v>
      </c>
      <c r="J285" s="7" t="s">
        <v>1181</v>
      </c>
      <c r="K285" s="7"/>
      <c r="L285" s="7"/>
      <c r="M285" s="7"/>
      <c r="N285" s="8" t="s">
        <v>35</v>
      </c>
      <c r="O285" s="8"/>
      <c r="P285" s="9"/>
      <c r="Q285" s="10" t="s">
        <v>36</v>
      </c>
      <c r="R285" s="8" t="s">
        <v>57</v>
      </c>
      <c r="S285" s="8"/>
      <c r="T285" s="8" t="s">
        <v>1162</v>
      </c>
      <c r="U285" s="8"/>
      <c r="V285" s="8"/>
      <c r="W285" s="8"/>
      <c r="X285" s="8"/>
      <c r="Y285" s="8"/>
      <c r="Z285" s="8"/>
      <c r="AA285" s="8"/>
      <c r="AB285" s="8"/>
      <c r="AC285" s="8"/>
      <c r="AD285" s="7"/>
      <c r="AE285" s="7"/>
    </row>
    <row r="286" spans="1:31" ht="26.25" customHeight="1">
      <c r="A286" s="5">
        <v>285</v>
      </c>
      <c r="B286" s="6">
        <v>46194</v>
      </c>
      <c r="C286" s="7" t="s">
        <v>1182</v>
      </c>
      <c r="D286" s="7" t="s">
        <v>1183</v>
      </c>
      <c r="E286" s="8" t="s">
        <v>1184</v>
      </c>
      <c r="F286" s="8" t="s">
        <v>739</v>
      </c>
      <c r="G286" s="8" t="s">
        <v>1185</v>
      </c>
      <c r="H286" s="7"/>
      <c r="I286" s="7" t="s">
        <v>1159</v>
      </c>
      <c r="J286" s="7"/>
      <c r="K286" s="7"/>
      <c r="L286" s="7"/>
      <c r="M286" s="7"/>
      <c r="N286" s="8" t="s">
        <v>44</v>
      </c>
      <c r="O286" s="8"/>
      <c r="P286" s="9"/>
      <c r="Q286" s="10" t="s">
        <v>36</v>
      </c>
      <c r="R286" s="8" t="s">
        <v>57</v>
      </c>
      <c r="S286" s="8"/>
      <c r="T286" s="8" t="s">
        <v>1186</v>
      </c>
      <c r="U286" s="8"/>
      <c r="V286" s="8"/>
      <c r="W286" s="8"/>
      <c r="X286" s="8"/>
      <c r="Y286" s="8"/>
      <c r="Z286" s="8"/>
      <c r="AA286" s="8"/>
      <c r="AB286" s="8"/>
      <c r="AC286" s="8"/>
      <c r="AD286" s="7"/>
      <c r="AE286" s="7"/>
    </row>
    <row r="287" spans="1:31" ht="26.25" customHeight="1">
      <c r="A287" s="5">
        <v>286</v>
      </c>
      <c r="B287" s="6">
        <v>46194</v>
      </c>
      <c r="C287" s="7" t="s">
        <v>1187</v>
      </c>
      <c r="D287" s="7" t="s">
        <v>1188</v>
      </c>
      <c r="E287" s="8" t="s">
        <v>1189</v>
      </c>
      <c r="F287" s="8" t="s">
        <v>1190</v>
      </c>
      <c r="G287" s="8" t="s">
        <v>1191</v>
      </c>
      <c r="H287" s="7"/>
      <c r="I287" s="7" t="s">
        <v>1192</v>
      </c>
      <c r="J287" s="7"/>
      <c r="K287" s="7"/>
      <c r="L287" s="7"/>
      <c r="M287" s="7"/>
      <c r="N287" s="8" t="s">
        <v>35</v>
      </c>
      <c r="O287" s="8"/>
      <c r="P287" s="9"/>
      <c r="Q287" s="10" t="s">
        <v>36</v>
      </c>
      <c r="R287" s="8" t="s">
        <v>57</v>
      </c>
      <c r="S287" s="8"/>
      <c r="T287" s="8" t="s">
        <v>1147</v>
      </c>
      <c r="U287" s="8"/>
      <c r="V287" s="8"/>
      <c r="W287" s="8"/>
      <c r="X287" s="8"/>
      <c r="Y287" s="8"/>
      <c r="Z287" s="8"/>
      <c r="AA287" s="8"/>
      <c r="AB287" s="8"/>
      <c r="AC287" s="8"/>
      <c r="AD287" s="7"/>
      <c r="AE287" s="7"/>
    </row>
    <row r="288" spans="1:31" ht="26.25" customHeight="1">
      <c r="A288" s="5">
        <v>287</v>
      </c>
      <c r="B288" s="6">
        <v>46194</v>
      </c>
      <c r="C288" s="11" t="s">
        <v>1193</v>
      </c>
      <c r="D288" s="11" t="s">
        <v>1194</v>
      </c>
      <c r="E288" s="28" t="s">
        <v>1195</v>
      </c>
      <c r="F288" s="28" t="s">
        <v>325</v>
      </c>
      <c r="G288" s="28" t="s">
        <v>1196</v>
      </c>
      <c r="H288" s="11"/>
      <c r="I288" s="11" t="s">
        <v>1152</v>
      </c>
      <c r="J288" s="11" t="s">
        <v>1197</v>
      </c>
      <c r="K288" s="11"/>
      <c r="L288" s="11"/>
      <c r="M288" s="11"/>
      <c r="N288" s="8" t="s">
        <v>35</v>
      </c>
      <c r="O288" s="8"/>
      <c r="P288" s="9"/>
      <c r="Q288" s="10" t="s">
        <v>36</v>
      </c>
      <c r="R288" s="8"/>
      <c r="S288" s="8"/>
      <c r="T288" s="8" t="s">
        <v>1147</v>
      </c>
      <c r="U288" s="8"/>
      <c r="V288" s="8"/>
      <c r="W288" s="8"/>
      <c r="X288" s="8"/>
      <c r="Y288" s="8"/>
      <c r="Z288" s="8"/>
      <c r="AA288" s="8"/>
      <c r="AB288" s="8"/>
      <c r="AC288" s="8"/>
      <c r="AD288" s="7"/>
      <c r="AE288" s="7"/>
    </row>
    <row r="289" spans="1:31" ht="26.25" customHeight="1">
      <c r="A289" s="5">
        <v>288</v>
      </c>
      <c r="B289" s="6">
        <v>46194</v>
      </c>
      <c r="C289" s="7" t="s">
        <v>1198</v>
      </c>
      <c r="D289" s="7" t="s">
        <v>1199</v>
      </c>
      <c r="E289" s="8" t="s">
        <v>1200</v>
      </c>
      <c r="F289" s="8" t="s">
        <v>1201</v>
      </c>
      <c r="G289" s="8" t="s">
        <v>1158</v>
      </c>
      <c r="H289" s="7"/>
      <c r="I289" s="7" t="s">
        <v>1159</v>
      </c>
      <c r="J289" s="7" t="s">
        <v>819</v>
      </c>
      <c r="K289" s="7"/>
      <c r="L289" s="7"/>
      <c r="M289" s="7"/>
      <c r="N289" s="8" t="s">
        <v>35</v>
      </c>
      <c r="O289" s="8"/>
      <c r="P289" s="9"/>
      <c r="Q289" s="10" t="s">
        <v>36</v>
      </c>
      <c r="R289" s="8"/>
      <c r="S289" s="8"/>
      <c r="T289" s="8" t="s">
        <v>1162</v>
      </c>
      <c r="U289" s="8"/>
      <c r="V289" s="8"/>
      <c r="W289" s="8"/>
      <c r="X289" s="8"/>
      <c r="Y289" s="8"/>
      <c r="Z289" s="8"/>
      <c r="AA289" s="8"/>
      <c r="AB289" s="8"/>
      <c r="AC289" s="8"/>
      <c r="AD289" s="7"/>
      <c r="AE289" s="7"/>
    </row>
    <row r="290" spans="1:31" ht="26.25" customHeight="1">
      <c r="A290" s="5">
        <v>289</v>
      </c>
      <c r="B290" s="6">
        <v>46194</v>
      </c>
      <c r="C290" s="7" t="s">
        <v>1202</v>
      </c>
      <c r="D290" s="7" t="s">
        <v>1203</v>
      </c>
      <c r="E290" s="8" t="s">
        <v>1204</v>
      </c>
      <c r="F290" s="8" t="s">
        <v>698</v>
      </c>
      <c r="G290" s="8" t="s">
        <v>1180</v>
      </c>
      <c r="H290" s="7"/>
      <c r="I290" s="7" t="s">
        <v>1159</v>
      </c>
      <c r="J290" s="7"/>
      <c r="K290" s="7"/>
      <c r="L290" s="7"/>
      <c r="M290" s="7"/>
      <c r="N290" s="8" t="s">
        <v>35</v>
      </c>
      <c r="O290" s="8"/>
      <c r="P290" s="9"/>
      <c r="Q290" s="10" t="s">
        <v>36</v>
      </c>
      <c r="R290" s="8"/>
      <c r="S290" s="8"/>
      <c r="T290" s="8" t="s">
        <v>1186</v>
      </c>
      <c r="U290" s="8"/>
      <c r="V290" s="8"/>
      <c r="W290" s="8"/>
      <c r="X290" s="8"/>
      <c r="Y290" s="8"/>
      <c r="Z290" s="8"/>
      <c r="AA290" s="8"/>
      <c r="AB290" s="8"/>
      <c r="AC290" s="8"/>
      <c r="AD290" s="7"/>
      <c r="AE290" s="7"/>
    </row>
    <row r="291" spans="1:31" ht="26.25" customHeight="1">
      <c r="A291" s="5">
        <v>290</v>
      </c>
      <c r="B291" s="6">
        <v>46194</v>
      </c>
      <c r="C291" s="7" t="s">
        <v>1205</v>
      </c>
      <c r="D291" s="7" t="s">
        <v>1206</v>
      </c>
      <c r="E291" s="8">
        <v>9940405087</v>
      </c>
      <c r="F291" s="8" t="s">
        <v>48</v>
      </c>
      <c r="G291" s="8">
        <v>1</v>
      </c>
      <c r="H291" s="7"/>
      <c r="I291" s="7"/>
      <c r="J291" s="7" t="s">
        <v>1137</v>
      </c>
      <c r="K291" s="7"/>
      <c r="L291" s="7"/>
      <c r="M291" s="7"/>
      <c r="N291" s="8" t="s">
        <v>44</v>
      </c>
      <c r="O291" s="8"/>
      <c r="P291" s="9"/>
      <c r="Q291" s="10" t="s">
        <v>71</v>
      </c>
      <c r="R291" s="8" t="s">
        <v>57</v>
      </c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7"/>
      <c r="AE291" s="7"/>
    </row>
    <row r="292" spans="1:31" ht="26.25" customHeight="1">
      <c r="A292" s="21">
        <v>291</v>
      </c>
      <c r="B292" s="22">
        <v>46194</v>
      </c>
      <c r="C292" s="23" t="s">
        <v>1207</v>
      </c>
      <c r="D292" s="23"/>
      <c r="E292" s="24">
        <v>7845588810</v>
      </c>
      <c r="F292" s="24" t="s">
        <v>48</v>
      </c>
      <c r="G292" s="24"/>
      <c r="H292" s="23"/>
      <c r="I292" s="23"/>
      <c r="J292" s="23" t="s">
        <v>1208</v>
      </c>
      <c r="K292" s="23"/>
      <c r="L292" s="23"/>
      <c r="M292" s="23"/>
      <c r="N292" s="24" t="s">
        <v>122</v>
      </c>
      <c r="O292" s="24"/>
      <c r="P292" s="25"/>
      <c r="Q292" s="26" t="s">
        <v>71</v>
      </c>
      <c r="R292" s="24"/>
      <c r="S292" s="24"/>
      <c r="T292" s="24"/>
      <c r="U292" s="24" t="s">
        <v>378</v>
      </c>
      <c r="V292" s="24"/>
      <c r="W292" s="24"/>
      <c r="X292" s="24"/>
      <c r="Y292" s="24"/>
      <c r="Z292" s="24"/>
      <c r="AA292" s="24"/>
      <c r="AB292" s="24"/>
      <c r="AC292" s="24"/>
      <c r="AD292" s="23"/>
      <c r="AE292" s="23"/>
    </row>
    <row r="293" spans="1:31" ht="26.25" customHeight="1">
      <c r="A293" s="5">
        <v>292</v>
      </c>
      <c r="B293" s="6">
        <v>46194</v>
      </c>
      <c r="C293" s="7" t="s">
        <v>1138</v>
      </c>
      <c r="D293" s="7"/>
      <c r="E293" s="8">
        <v>9847324723</v>
      </c>
      <c r="F293" s="8" t="s">
        <v>1139</v>
      </c>
      <c r="G293" s="8">
        <v>6</v>
      </c>
      <c r="H293" s="7"/>
      <c r="I293" s="7"/>
      <c r="J293" s="7" t="s">
        <v>1140</v>
      </c>
      <c r="K293" s="7"/>
      <c r="L293" s="7"/>
      <c r="M293" s="7"/>
      <c r="N293" s="8" t="s">
        <v>35</v>
      </c>
      <c r="O293" s="8"/>
      <c r="P293" s="9"/>
      <c r="Q293" s="10" t="s">
        <v>71</v>
      </c>
      <c r="R293" s="8" t="s">
        <v>57</v>
      </c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7"/>
      <c r="AE293" s="7"/>
    </row>
    <row r="294" spans="1:31" ht="26.25" customHeight="1">
      <c r="A294" s="5">
        <v>293</v>
      </c>
      <c r="B294" s="6">
        <v>46195</v>
      </c>
      <c r="C294" s="7" t="s">
        <v>1209</v>
      </c>
      <c r="D294" s="7" t="s">
        <v>1209</v>
      </c>
      <c r="E294" s="8">
        <v>9884466703</v>
      </c>
      <c r="F294" s="8" t="s">
        <v>1210</v>
      </c>
      <c r="G294" s="8"/>
      <c r="H294" s="7"/>
      <c r="I294" s="7" t="s">
        <v>1211</v>
      </c>
      <c r="J294" s="7" t="s">
        <v>1212</v>
      </c>
      <c r="K294" s="7"/>
      <c r="L294" s="7"/>
      <c r="M294" s="7"/>
      <c r="N294" s="8" t="s">
        <v>35</v>
      </c>
      <c r="O294" s="8"/>
      <c r="P294" s="9"/>
      <c r="Q294" s="10" t="s">
        <v>36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7"/>
      <c r="AE294" s="7"/>
    </row>
    <row r="295" spans="1:31" ht="54" customHeight="1">
      <c r="A295" s="5">
        <v>294</v>
      </c>
      <c r="B295" s="6">
        <v>46195</v>
      </c>
      <c r="C295" s="7" t="s">
        <v>1213</v>
      </c>
      <c r="D295" s="7" t="s">
        <v>1214</v>
      </c>
      <c r="E295" s="8">
        <v>8075690821</v>
      </c>
      <c r="F295" s="8" t="s">
        <v>680</v>
      </c>
      <c r="G295" s="8">
        <v>30</v>
      </c>
      <c r="H295" s="7"/>
      <c r="I295" s="7"/>
      <c r="J295" s="7" t="s">
        <v>1215</v>
      </c>
      <c r="K295" s="7"/>
      <c r="L295" s="7" t="s">
        <v>1216</v>
      </c>
      <c r="M295" s="7"/>
      <c r="N295" s="8" t="s">
        <v>35</v>
      </c>
      <c r="O295" s="8"/>
      <c r="P295" s="9"/>
      <c r="Q295" s="10" t="s">
        <v>71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7"/>
      <c r="AE295" s="7"/>
    </row>
    <row r="296" spans="1:31" ht="26.25" customHeight="1">
      <c r="A296" s="5">
        <v>295</v>
      </c>
      <c r="B296" s="6">
        <v>46195</v>
      </c>
      <c r="C296" s="7" t="s">
        <v>1217</v>
      </c>
      <c r="D296" s="7" t="s">
        <v>1218</v>
      </c>
      <c r="E296" s="8">
        <v>9997777365</v>
      </c>
      <c r="F296" s="8" t="s">
        <v>1219</v>
      </c>
      <c r="G296" s="8">
        <v>8</v>
      </c>
      <c r="H296" s="7"/>
      <c r="I296" s="7"/>
      <c r="J296" s="7"/>
      <c r="K296" s="7"/>
      <c r="L296" s="7"/>
      <c r="M296" s="7"/>
      <c r="N296" s="8" t="s">
        <v>35</v>
      </c>
      <c r="O296" s="8"/>
      <c r="P296" s="9"/>
      <c r="Q296" s="10" t="s">
        <v>71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7"/>
      <c r="AE296" s="7"/>
    </row>
    <row r="297" spans="1:31" ht="46.5" customHeight="1">
      <c r="A297" s="56">
        <v>296</v>
      </c>
      <c r="B297" s="57">
        <v>46195</v>
      </c>
      <c r="C297" s="58" t="s">
        <v>1220</v>
      </c>
      <c r="D297" s="58" t="s">
        <v>1221</v>
      </c>
      <c r="E297" s="59">
        <v>9926060204</v>
      </c>
      <c r="F297" s="59" t="s">
        <v>1222</v>
      </c>
      <c r="G297" s="59">
        <v>45</v>
      </c>
      <c r="H297" s="70" t="s">
        <v>1223</v>
      </c>
      <c r="I297" s="58"/>
      <c r="J297" s="58" t="s">
        <v>1224</v>
      </c>
      <c r="K297" s="58"/>
      <c r="L297" s="58"/>
      <c r="M297" s="58"/>
      <c r="N297" s="59" t="s">
        <v>106</v>
      </c>
      <c r="O297" s="59"/>
      <c r="P297" s="60"/>
      <c r="Q297" s="61" t="s">
        <v>71</v>
      </c>
      <c r="R297" s="59" t="s">
        <v>57</v>
      </c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8"/>
      <c r="AE297" s="58"/>
    </row>
    <row r="298" spans="1:31" ht="26.25" customHeight="1">
      <c r="A298" s="5">
        <v>297</v>
      </c>
      <c r="B298" s="6">
        <v>46195</v>
      </c>
      <c r="C298" s="7" t="s">
        <v>1225</v>
      </c>
      <c r="D298" s="7" t="s">
        <v>1225</v>
      </c>
      <c r="E298" s="8">
        <v>9448662112</v>
      </c>
      <c r="F298" s="8" t="s">
        <v>1226</v>
      </c>
      <c r="G298" s="8">
        <v>10</v>
      </c>
      <c r="H298" s="7"/>
      <c r="I298" s="7"/>
      <c r="J298" s="7" t="s">
        <v>1227</v>
      </c>
      <c r="K298" s="7"/>
      <c r="L298" s="7" t="s">
        <v>1228</v>
      </c>
      <c r="M298" s="7"/>
      <c r="N298" s="8" t="s">
        <v>106</v>
      </c>
      <c r="O298" s="8"/>
      <c r="P298" s="9"/>
      <c r="Q298" s="10" t="s">
        <v>71</v>
      </c>
      <c r="R298" s="8" t="s">
        <v>57</v>
      </c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7"/>
      <c r="AE298" s="7"/>
    </row>
    <row r="299" spans="1:31" ht="26.25" customHeight="1">
      <c r="A299" s="5">
        <v>298</v>
      </c>
      <c r="B299" s="6">
        <v>46195</v>
      </c>
      <c r="C299" s="7" t="s">
        <v>1229</v>
      </c>
      <c r="D299" s="7" t="s">
        <v>1230</v>
      </c>
      <c r="E299" s="8">
        <v>7942801182</v>
      </c>
      <c r="F299" s="8" t="s">
        <v>48</v>
      </c>
      <c r="G299" s="8">
        <v>20</v>
      </c>
      <c r="H299" s="7"/>
      <c r="I299" s="7"/>
      <c r="J299" s="7" t="s">
        <v>1231</v>
      </c>
      <c r="K299" s="7"/>
      <c r="L299" s="7"/>
      <c r="M299" s="7"/>
      <c r="N299" s="8" t="s">
        <v>122</v>
      </c>
      <c r="O299" s="8"/>
      <c r="P299" s="9"/>
      <c r="Q299" s="10" t="s">
        <v>71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7"/>
      <c r="AE299" s="7"/>
    </row>
    <row r="300" spans="1:31" ht="57.75" customHeight="1">
      <c r="A300" s="5">
        <v>299</v>
      </c>
      <c r="B300" s="6">
        <v>46196</v>
      </c>
      <c r="C300" s="7" t="s">
        <v>1232</v>
      </c>
      <c r="D300" s="7" t="s">
        <v>1233</v>
      </c>
      <c r="E300" s="8">
        <v>6383658758</v>
      </c>
      <c r="F300" s="8" t="s">
        <v>1234</v>
      </c>
      <c r="G300" s="8">
        <v>20</v>
      </c>
      <c r="H300" s="7"/>
      <c r="I300" s="7" t="s">
        <v>1235</v>
      </c>
      <c r="J300" s="7" t="s">
        <v>1236</v>
      </c>
      <c r="K300" s="7"/>
      <c r="L300" s="7" t="s">
        <v>1237</v>
      </c>
      <c r="M300" s="7"/>
      <c r="N300" s="8" t="s">
        <v>1238</v>
      </c>
      <c r="O300" s="8"/>
      <c r="P300" s="9"/>
      <c r="Q300" s="10" t="s">
        <v>307</v>
      </c>
      <c r="R300" s="8" t="s">
        <v>57</v>
      </c>
      <c r="S300" s="8"/>
      <c r="T300" s="8"/>
      <c r="U300" s="8" t="s">
        <v>144</v>
      </c>
      <c r="V300" s="8"/>
      <c r="W300" s="8"/>
      <c r="X300" s="8"/>
      <c r="Y300" s="8"/>
      <c r="Z300" s="8"/>
      <c r="AA300" s="8"/>
      <c r="AB300" s="8"/>
      <c r="AC300" s="8"/>
      <c r="AD300" s="7"/>
      <c r="AE300" s="7"/>
    </row>
    <row r="301" spans="1:31" ht="60.75" customHeight="1">
      <c r="A301" s="5">
        <v>300</v>
      </c>
      <c r="B301" s="6">
        <v>46196</v>
      </c>
      <c r="C301" s="71" t="s">
        <v>1239</v>
      </c>
      <c r="D301" s="71" t="s">
        <v>1240</v>
      </c>
      <c r="E301" s="27">
        <v>7602697577</v>
      </c>
      <c r="F301" s="27" t="s">
        <v>1241</v>
      </c>
      <c r="G301" s="27"/>
      <c r="H301" s="71"/>
      <c r="I301" s="71" t="s">
        <v>1242</v>
      </c>
      <c r="J301" s="71" t="s">
        <v>1243</v>
      </c>
      <c r="K301" s="72"/>
      <c r="L301" s="72"/>
      <c r="M301" s="72"/>
      <c r="N301" s="8" t="s">
        <v>35</v>
      </c>
      <c r="O301" s="27"/>
      <c r="P301" s="73"/>
      <c r="Q301" s="72" t="s">
        <v>71</v>
      </c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72"/>
      <c r="AE301" s="72"/>
    </row>
    <row r="302" spans="1:31" ht="50.25" customHeight="1">
      <c r="A302" s="5">
        <v>301</v>
      </c>
      <c r="B302" s="74">
        <v>46196</v>
      </c>
      <c r="C302" s="71" t="s">
        <v>144</v>
      </c>
      <c r="D302" s="71" t="s">
        <v>1244</v>
      </c>
      <c r="E302" s="27">
        <v>9810208172</v>
      </c>
      <c r="F302" s="27" t="s">
        <v>1245</v>
      </c>
      <c r="G302" s="27"/>
      <c r="H302" s="71"/>
      <c r="I302" s="71" t="s">
        <v>1246</v>
      </c>
      <c r="J302" s="71" t="s">
        <v>1247</v>
      </c>
      <c r="K302" s="72" t="s">
        <v>1248</v>
      </c>
      <c r="L302" s="72"/>
      <c r="M302" s="72"/>
      <c r="N302" s="8" t="s">
        <v>35</v>
      </c>
      <c r="O302" s="27"/>
      <c r="P302" s="73"/>
      <c r="Q302" s="72" t="s">
        <v>1111</v>
      </c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72"/>
      <c r="AE302" s="72"/>
    </row>
    <row r="303" spans="1:31" ht="57" customHeight="1">
      <c r="A303" s="75">
        <v>302</v>
      </c>
      <c r="B303" s="76">
        <v>46197</v>
      </c>
      <c r="C303" s="77" t="s">
        <v>1249</v>
      </c>
      <c r="D303" s="77"/>
      <c r="E303" s="29">
        <v>7092486047</v>
      </c>
      <c r="F303" s="29" t="s">
        <v>1250</v>
      </c>
      <c r="G303" s="29"/>
      <c r="H303" s="78" t="s">
        <v>1251</v>
      </c>
      <c r="I303" s="77" t="s">
        <v>1252</v>
      </c>
      <c r="J303" s="77" t="s">
        <v>1253</v>
      </c>
      <c r="K303" s="79"/>
      <c r="L303" s="79"/>
      <c r="M303" s="79"/>
      <c r="N303" s="29" t="s">
        <v>106</v>
      </c>
      <c r="O303" s="29"/>
      <c r="P303" s="80"/>
      <c r="Q303" s="79" t="s">
        <v>307</v>
      </c>
      <c r="R303" s="29"/>
      <c r="S303" s="29"/>
      <c r="T303" s="29"/>
      <c r="U303" s="29" t="s">
        <v>173</v>
      </c>
      <c r="V303" s="29"/>
      <c r="W303" s="29"/>
      <c r="X303" s="29"/>
      <c r="Y303" s="29"/>
      <c r="Z303" s="29"/>
      <c r="AA303" s="29"/>
      <c r="AB303" s="29"/>
      <c r="AC303" s="29"/>
      <c r="AD303" s="79"/>
      <c r="AE303" s="79"/>
    </row>
    <row r="304" spans="1:31" ht="45.75" customHeight="1">
      <c r="A304" s="75">
        <v>303</v>
      </c>
      <c r="B304" s="76">
        <v>46197</v>
      </c>
      <c r="C304" s="77" t="s">
        <v>1254</v>
      </c>
      <c r="D304" s="77" t="s">
        <v>1255</v>
      </c>
      <c r="E304" s="29">
        <v>8807676156</v>
      </c>
      <c r="F304" s="29" t="s">
        <v>1256</v>
      </c>
      <c r="G304" s="29">
        <v>30</v>
      </c>
      <c r="H304" s="78" t="s">
        <v>1257</v>
      </c>
      <c r="I304" s="77"/>
      <c r="J304" s="77" t="s">
        <v>1258</v>
      </c>
      <c r="K304" s="81"/>
      <c r="L304" s="79" t="s">
        <v>1259</v>
      </c>
      <c r="M304" s="79" t="s">
        <v>1260</v>
      </c>
      <c r="N304" s="29" t="s">
        <v>329</v>
      </c>
      <c r="O304" s="29"/>
      <c r="P304" s="80"/>
      <c r="Q304" s="79" t="s">
        <v>307</v>
      </c>
      <c r="R304" s="29"/>
      <c r="S304" s="29"/>
      <c r="T304" s="29" t="s">
        <v>1261</v>
      </c>
      <c r="U304" s="29" t="s">
        <v>144</v>
      </c>
      <c r="V304" s="29"/>
      <c r="W304" s="29"/>
      <c r="X304" s="29"/>
      <c r="Y304" s="29"/>
      <c r="Z304" s="29"/>
      <c r="AA304" s="29"/>
      <c r="AB304" s="29"/>
      <c r="AC304" s="29"/>
      <c r="AD304" s="79"/>
      <c r="AE304" s="79"/>
    </row>
    <row r="305" spans="1:31" ht="26.25" customHeight="1">
      <c r="A305" s="75">
        <v>304</v>
      </c>
      <c r="B305" s="76">
        <v>46197</v>
      </c>
      <c r="C305" s="77" t="s">
        <v>1262</v>
      </c>
      <c r="D305" s="77"/>
      <c r="E305" s="29" t="s">
        <v>1263</v>
      </c>
      <c r="F305" s="29" t="s">
        <v>312</v>
      </c>
      <c r="G305" s="29">
        <v>48</v>
      </c>
      <c r="H305" s="78" t="s">
        <v>1264</v>
      </c>
      <c r="I305" s="77" t="s">
        <v>1265</v>
      </c>
      <c r="J305" s="77" t="s">
        <v>1258</v>
      </c>
      <c r="K305" s="79"/>
      <c r="L305" s="79" t="s">
        <v>1266</v>
      </c>
      <c r="M305" s="79" t="s">
        <v>1267</v>
      </c>
      <c r="N305" s="29" t="s">
        <v>106</v>
      </c>
      <c r="O305" s="29"/>
      <c r="P305" s="80"/>
      <c r="Q305" s="79" t="s">
        <v>71</v>
      </c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79"/>
      <c r="AE305" s="79"/>
    </row>
    <row r="306" spans="1:31" ht="26.25" customHeight="1">
      <c r="A306" s="5">
        <v>305</v>
      </c>
      <c r="B306" s="74">
        <v>46198</v>
      </c>
      <c r="C306" s="71" t="s">
        <v>991</v>
      </c>
      <c r="D306" s="71"/>
      <c r="E306" s="27">
        <v>8073305776</v>
      </c>
      <c r="F306" s="27" t="s">
        <v>1268</v>
      </c>
      <c r="G306" s="27">
        <v>1</v>
      </c>
      <c r="H306" s="71"/>
      <c r="I306" s="71"/>
      <c r="J306" s="71" t="s">
        <v>1269</v>
      </c>
      <c r="K306" s="72"/>
      <c r="L306" s="72"/>
      <c r="M306" s="72"/>
      <c r="N306" s="27" t="s">
        <v>35</v>
      </c>
      <c r="O306" s="27"/>
      <c r="P306" s="73"/>
      <c r="Q306" s="72" t="s">
        <v>71</v>
      </c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72"/>
      <c r="AE306" s="72"/>
    </row>
    <row r="307" spans="1:31" ht="26.25" customHeight="1">
      <c r="A307" s="5">
        <v>306</v>
      </c>
      <c r="B307" s="74">
        <v>46198</v>
      </c>
      <c r="C307" s="71" t="s">
        <v>1270</v>
      </c>
      <c r="D307" s="71" t="s">
        <v>1271</v>
      </c>
      <c r="E307" s="27" t="s">
        <v>1272</v>
      </c>
      <c r="F307" s="27" t="s">
        <v>1273</v>
      </c>
      <c r="G307" s="27" t="s">
        <v>1180</v>
      </c>
      <c r="H307" s="71"/>
      <c r="I307" s="71" t="s">
        <v>1152</v>
      </c>
      <c r="J307" s="71" t="s">
        <v>1274</v>
      </c>
      <c r="K307" s="72"/>
      <c r="L307" s="72"/>
      <c r="M307" s="72"/>
      <c r="N307" s="27" t="s">
        <v>35</v>
      </c>
      <c r="O307" s="27"/>
      <c r="P307" s="73"/>
      <c r="Q307" s="72" t="s">
        <v>36</v>
      </c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72"/>
      <c r="AE307" s="72"/>
    </row>
    <row r="308" spans="1:31" ht="26.25" customHeight="1">
      <c r="A308" s="5">
        <v>307</v>
      </c>
      <c r="B308" s="74">
        <v>46198</v>
      </c>
      <c r="C308" s="71" t="s">
        <v>1275</v>
      </c>
      <c r="D308" s="71" t="s">
        <v>1276</v>
      </c>
      <c r="E308" s="27" t="s">
        <v>1277</v>
      </c>
      <c r="F308" s="27" t="s">
        <v>1278</v>
      </c>
      <c r="G308" s="27">
        <v>20</v>
      </c>
      <c r="H308" s="71"/>
      <c r="I308" s="71" t="s">
        <v>710</v>
      </c>
      <c r="J308" s="71" t="s">
        <v>1274</v>
      </c>
      <c r="K308" s="72"/>
      <c r="L308" s="72"/>
      <c r="M308" s="72"/>
      <c r="N308" s="27" t="s">
        <v>35</v>
      </c>
      <c r="O308" s="27"/>
      <c r="P308" s="73"/>
      <c r="Q308" s="72" t="s">
        <v>36</v>
      </c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72"/>
      <c r="AE308" s="72"/>
    </row>
    <row r="309" spans="1:31" ht="53.25" customHeight="1">
      <c r="A309" s="5">
        <v>308</v>
      </c>
      <c r="B309" s="74">
        <v>46198</v>
      </c>
      <c r="C309" s="71" t="s">
        <v>1279</v>
      </c>
      <c r="D309" s="71" t="s">
        <v>1280</v>
      </c>
      <c r="E309" s="27">
        <v>9011171713</v>
      </c>
      <c r="F309" s="27" t="s">
        <v>1281</v>
      </c>
      <c r="G309" s="27" t="s">
        <v>1282</v>
      </c>
      <c r="H309" s="71"/>
      <c r="I309" s="71"/>
      <c r="J309" s="71" t="s">
        <v>1283</v>
      </c>
      <c r="K309" s="72"/>
      <c r="L309" s="72" t="s">
        <v>1284</v>
      </c>
      <c r="M309" s="72"/>
      <c r="N309" s="27" t="s">
        <v>35</v>
      </c>
      <c r="O309" s="27"/>
      <c r="P309" s="73"/>
      <c r="Q309" s="72" t="s">
        <v>307</v>
      </c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72"/>
      <c r="AE309" s="72"/>
    </row>
    <row r="310" spans="1:31" ht="52.5" customHeight="1">
      <c r="A310" s="39">
        <v>309</v>
      </c>
      <c r="B310" s="76">
        <v>46198</v>
      </c>
      <c r="C310" s="77" t="s">
        <v>1285</v>
      </c>
      <c r="D310" s="77" t="s">
        <v>1286</v>
      </c>
      <c r="E310" s="29">
        <v>9326137159</v>
      </c>
      <c r="F310" s="29" t="s">
        <v>1287</v>
      </c>
      <c r="G310" s="29">
        <v>296</v>
      </c>
      <c r="H310" s="78" t="s">
        <v>1288</v>
      </c>
      <c r="I310" s="77" t="s">
        <v>1289</v>
      </c>
      <c r="J310" s="77" t="s">
        <v>1290</v>
      </c>
      <c r="K310" s="79"/>
      <c r="L310" s="79" t="s">
        <v>1291</v>
      </c>
      <c r="M310" s="79" t="s">
        <v>1292</v>
      </c>
      <c r="N310" s="29" t="s">
        <v>106</v>
      </c>
      <c r="O310" s="29"/>
      <c r="P310" s="80"/>
      <c r="Q310" s="79" t="s">
        <v>307</v>
      </c>
      <c r="R310" s="29" t="s">
        <v>57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79"/>
      <c r="AE310" s="79"/>
    </row>
    <row r="311" spans="1:31" ht="40.5" customHeight="1">
      <c r="A311" s="27">
        <v>310</v>
      </c>
      <c r="B311" s="74">
        <v>46198</v>
      </c>
      <c r="C311" s="71" t="s">
        <v>1293</v>
      </c>
      <c r="D311" s="71" t="s">
        <v>1294</v>
      </c>
      <c r="E311" s="27">
        <v>9958652345</v>
      </c>
      <c r="F311" s="27" t="s">
        <v>1295</v>
      </c>
      <c r="G311" s="27"/>
      <c r="H311" s="71"/>
      <c r="I311" s="71" t="s">
        <v>423</v>
      </c>
      <c r="J311" s="71" t="s">
        <v>1296</v>
      </c>
      <c r="K311" s="72"/>
      <c r="L311" s="72"/>
      <c r="M311" s="72"/>
      <c r="N311" s="27" t="s">
        <v>35</v>
      </c>
      <c r="O311" s="27"/>
      <c r="P311" s="73"/>
      <c r="Q311" s="72" t="s">
        <v>71</v>
      </c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72"/>
      <c r="AE311" s="72"/>
    </row>
    <row r="312" spans="1:31" ht="40.5" customHeight="1">
      <c r="A312" s="27">
        <v>311</v>
      </c>
      <c r="B312" s="74">
        <v>46199</v>
      </c>
      <c r="C312" s="71" t="s">
        <v>1297</v>
      </c>
      <c r="D312" s="71" t="s">
        <v>1298</v>
      </c>
      <c r="E312" s="27" t="s">
        <v>1299</v>
      </c>
      <c r="F312" s="27" t="s">
        <v>215</v>
      </c>
      <c r="G312" s="27" t="s">
        <v>1300</v>
      </c>
      <c r="H312" s="82" t="s">
        <v>1301</v>
      </c>
      <c r="I312" s="71" t="s">
        <v>1168</v>
      </c>
      <c r="J312" s="71" t="s">
        <v>1302</v>
      </c>
      <c r="K312" s="72"/>
      <c r="L312" s="72"/>
      <c r="M312" s="72"/>
      <c r="N312" s="27" t="s">
        <v>106</v>
      </c>
      <c r="O312" s="27"/>
      <c r="P312" s="73"/>
      <c r="Q312" s="72" t="s">
        <v>36</v>
      </c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72"/>
      <c r="AE312" s="72"/>
    </row>
    <row r="313" spans="1:31" ht="40.5" customHeight="1">
      <c r="A313" s="27">
        <v>312</v>
      </c>
      <c r="B313" s="74">
        <v>46199</v>
      </c>
      <c r="C313" s="71" t="s">
        <v>1303</v>
      </c>
      <c r="D313" s="71" t="s">
        <v>1304</v>
      </c>
      <c r="E313" s="27" t="s">
        <v>1305</v>
      </c>
      <c r="F313" s="27" t="s">
        <v>1306</v>
      </c>
      <c r="G313" s="27" t="s">
        <v>1307</v>
      </c>
      <c r="H313" s="71"/>
      <c r="I313" s="71" t="s">
        <v>1168</v>
      </c>
      <c r="J313" s="71" t="s">
        <v>1308</v>
      </c>
      <c r="K313" s="72"/>
      <c r="L313" s="72"/>
      <c r="M313" s="72"/>
      <c r="N313" s="27" t="s">
        <v>35</v>
      </c>
      <c r="O313" s="27"/>
      <c r="P313" s="73"/>
      <c r="Q313" s="72" t="s">
        <v>36</v>
      </c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72"/>
      <c r="AE313" s="72"/>
    </row>
    <row r="314" spans="1:31" ht="40.5" customHeight="1">
      <c r="A314" s="27">
        <v>313</v>
      </c>
      <c r="B314" s="74">
        <v>46199</v>
      </c>
      <c r="C314" s="71" t="s">
        <v>1309</v>
      </c>
      <c r="D314" s="71" t="s">
        <v>1310</v>
      </c>
      <c r="E314" s="27" t="s">
        <v>1311</v>
      </c>
      <c r="F314" s="27" t="s">
        <v>1312</v>
      </c>
      <c r="G314" s="27" t="s">
        <v>1313</v>
      </c>
      <c r="H314" s="71"/>
      <c r="I314" s="71" t="s">
        <v>1152</v>
      </c>
      <c r="J314" s="71" t="s">
        <v>1314</v>
      </c>
      <c r="K314" s="72"/>
      <c r="L314" s="72"/>
      <c r="M314" s="72"/>
      <c r="N314" s="27" t="s">
        <v>180</v>
      </c>
      <c r="O314" s="27"/>
      <c r="P314" s="73"/>
      <c r="Q314" s="72" t="s">
        <v>36</v>
      </c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72"/>
      <c r="AE314" s="72"/>
    </row>
    <row r="315" spans="1:31" ht="40.5" customHeight="1">
      <c r="A315" s="27">
        <v>314</v>
      </c>
      <c r="B315" s="74">
        <v>46199</v>
      </c>
      <c r="C315" s="71" t="s">
        <v>1315</v>
      </c>
      <c r="D315" s="71" t="s">
        <v>1316</v>
      </c>
      <c r="E315" s="27" t="s">
        <v>1317</v>
      </c>
      <c r="F315" s="27" t="s">
        <v>1318</v>
      </c>
      <c r="G315" s="27" t="s">
        <v>1151</v>
      </c>
      <c r="H315" s="71"/>
      <c r="I315" s="71" t="s">
        <v>1168</v>
      </c>
      <c r="J315" s="71" t="s">
        <v>1319</v>
      </c>
      <c r="K315" s="72"/>
      <c r="L315" s="72" t="s">
        <v>1320</v>
      </c>
      <c r="M315" s="72"/>
      <c r="N315" s="27" t="s">
        <v>35</v>
      </c>
      <c r="O315" s="27"/>
      <c r="P315" s="73"/>
      <c r="Q315" s="72" t="s">
        <v>36</v>
      </c>
      <c r="R315" s="27" t="s">
        <v>57</v>
      </c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72"/>
      <c r="AE315" s="72"/>
    </row>
    <row r="316" spans="1:31" ht="70.5" customHeight="1">
      <c r="A316" s="27">
        <v>315</v>
      </c>
      <c r="B316" s="74">
        <v>46199</v>
      </c>
      <c r="C316" s="71" t="s">
        <v>1321</v>
      </c>
      <c r="D316" s="71" t="s">
        <v>1322</v>
      </c>
      <c r="E316" s="27" t="s">
        <v>1323</v>
      </c>
      <c r="F316" s="27" t="s">
        <v>1256</v>
      </c>
      <c r="G316" s="27" t="s">
        <v>1324</v>
      </c>
      <c r="H316" s="71"/>
      <c r="I316" s="71" t="s">
        <v>710</v>
      </c>
      <c r="J316" s="71" t="s">
        <v>1325</v>
      </c>
      <c r="K316" s="72"/>
      <c r="L316" s="72"/>
      <c r="M316" s="72"/>
      <c r="N316" s="27" t="s">
        <v>77</v>
      </c>
      <c r="O316" s="27"/>
      <c r="P316" s="73"/>
      <c r="Q316" s="72" t="s">
        <v>36</v>
      </c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72"/>
      <c r="AE316" s="72"/>
    </row>
    <row r="317" spans="1:31" ht="40.5" customHeight="1">
      <c r="A317" s="27">
        <v>316</v>
      </c>
      <c r="B317" s="74">
        <v>46199</v>
      </c>
      <c r="C317" s="71" t="s">
        <v>1326</v>
      </c>
      <c r="D317" s="71" t="s">
        <v>1327</v>
      </c>
      <c r="E317" s="27" t="s">
        <v>1328</v>
      </c>
      <c r="F317" s="27" t="s">
        <v>1329</v>
      </c>
      <c r="G317" s="27" t="s">
        <v>1173</v>
      </c>
      <c r="H317" s="71"/>
      <c r="I317" s="71" t="s">
        <v>1159</v>
      </c>
      <c r="J317" s="71" t="s">
        <v>1330</v>
      </c>
      <c r="K317" s="72"/>
      <c r="L317" s="72"/>
      <c r="M317" s="72"/>
      <c r="N317" s="27" t="s">
        <v>122</v>
      </c>
      <c r="O317" s="27"/>
      <c r="P317" s="73"/>
      <c r="Q317" s="72" t="s">
        <v>36</v>
      </c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72"/>
      <c r="AE317" s="72"/>
    </row>
    <row r="318" spans="1:31" ht="40.5" customHeight="1">
      <c r="A318" s="27">
        <v>317</v>
      </c>
      <c r="B318" s="74">
        <v>46199</v>
      </c>
      <c r="C318" s="71" t="s">
        <v>1331</v>
      </c>
      <c r="D318" s="71" t="s">
        <v>1332</v>
      </c>
      <c r="E318" s="27" t="s">
        <v>1333</v>
      </c>
      <c r="F318" s="27" t="s">
        <v>1334</v>
      </c>
      <c r="G318" s="27" t="s">
        <v>1335</v>
      </c>
      <c r="H318" s="71"/>
      <c r="I318" s="71" t="s">
        <v>1168</v>
      </c>
      <c r="J318" s="71" t="s">
        <v>1091</v>
      </c>
      <c r="K318" s="72"/>
      <c r="L318" s="72"/>
      <c r="M318" s="72"/>
      <c r="N318" s="27" t="s">
        <v>35</v>
      </c>
      <c r="O318" s="27"/>
      <c r="P318" s="73"/>
      <c r="Q318" s="72" t="s">
        <v>36</v>
      </c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72"/>
      <c r="AE318" s="72"/>
    </row>
    <row r="319" spans="1:31" ht="59.25" customHeight="1">
      <c r="A319" s="27">
        <v>318</v>
      </c>
      <c r="B319" s="74">
        <v>46199</v>
      </c>
      <c r="C319" s="71" t="s">
        <v>1336</v>
      </c>
      <c r="D319" s="71" t="s">
        <v>1337</v>
      </c>
      <c r="E319" s="27">
        <v>8073313600</v>
      </c>
      <c r="F319" s="27" t="s">
        <v>1338</v>
      </c>
      <c r="G319" s="27">
        <v>6</v>
      </c>
      <c r="H319" s="71"/>
      <c r="I319" s="71" t="s">
        <v>423</v>
      </c>
      <c r="J319" s="71" t="s">
        <v>1339</v>
      </c>
      <c r="K319" s="72"/>
      <c r="L319" s="72"/>
      <c r="M319" s="72"/>
      <c r="N319" s="27" t="s">
        <v>35</v>
      </c>
      <c r="O319" s="27"/>
      <c r="P319" s="73"/>
      <c r="Q319" s="72" t="s">
        <v>71</v>
      </c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72"/>
      <c r="AE319" s="72"/>
    </row>
    <row r="320" spans="1:31" ht="44.25" customHeight="1">
      <c r="A320" s="27">
        <v>319</v>
      </c>
      <c r="B320" s="74">
        <v>46199</v>
      </c>
      <c r="C320" s="71" t="s">
        <v>1340</v>
      </c>
      <c r="D320" s="71" t="s">
        <v>1341</v>
      </c>
      <c r="E320" s="27">
        <v>8078678378</v>
      </c>
      <c r="F320" s="27" t="s">
        <v>1342</v>
      </c>
      <c r="G320" s="27">
        <v>7</v>
      </c>
      <c r="H320" s="71"/>
      <c r="I320" s="71" t="s">
        <v>423</v>
      </c>
      <c r="J320" s="71" t="s">
        <v>1343</v>
      </c>
      <c r="K320" s="72"/>
      <c r="L320" s="72"/>
      <c r="M320" s="72"/>
      <c r="N320" s="27" t="s">
        <v>35</v>
      </c>
      <c r="O320" s="27"/>
      <c r="P320" s="73"/>
      <c r="Q320" s="72" t="s">
        <v>71</v>
      </c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72"/>
      <c r="AE320" s="72"/>
    </row>
    <row r="321" spans="1:31" ht="40.5" customHeight="1">
      <c r="A321" s="27">
        <v>320</v>
      </c>
      <c r="B321" s="74">
        <v>46200</v>
      </c>
      <c r="C321" s="71" t="s">
        <v>1344</v>
      </c>
      <c r="D321" s="71" t="s">
        <v>1345</v>
      </c>
      <c r="E321" s="27" t="s">
        <v>1346</v>
      </c>
      <c r="F321" s="27" t="s">
        <v>164</v>
      </c>
      <c r="G321" s="27" t="s">
        <v>1173</v>
      </c>
      <c r="H321" s="71"/>
      <c r="I321" s="71"/>
      <c r="J321" s="71" t="s">
        <v>1091</v>
      </c>
      <c r="K321" s="72"/>
      <c r="L321" s="72"/>
      <c r="M321" s="72"/>
      <c r="N321" s="27" t="s">
        <v>44</v>
      </c>
      <c r="O321" s="27"/>
      <c r="P321" s="73"/>
      <c r="Q321" s="72" t="s">
        <v>36</v>
      </c>
      <c r="R321" s="27"/>
      <c r="S321" s="27"/>
      <c r="T321" s="27" t="s">
        <v>1186</v>
      </c>
      <c r="U321" s="27"/>
      <c r="V321" s="27"/>
      <c r="W321" s="27"/>
      <c r="X321" s="27"/>
      <c r="Y321" s="27"/>
      <c r="Z321" s="27"/>
      <c r="AA321" s="27"/>
      <c r="AB321" s="27"/>
      <c r="AC321" s="27"/>
      <c r="AD321" s="72"/>
      <c r="AE321" s="72"/>
    </row>
    <row r="322" spans="1:31" ht="26.25" customHeight="1">
      <c r="A322" s="27">
        <v>321</v>
      </c>
      <c r="B322" s="74">
        <v>46200</v>
      </c>
      <c r="C322" s="71" t="s">
        <v>1347</v>
      </c>
      <c r="D322" s="71" t="s">
        <v>1348</v>
      </c>
      <c r="E322" s="27" t="s">
        <v>1349</v>
      </c>
      <c r="F322" s="27" t="s">
        <v>1350</v>
      </c>
      <c r="G322" s="27" t="s">
        <v>1173</v>
      </c>
      <c r="H322" s="71"/>
      <c r="I322" s="71"/>
      <c r="J322" s="71" t="s">
        <v>1351</v>
      </c>
      <c r="K322" s="72"/>
      <c r="L322" s="72"/>
      <c r="M322" s="72"/>
      <c r="N322" s="27" t="s">
        <v>35</v>
      </c>
      <c r="O322" s="27"/>
      <c r="P322" s="73"/>
      <c r="Q322" s="72" t="s">
        <v>36</v>
      </c>
      <c r="R322" s="27"/>
      <c r="S322" s="27"/>
      <c r="T322" s="27" t="s">
        <v>1186</v>
      </c>
      <c r="U322" s="27"/>
      <c r="V322" s="27"/>
      <c r="W322" s="27"/>
      <c r="X322" s="27"/>
      <c r="Y322" s="27"/>
      <c r="Z322" s="27"/>
      <c r="AA322" s="27"/>
      <c r="AB322" s="27"/>
      <c r="AC322" s="27"/>
      <c r="AD322" s="72"/>
      <c r="AE322" s="72"/>
    </row>
    <row r="323" spans="1:31" ht="26.25" customHeight="1">
      <c r="A323" s="27">
        <v>322</v>
      </c>
      <c r="B323" s="74">
        <v>46200</v>
      </c>
      <c r="C323" s="71" t="s">
        <v>144</v>
      </c>
      <c r="D323" s="71" t="s">
        <v>697</v>
      </c>
      <c r="E323" s="27" t="s">
        <v>1352</v>
      </c>
      <c r="F323" s="27" t="s">
        <v>1353</v>
      </c>
      <c r="G323" s="27">
        <v>100</v>
      </c>
      <c r="H323" s="71"/>
      <c r="I323" s="71"/>
      <c r="J323" s="71" t="s">
        <v>1354</v>
      </c>
      <c r="K323" s="72"/>
      <c r="L323" s="72"/>
      <c r="M323" s="72"/>
      <c r="N323" s="27" t="s">
        <v>35</v>
      </c>
      <c r="O323" s="27"/>
      <c r="P323" s="73"/>
      <c r="Q323" s="72" t="s">
        <v>36</v>
      </c>
      <c r="R323" s="27" t="s">
        <v>872</v>
      </c>
      <c r="S323" s="27"/>
      <c r="T323" s="27" t="s">
        <v>1147</v>
      </c>
      <c r="U323" s="27" t="s">
        <v>173</v>
      </c>
      <c r="V323" s="27"/>
      <c r="W323" s="27"/>
      <c r="X323" s="27"/>
      <c r="Y323" s="27"/>
      <c r="Z323" s="27"/>
      <c r="AA323" s="27"/>
      <c r="AB323" s="27"/>
      <c r="AC323" s="27"/>
      <c r="AD323" s="72"/>
      <c r="AE323" s="72"/>
    </row>
    <row r="324" spans="1:31" ht="26.25" customHeight="1">
      <c r="A324" s="27">
        <v>323</v>
      </c>
      <c r="B324" s="74">
        <v>46200</v>
      </c>
      <c r="C324" s="71" t="s">
        <v>1355</v>
      </c>
      <c r="D324" s="71" t="s">
        <v>1356</v>
      </c>
      <c r="E324" s="27">
        <v>7012248651</v>
      </c>
      <c r="F324" s="27" t="s">
        <v>680</v>
      </c>
      <c r="G324" s="27">
        <v>1</v>
      </c>
      <c r="H324" s="71"/>
      <c r="I324" s="71"/>
      <c r="J324" s="71" t="s">
        <v>1357</v>
      </c>
      <c r="K324" s="72"/>
      <c r="L324" s="72"/>
      <c r="M324" s="72"/>
      <c r="N324" s="27" t="s">
        <v>122</v>
      </c>
      <c r="O324" s="27"/>
      <c r="P324" s="73"/>
      <c r="Q324" s="72" t="s">
        <v>71</v>
      </c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72"/>
      <c r="AE324" s="72"/>
    </row>
    <row r="325" spans="1:31" ht="26.25" customHeight="1">
      <c r="A325" s="27">
        <v>324</v>
      </c>
      <c r="B325" s="74">
        <v>46200</v>
      </c>
      <c r="C325" s="83" t="s">
        <v>1358</v>
      </c>
      <c r="D325" s="83" t="s">
        <v>1359</v>
      </c>
      <c r="E325" s="84" t="s">
        <v>1360</v>
      </c>
      <c r="F325" s="27" t="s">
        <v>717</v>
      </c>
      <c r="G325" s="27"/>
      <c r="H325" s="71"/>
      <c r="I325" s="71"/>
      <c r="J325" s="71"/>
      <c r="K325" s="72"/>
      <c r="L325" s="72"/>
      <c r="M325" s="72"/>
      <c r="N325" s="27" t="s">
        <v>44</v>
      </c>
      <c r="O325" s="27"/>
      <c r="P325" s="73"/>
      <c r="Q325" s="72" t="s">
        <v>36</v>
      </c>
      <c r="R325" s="27"/>
      <c r="S325" s="27"/>
      <c r="T325" s="85" t="s">
        <v>1186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72"/>
      <c r="AE325" s="72"/>
    </row>
    <row r="326" spans="1:31" ht="41.25" customHeight="1">
      <c r="A326" s="27">
        <v>325</v>
      </c>
      <c r="B326" s="74">
        <v>46200</v>
      </c>
      <c r="C326" s="83" t="s">
        <v>1361</v>
      </c>
      <c r="D326" s="83" t="s">
        <v>1362</v>
      </c>
      <c r="E326" s="84" t="s">
        <v>1363</v>
      </c>
      <c r="F326" s="27" t="s">
        <v>101</v>
      </c>
      <c r="G326" s="27" t="s">
        <v>1364</v>
      </c>
      <c r="H326" s="71"/>
      <c r="I326" s="71"/>
      <c r="J326" s="71" t="s">
        <v>1365</v>
      </c>
      <c r="K326" s="72"/>
      <c r="L326" s="72"/>
      <c r="M326" s="72"/>
      <c r="N326" s="27" t="s">
        <v>35</v>
      </c>
      <c r="O326" s="27"/>
      <c r="P326" s="73"/>
      <c r="Q326" s="72" t="s">
        <v>36</v>
      </c>
      <c r="R326" s="27"/>
      <c r="S326" s="27"/>
      <c r="T326" s="85" t="s">
        <v>1175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72"/>
      <c r="AE326" s="72"/>
    </row>
    <row r="327" spans="1:31" ht="26.25" customHeight="1">
      <c r="A327" s="27">
        <v>326</v>
      </c>
      <c r="B327" s="74">
        <v>46200</v>
      </c>
      <c r="C327" s="83" t="s">
        <v>1366</v>
      </c>
      <c r="D327" s="83" t="s">
        <v>1367</v>
      </c>
      <c r="E327" s="84" t="s">
        <v>1368</v>
      </c>
      <c r="F327" s="27" t="s">
        <v>1369</v>
      </c>
      <c r="G327" s="27" t="s">
        <v>1324</v>
      </c>
      <c r="H327" s="71"/>
      <c r="I327" s="71"/>
      <c r="J327" s="71" t="s">
        <v>1022</v>
      </c>
      <c r="K327" s="72"/>
      <c r="L327" s="72"/>
      <c r="M327" s="72"/>
      <c r="N327" s="27" t="s">
        <v>35</v>
      </c>
      <c r="O327" s="27"/>
      <c r="P327" s="73"/>
      <c r="Q327" s="72" t="s">
        <v>36</v>
      </c>
      <c r="R327" s="27"/>
      <c r="S327" s="27"/>
      <c r="T327" s="85" t="s">
        <v>1175</v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72"/>
      <c r="AE327" s="72"/>
    </row>
    <row r="328" spans="1:31" ht="26.25" customHeight="1">
      <c r="A328" s="27">
        <v>327</v>
      </c>
      <c r="B328" s="74">
        <v>46200</v>
      </c>
      <c r="C328" s="71" t="s">
        <v>1370</v>
      </c>
      <c r="D328" s="71" t="s">
        <v>1371</v>
      </c>
      <c r="E328" s="27">
        <v>9043723203</v>
      </c>
      <c r="F328" s="27" t="s">
        <v>1372</v>
      </c>
      <c r="G328" s="27" t="s">
        <v>1373</v>
      </c>
      <c r="H328" s="71"/>
      <c r="I328" s="71" t="s">
        <v>1374</v>
      </c>
      <c r="J328" s="71" t="s">
        <v>1375</v>
      </c>
      <c r="K328" s="72"/>
      <c r="L328" s="72" t="s">
        <v>1376</v>
      </c>
      <c r="M328" s="72"/>
      <c r="N328" s="27" t="s">
        <v>106</v>
      </c>
      <c r="O328" s="27"/>
      <c r="P328" s="73"/>
      <c r="Q328" s="72" t="s">
        <v>1377</v>
      </c>
      <c r="R328" s="27" t="s">
        <v>1378</v>
      </c>
      <c r="S328" s="27"/>
      <c r="T328" s="27" t="s">
        <v>1379</v>
      </c>
      <c r="U328" s="27" t="s">
        <v>173</v>
      </c>
      <c r="V328" s="27"/>
      <c r="W328" s="27" t="s">
        <v>63</v>
      </c>
      <c r="X328" s="27"/>
      <c r="Y328" s="27"/>
      <c r="Z328" s="27"/>
      <c r="AA328" s="27"/>
      <c r="AB328" s="27"/>
      <c r="AC328" s="27"/>
      <c r="AD328" s="72"/>
      <c r="AE328" s="72"/>
    </row>
    <row r="329" spans="1:31" ht="26.25" customHeight="1">
      <c r="A329" s="27">
        <v>328</v>
      </c>
      <c r="B329" s="74">
        <v>46201</v>
      </c>
      <c r="C329" s="83" t="s">
        <v>1380</v>
      </c>
      <c r="D329" s="83" t="s">
        <v>1381</v>
      </c>
      <c r="E329" s="84" t="s">
        <v>1382</v>
      </c>
      <c r="F329" s="27" t="s">
        <v>1383</v>
      </c>
      <c r="G329" s="27" t="s">
        <v>1191</v>
      </c>
      <c r="H329" s="71"/>
      <c r="I329" s="71" t="s">
        <v>1159</v>
      </c>
      <c r="J329" s="71" t="s">
        <v>1384</v>
      </c>
      <c r="K329" s="72"/>
      <c r="L329" s="72"/>
      <c r="M329" s="72"/>
      <c r="N329" s="27" t="s">
        <v>35</v>
      </c>
      <c r="O329" s="27"/>
      <c r="P329" s="73"/>
      <c r="Q329" s="72" t="s">
        <v>36</v>
      </c>
      <c r="R329" s="27"/>
      <c r="S329" s="27"/>
      <c r="T329" s="85" t="s">
        <v>1147</v>
      </c>
      <c r="U329" s="27"/>
      <c r="V329" s="27"/>
      <c r="W329" s="27"/>
      <c r="X329" s="27"/>
      <c r="Y329" s="27"/>
      <c r="Z329" s="27"/>
      <c r="AA329" s="27"/>
      <c r="AB329" s="27"/>
      <c r="AC329" s="27"/>
      <c r="AD329" s="72"/>
      <c r="AE329" s="72"/>
    </row>
    <row r="330" spans="1:31" ht="26.25" customHeight="1">
      <c r="A330" s="27">
        <v>329</v>
      </c>
      <c r="B330" s="74">
        <v>46201</v>
      </c>
      <c r="C330" s="71" t="s">
        <v>1385</v>
      </c>
      <c r="D330" s="71" t="s">
        <v>1386</v>
      </c>
      <c r="E330" s="27" t="s">
        <v>1387</v>
      </c>
      <c r="F330" s="27" t="s">
        <v>110</v>
      </c>
      <c r="G330" s="27" t="s">
        <v>1151</v>
      </c>
      <c r="H330" s="71"/>
      <c r="I330" s="71" t="s">
        <v>1152</v>
      </c>
      <c r="J330" s="71" t="s">
        <v>1388</v>
      </c>
      <c r="K330" s="72"/>
      <c r="L330" s="72" t="s">
        <v>1389</v>
      </c>
      <c r="M330" s="72"/>
      <c r="N330" s="27" t="s">
        <v>35</v>
      </c>
      <c r="O330" s="27"/>
      <c r="P330" s="73"/>
      <c r="Q330" s="72" t="s">
        <v>36</v>
      </c>
      <c r="R330" s="27" t="s">
        <v>57</v>
      </c>
      <c r="S330" s="27"/>
      <c r="T330" s="27" t="s">
        <v>1147</v>
      </c>
      <c r="U330" s="27"/>
      <c r="V330" s="27"/>
      <c r="W330" s="27"/>
      <c r="X330" s="27"/>
      <c r="Y330" s="27"/>
      <c r="Z330" s="27"/>
      <c r="AA330" s="27"/>
      <c r="AB330" s="27"/>
      <c r="AC330" s="27"/>
      <c r="AD330" s="72"/>
      <c r="AE330" s="72"/>
    </row>
    <row r="331" spans="1:31" ht="26.25" customHeight="1">
      <c r="A331" s="27">
        <v>330</v>
      </c>
      <c r="B331" s="74">
        <v>46201</v>
      </c>
      <c r="C331" s="83" t="s">
        <v>1390</v>
      </c>
      <c r="D331" s="83" t="s">
        <v>1391</v>
      </c>
      <c r="E331" s="84" t="s">
        <v>1392</v>
      </c>
      <c r="F331" s="27" t="s">
        <v>1393</v>
      </c>
      <c r="G331" s="27" t="s">
        <v>1394</v>
      </c>
      <c r="H331" s="71"/>
      <c r="I331" s="71" t="s">
        <v>1152</v>
      </c>
      <c r="J331" s="71" t="s">
        <v>1395</v>
      </c>
      <c r="K331" s="72"/>
      <c r="L331" s="72"/>
      <c r="M331" s="72"/>
      <c r="N331" s="27" t="s">
        <v>35</v>
      </c>
      <c r="O331" s="27"/>
      <c r="P331" s="73"/>
      <c r="Q331" s="72" t="s">
        <v>36</v>
      </c>
      <c r="R331" s="27"/>
      <c r="S331" s="27"/>
      <c r="T331" s="85" t="s">
        <v>1186</v>
      </c>
      <c r="U331" s="27"/>
      <c r="V331" s="27"/>
      <c r="W331" s="27"/>
      <c r="X331" s="27"/>
      <c r="Y331" s="27"/>
      <c r="Z331" s="27"/>
      <c r="AA331" s="27"/>
      <c r="AB331" s="27"/>
      <c r="AC331" s="27"/>
      <c r="AD331" s="72"/>
      <c r="AE331" s="72"/>
    </row>
    <row r="332" spans="1:31" ht="26.25" customHeight="1">
      <c r="A332" s="27">
        <v>331</v>
      </c>
      <c r="B332" s="74">
        <v>46201</v>
      </c>
      <c r="C332" s="71" t="s">
        <v>1396</v>
      </c>
      <c r="D332" s="71" t="s">
        <v>1397</v>
      </c>
      <c r="E332" s="27" t="s">
        <v>1398</v>
      </c>
      <c r="F332" s="27" t="s">
        <v>1399</v>
      </c>
      <c r="G332" s="27" t="s">
        <v>1400</v>
      </c>
      <c r="H332" s="71"/>
      <c r="I332" s="71" t="s">
        <v>1152</v>
      </c>
      <c r="J332" s="71" t="s">
        <v>1401</v>
      </c>
      <c r="K332" s="72"/>
      <c r="L332" s="72"/>
      <c r="M332" s="72"/>
      <c r="N332" s="27" t="s">
        <v>35</v>
      </c>
      <c r="O332" s="27"/>
      <c r="P332" s="73"/>
      <c r="Q332" s="72" t="s">
        <v>36</v>
      </c>
      <c r="R332" s="27"/>
      <c r="S332" s="27"/>
      <c r="T332" s="27" t="s">
        <v>1186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72"/>
      <c r="AE332" s="72"/>
    </row>
    <row r="333" spans="1:31" ht="42.75" customHeight="1">
      <c r="A333" s="86">
        <v>332</v>
      </c>
      <c r="B333" s="87">
        <v>46201</v>
      </c>
      <c r="C333" s="88" t="s">
        <v>1402</v>
      </c>
      <c r="D333" s="88" t="s">
        <v>1403</v>
      </c>
      <c r="E333" s="86" t="s">
        <v>1404</v>
      </c>
      <c r="F333" s="86" t="s">
        <v>1405</v>
      </c>
      <c r="G333" s="86" t="s">
        <v>1406</v>
      </c>
      <c r="H333" s="88"/>
      <c r="I333" s="88" t="s">
        <v>710</v>
      </c>
      <c r="J333" s="88" t="s">
        <v>1407</v>
      </c>
      <c r="K333" s="89"/>
      <c r="L333" s="31" t="s">
        <v>1408</v>
      </c>
      <c r="M333" s="89" t="s">
        <v>1389</v>
      </c>
      <c r="N333" s="86" t="s">
        <v>35</v>
      </c>
      <c r="O333" s="86"/>
      <c r="P333" s="90"/>
      <c r="Q333" s="89" t="s">
        <v>36</v>
      </c>
      <c r="R333" s="86" t="s">
        <v>1409</v>
      </c>
      <c r="S333" s="86"/>
      <c r="T333" s="89" t="s">
        <v>1162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9"/>
      <c r="AE333" s="89"/>
    </row>
    <row r="334" spans="1:31" ht="26.25" customHeight="1">
      <c r="A334" s="27">
        <v>333</v>
      </c>
      <c r="B334" s="74">
        <v>46201</v>
      </c>
      <c r="C334" s="71" t="s">
        <v>1410</v>
      </c>
      <c r="D334" s="71" t="s">
        <v>1411</v>
      </c>
      <c r="E334" s="27" t="s">
        <v>1412</v>
      </c>
      <c r="F334" s="27" t="s">
        <v>910</v>
      </c>
      <c r="G334" s="27" t="s">
        <v>1413</v>
      </c>
      <c r="H334" s="71"/>
      <c r="I334" s="71" t="s">
        <v>1192</v>
      </c>
      <c r="J334" s="71"/>
      <c r="K334" s="72"/>
      <c r="L334" s="72"/>
      <c r="M334" s="72"/>
      <c r="N334" s="27" t="s">
        <v>44</v>
      </c>
      <c r="O334" s="27"/>
      <c r="P334" s="73"/>
      <c r="Q334" s="72" t="s">
        <v>36</v>
      </c>
      <c r="R334" s="27"/>
      <c r="S334" s="27"/>
      <c r="T334" s="27" t="s">
        <v>1186</v>
      </c>
      <c r="U334" s="27"/>
      <c r="V334" s="27"/>
      <c r="W334" s="27"/>
      <c r="X334" s="27"/>
      <c r="Y334" s="27"/>
      <c r="Z334" s="27"/>
      <c r="AA334" s="27"/>
      <c r="AB334" s="27"/>
      <c r="AC334" s="27"/>
      <c r="AD334" s="72"/>
      <c r="AE334" s="72"/>
    </row>
    <row r="335" spans="1:31" ht="26.25" customHeight="1">
      <c r="A335" s="27">
        <v>334</v>
      </c>
      <c r="B335" s="74">
        <v>46201</v>
      </c>
      <c r="C335" s="83" t="s">
        <v>1414</v>
      </c>
      <c r="D335" s="83" t="s">
        <v>1415</v>
      </c>
      <c r="E335" s="84" t="s">
        <v>1416</v>
      </c>
      <c r="F335" s="27" t="s">
        <v>60</v>
      </c>
      <c r="G335" s="27" t="s">
        <v>1417</v>
      </c>
      <c r="H335" s="71"/>
      <c r="I335" s="71" t="s">
        <v>1159</v>
      </c>
      <c r="J335" s="71"/>
      <c r="K335" s="72"/>
      <c r="L335" s="72"/>
      <c r="M335" s="72"/>
      <c r="N335" s="27" t="s">
        <v>44</v>
      </c>
      <c r="O335" s="27"/>
      <c r="P335" s="73"/>
      <c r="Q335" s="72" t="s">
        <v>36</v>
      </c>
      <c r="R335" s="27"/>
      <c r="S335" s="27"/>
      <c r="T335" s="85" t="s">
        <v>1186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72"/>
      <c r="AE335" s="72"/>
    </row>
    <row r="336" spans="1:31" ht="26.25" customHeight="1">
      <c r="A336" s="27">
        <v>335</v>
      </c>
      <c r="B336" s="74">
        <v>46201</v>
      </c>
      <c r="C336" s="71" t="s">
        <v>1418</v>
      </c>
      <c r="D336" s="71" t="s">
        <v>1419</v>
      </c>
      <c r="E336" s="27" t="s">
        <v>1420</v>
      </c>
      <c r="F336" s="27" t="s">
        <v>1421</v>
      </c>
      <c r="G336" s="27" t="s">
        <v>1173</v>
      </c>
      <c r="H336" s="71"/>
      <c r="I336" s="71" t="s">
        <v>1152</v>
      </c>
      <c r="J336" s="71" t="s">
        <v>1422</v>
      </c>
      <c r="K336" s="72"/>
      <c r="L336" s="72"/>
      <c r="M336" s="72"/>
      <c r="N336" s="27" t="s">
        <v>35</v>
      </c>
      <c r="O336" s="27"/>
      <c r="P336" s="73"/>
      <c r="Q336" s="72" t="s">
        <v>36</v>
      </c>
      <c r="R336" s="27"/>
      <c r="S336" s="27"/>
      <c r="T336" s="27" t="s">
        <v>1147</v>
      </c>
      <c r="U336" s="27"/>
      <c r="V336" s="27"/>
      <c r="W336" s="27"/>
      <c r="X336" s="27"/>
      <c r="Y336" s="27"/>
      <c r="Z336" s="27"/>
      <c r="AA336" s="27"/>
      <c r="AB336" s="27"/>
      <c r="AC336" s="27"/>
      <c r="AD336" s="72"/>
      <c r="AE336" s="72"/>
    </row>
    <row r="337" spans="1:31" ht="26.25" customHeight="1">
      <c r="A337" s="27">
        <v>336</v>
      </c>
      <c r="B337" s="74">
        <v>46201</v>
      </c>
      <c r="C337" s="83" t="s">
        <v>1423</v>
      </c>
      <c r="D337" s="83" t="s">
        <v>1424</v>
      </c>
      <c r="E337" s="84" t="s">
        <v>1425</v>
      </c>
      <c r="F337" s="27" t="s">
        <v>60</v>
      </c>
      <c r="G337" s="27" t="s">
        <v>1173</v>
      </c>
      <c r="H337" s="71"/>
      <c r="I337" s="71" t="s">
        <v>1152</v>
      </c>
      <c r="J337" s="77" t="s">
        <v>1426</v>
      </c>
      <c r="K337" s="79"/>
      <c r="L337" s="79"/>
      <c r="M337" s="79"/>
      <c r="N337" s="27" t="s">
        <v>35</v>
      </c>
      <c r="O337" s="27"/>
      <c r="P337" s="73"/>
      <c r="Q337" s="72" t="s">
        <v>36</v>
      </c>
      <c r="R337" s="27"/>
      <c r="S337" s="27"/>
      <c r="T337" s="85" t="s">
        <v>1162</v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72"/>
      <c r="AE337" s="72"/>
    </row>
    <row r="338" spans="1:31" ht="26.25" customHeight="1">
      <c r="A338" s="27">
        <v>337</v>
      </c>
      <c r="B338" s="74">
        <v>46201</v>
      </c>
      <c r="C338" s="71" t="s">
        <v>1427</v>
      </c>
      <c r="D338" s="71" t="s">
        <v>1125</v>
      </c>
      <c r="E338" s="27" t="s">
        <v>1428</v>
      </c>
      <c r="F338" s="27" t="s">
        <v>1429</v>
      </c>
      <c r="G338" s="27" t="s">
        <v>1173</v>
      </c>
      <c r="H338" s="71"/>
      <c r="I338" s="71" t="s">
        <v>1152</v>
      </c>
      <c r="J338" s="71" t="s">
        <v>1430</v>
      </c>
      <c r="K338" s="72"/>
      <c r="L338" s="72"/>
      <c r="M338" s="72"/>
      <c r="N338" s="27" t="s">
        <v>35</v>
      </c>
      <c r="O338" s="27"/>
      <c r="P338" s="73"/>
      <c r="Q338" s="72" t="s">
        <v>36</v>
      </c>
      <c r="R338" s="27"/>
      <c r="S338" s="27"/>
      <c r="T338" s="27" t="s">
        <v>1147</v>
      </c>
      <c r="U338" s="27"/>
      <c r="V338" s="27"/>
      <c r="W338" s="27"/>
      <c r="X338" s="27"/>
      <c r="Y338" s="27"/>
      <c r="Z338" s="27"/>
      <c r="AA338" s="27"/>
      <c r="AB338" s="27"/>
      <c r="AC338" s="27"/>
      <c r="AD338" s="72"/>
      <c r="AE338" s="72"/>
    </row>
    <row r="339" spans="1:31" ht="26.25" customHeight="1">
      <c r="A339" s="27">
        <v>338</v>
      </c>
      <c r="B339" s="74">
        <v>46202</v>
      </c>
      <c r="C339" s="83" t="s">
        <v>1431</v>
      </c>
      <c r="D339" s="83" t="s">
        <v>1432</v>
      </c>
      <c r="E339" s="84" t="s">
        <v>1433</v>
      </c>
      <c r="F339" s="27" t="s">
        <v>1434</v>
      </c>
      <c r="G339" s="27" t="s">
        <v>1191</v>
      </c>
      <c r="H339" s="71"/>
      <c r="I339" s="71" t="s">
        <v>1159</v>
      </c>
      <c r="J339" s="71" t="s">
        <v>561</v>
      </c>
      <c r="K339" s="72"/>
      <c r="L339" s="72"/>
      <c r="M339" s="72"/>
      <c r="N339" s="27" t="s">
        <v>122</v>
      </c>
      <c r="O339" s="27"/>
      <c r="P339" s="73"/>
      <c r="Q339" s="72" t="s">
        <v>36</v>
      </c>
      <c r="R339" s="27"/>
      <c r="S339" s="27"/>
      <c r="T339" s="85" t="s">
        <v>1186</v>
      </c>
      <c r="U339" s="27"/>
      <c r="V339" s="27"/>
      <c r="W339" s="27"/>
      <c r="X339" s="27"/>
      <c r="Y339" s="27"/>
      <c r="Z339" s="27"/>
      <c r="AA339" s="27"/>
      <c r="AB339" s="27"/>
      <c r="AC339" s="27"/>
      <c r="AD339" s="72"/>
      <c r="AE339" s="72"/>
    </row>
    <row r="340" spans="1:31" ht="26.25" customHeight="1">
      <c r="A340" s="27">
        <v>339</v>
      </c>
      <c r="B340" s="74">
        <v>46202</v>
      </c>
      <c r="C340" s="71" t="s">
        <v>1435</v>
      </c>
      <c r="D340" s="71" t="s">
        <v>1436</v>
      </c>
      <c r="E340" s="27" t="s">
        <v>1437</v>
      </c>
      <c r="F340" s="27" t="s">
        <v>1438</v>
      </c>
      <c r="G340" s="27" t="s">
        <v>1439</v>
      </c>
      <c r="H340" s="71"/>
      <c r="I340" s="71" t="s">
        <v>710</v>
      </c>
      <c r="J340" s="71" t="s">
        <v>1440</v>
      </c>
      <c r="K340" s="72"/>
      <c r="L340" s="72" t="s">
        <v>819</v>
      </c>
      <c r="M340" s="72"/>
      <c r="N340" s="27" t="s">
        <v>35</v>
      </c>
      <c r="O340" s="27"/>
      <c r="P340" s="73"/>
      <c r="Q340" s="72" t="s">
        <v>36</v>
      </c>
      <c r="R340" s="27"/>
      <c r="S340" s="27"/>
      <c r="T340" s="27" t="s">
        <v>1147</v>
      </c>
      <c r="U340" s="27"/>
      <c r="V340" s="27"/>
      <c r="W340" s="27"/>
      <c r="X340" s="27"/>
      <c r="Y340" s="27"/>
      <c r="Z340" s="27"/>
      <c r="AA340" s="27"/>
      <c r="AB340" s="27"/>
      <c r="AC340" s="27"/>
      <c r="AD340" s="72"/>
      <c r="AE340" s="72"/>
    </row>
    <row r="341" spans="1:31" ht="26.25" customHeight="1">
      <c r="A341" s="27">
        <v>340</v>
      </c>
      <c r="B341" s="74">
        <v>46202</v>
      </c>
      <c r="C341" s="83" t="s">
        <v>1441</v>
      </c>
      <c r="D341" s="83" t="s">
        <v>1442</v>
      </c>
      <c r="E341" s="84" t="s">
        <v>1443</v>
      </c>
      <c r="F341" s="27" t="s">
        <v>1444</v>
      </c>
      <c r="G341" s="27" t="s">
        <v>1445</v>
      </c>
      <c r="H341" s="71"/>
      <c r="I341" s="71" t="s">
        <v>1168</v>
      </c>
      <c r="J341" s="71" t="s">
        <v>1137</v>
      </c>
      <c r="K341" s="72"/>
      <c r="L341" s="72"/>
      <c r="M341" s="72"/>
      <c r="N341" s="27" t="s">
        <v>35</v>
      </c>
      <c r="O341" s="27"/>
      <c r="P341" s="73"/>
      <c r="Q341" s="72" t="s">
        <v>36</v>
      </c>
      <c r="R341" s="27"/>
      <c r="S341" s="27"/>
      <c r="T341" s="85" t="s">
        <v>1162</v>
      </c>
      <c r="U341" s="27"/>
      <c r="V341" s="27"/>
      <c r="W341" s="27"/>
      <c r="X341" s="27"/>
      <c r="Y341" s="27"/>
      <c r="Z341" s="27"/>
      <c r="AA341" s="27"/>
      <c r="AB341" s="27"/>
      <c r="AC341" s="27"/>
      <c r="AD341" s="72"/>
      <c r="AE341" s="72"/>
    </row>
    <row r="342" spans="1:31" ht="40.5" customHeight="1">
      <c r="A342" s="29">
        <v>341</v>
      </c>
      <c r="B342" s="76">
        <v>46202</v>
      </c>
      <c r="C342" s="77" t="s">
        <v>1446</v>
      </c>
      <c r="D342" s="77" t="s">
        <v>1447</v>
      </c>
      <c r="E342" s="29">
        <v>9944878471</v>
      </c>
      <c r="F342" s="29" t="s">
        <v>1448</v>
      </c>
      <c r="G342" s="29"/>
      <c r="H342" s="77"/>
      <c r="I342" s="77" t="s">
        <v>1449</v>
      </c>
      <c r="J342" s="77" t="s">
        <v>1450</v>
      </c>
      <c r="K342" s="79"/>
      <c r="L342" s="79" t="s">
        <v>1451</v>
      </c>
      <c r="M342" s="79"/>
      <c r="N342" s="29" t="s">
        <v>106</v>
      </c>
      <c r="O342" s="29"/>
      <c r="P342" s="80"/>
      <c r="Q342" s="79" t="s">
        <v>307</v>
      </c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79"/>
      <c r="AE342" s="79"/>
    </row>
    <row r="343" spans="1:31" ht="35.25" customHeight="1">
      <c r="A343" s="27">
        <v>342</v>
      </c>
      <c r="B343" s="74">
        <v>46202</v>
      </c>
      <c r="C343" s="71" t="s">
        <v>869</v>
      </c>
      <c r="D343" s="71" t="s">
        <v>1452</v>
      </c>
      <c r="E343" s="27">
        <v>9900546792</v>
      </c>
      <c r="F343" s="27" t="s">
        <v>325</v>
      </c>
      <c r="G343" s="27"/>
      <c r="H343" s="71"/>
      <c r="I343" s="71"/>
      <c r="J343" s="71" t="s">
        <v>1453</v>
      </c>
      <c r="K343" s="72"/>
      <c r="L343" s="72"/>
      <c r="M343" s="72"/>
      <c r="N343" s="27" t="s">
        <v>1238</v>
      </c>
      <c r="O343" s="27"/>
      <c r="P343" s="73"/>
      <c r="Q343" s="72" t="s">
        <v>71</v>
      </c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72"/>
      <c r="AE343" s="72"/>
    </row>
    <row r="344" spans="1:31" ht="26.25" customHeight="1">
      <c r="A344" s="27">
        <v>343</v>
      </c>
      <c r="B344" s="74">
        <v>46202</v>
      </c>
      <c r="C344" s="83" t="s">
        <v>1454</v>
      </c>
      <c r="D344" s="83" t="s">
        <v>1455</v>
      </c>
      <c r="E344" s="84" t="s">
        <v>1456</v>
      </c>
      <c r="F344" s="27" t="s">
        <v>101</v>
      </c>
      <c r="G344" s="27">
        <v>300</v>
      </c>
      <c r="H344" s="71"/>
      <c r="I344" s="71" t="s">
        <v>1159</v>
      </c>
      <c r="J344" s="71" t="s">
        <v>1457</v>
      </c>
      <c r="K344" s="72"/>
      <c r="L344" s="72"/>
      <c r="M344" s="72"/>
      <c r="N344" s="27" t="s">
        <v>35</v>
      </c>
      <c r="O344" s="27"/>
      <c r="P344" s="73"/>
      <c r="Q344" s="72" t="s">
        <v>36</v>
      </c>
      <c r="R344" s="27"/>
      <c r="S344" s="27"/>
      <c r="T344" s="85" t="s">
        <v>1186</v>
      </c>
      <c r="U344" s="27"/>
      <c r="V344" s="27"/>
      <c r="W344" s="27"/>
      <c r="X344" s="27"/>
      <c r="Y344" s="27"/>
      <c r="Z344" s="27"/>
      <c r="AA344" s="27"/>
      <c r="AB344" s="27"/>
      <c r="AC344" s="27"/>
      <c r="AD344" s="72"/>
      <c r="AE344" s="72"/>
    </row>
    <row r="345" spans="1:31" ht="34.5" customHeight="1">
      <c r="A345" s="91">
        <v>344</v>
      </c>
      <c r="B345" s="92">
        <v>46202</v>
      </c>
      <c r="C345" s="93" t="s">
        <v>1458</v>
      </c>
      <c r="D345" s="93" t="s">
        <v>1459</v>
      </c>
      <c r="E345" s="94" t="s">
        <v>1460</v>
      </c>
      <c r="F345" s="91" t="s">
        <v>1461</v>
      </c>
      <c r="G345" s="91" t="s">
        <v>1173</v>
      </c>
      <c r="H345" s="95"/>
      <c r="I345" s="95" t="s">
        <v>710</v>
      </c>
      <c r="J345" s="95" t="s">
        <v>1462</v>
      </c>
      <c r="K345" s="96"/>
      <c r="L345" s="96"/>
      <c r="M345" s="96"/>
      <c r="N345" s="91" t="s">
        <v>596</v>
      </c>
      <c r="O345" s="91"/>
      <c r="P345" s="97"/>
      <c r="Q345" s="96" t="s">
        <v>36</v>
      </c>
      <c r="R345" s="91"/>
      <c r="S345" s="91"/>
      <c r="T345" s="98" t="s">
        <v>1162</v>
      </c>
      <c r="U345" s="91"/>
      <c r="V345" s="91"/>
      <c r="W345" s="91"/>
      <c r="X345" s="91"/>
      <c r="Y345" s="91"/>
      <c r="Z345" s="91"/>
      <c r="AA345" s="91"/>
      <c r="AB345" s="91"/>
      <c r="AC345" s="91"/>
      <c r="AD345" s="96"/>
      <c r="AE345" s="96"/>
    </row>
    <row r="346" spans="1:31" ht="26.25" customHeight="1">
      <c r="A346" s="91">
        <v>345</v>
      </c>
      <c r="B346" s="92">
        <v>46202</v>
      </c>
      <c r="C346" s="93" t="s">
        <v>1463</v>
      </c>
      <c r="D346" s="93" t="s">
        <v>1464</v>
      </c>
      <c r="E346" s="94" t="s">
        <v>1465</v>
      </c>
      <c r="F346" s="91" t="s">
        <v>287</v>
      </c>
      <c r="G346" s="91">
        <v>50</v>
      </c>
      <c r="H346" s="95"/>
      <c r="I346" s="95" t="s">
        <v>1159</v>
      </c>
      <c r="J346" s="95" t="s">
        <v>1466</v>
      </c>
      <c r="K346" s="96"/>
      <c r="L346" s="96"/>
      <c r="M346" s="96"/>
      <c r="N346" s="91" t="s">
        <v>596</v>
      </c>
      <c r="O346" s="91"/>
      <c r="P346" s="97"/>
      <c r="Q346" s="96" t="s">
        <v>36</v>
      </c>
      <c r="R346" s="91"/>
      <c r="S346" s="91"/>
      <c r="T346" s="98" t="s">
        <v>1147</v>
      </c>
      <c r="U346" s="91"/>
      <c r="V346" s="91"/>
      <c r="W346" s="91"/>
      <c r="X346" s="91"/>
      <c r="Y346" s="91"/>
      <c r="Z346" s="91"/>
      <c r="AA346" s="91"/>
      <c r="AB346" s="91"/>
      <c r="AC346" s="91"/>
      <c r="AD346" s="96"/>
      <c r="AE346" s="96"/>
    </row>
    <row r="347" spans="1:31" ht="26.25" customHeight="1">
      <c r="A347" s="27">
        <v>346</v>
      </c>
      <c r="B347" s="74">
        <v>46202</v>
      </c>
      <c r="C347" s="71" t="s">
        <v>1467</v>
      </c>
      <c r="D347" s="71" t="s">
        <v>1468</v>
      </c>
      <c r="E347" s="27">
        <v>9619530011</v>
      </c>
      <c r="F347" s="27" t="s">
        <v>110</v>
      </c>
      <c r="G347" s="27">
        <v>6</v>
      </c>
      <c r="H347" s="71"/>
      <c r="I347" s="71" t="s">
        <v>1469</v>
      </c>
      <c r="J347" s="71" t="s">
        <v>1470</v>
      </c>
      <c r="K347" s="72"/>
      <c r="L347" s="72"/>
      <c r="M347" s="72"/>
      <c r="N347" s="27" t="s">
        <v>122</v>
      </c>
      <c r="O347" s="27"/>
      <c r="P347" s="73"/>
      <c r="Q347" s="72" t="s">
        <v>71</v>
      </c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72"/>
      <c r="AE347" s="72"/>
    </row>
    <row r="348" spans="1:31" ht="26.25" customHeight="1">
      <c r="A348" s="27">
        <v>347</v>
      </c>
      <c r="B348" s="74">
        <v>46203</v>
      </c>
      <c r="C348" s="71" t="s">
        <v>1471</v>
      </c>
      <c r="D348" s="71" t="s">
        <v>1472</v>
      </c>
      <c r="E348" s="27">
        <v>9443570858</v>
      </c>
      <c r="F348" s="27" t="s">
        <v>1473</v>
      </c>
      <c r="G348" s="27">
        <v>100</v>
      </c>
      <c r="H348" s="71"/>
      <c r="I348" s="71" t="s">
        <v>1474</v>
      </c>
      <c r="J348" s="71" t="s">
        <v>1475</v>
      </c>
      <c r="K348" s="72"/>
      <c r="L348" s="72"/>
      <c r="M348" s="72"/>
      <c r="N348" s="27" t="s">
        <v>35</v>
      </c>
      <c r="O348" s="27"/>
      <c r="P348" s="73"/>
      <c r="Q348" s="72" t="s">
        <v>36</v>
      </c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72"/>
      <c r="AE348" s="72"/>
    </row>
    <row r="349" spans="1:31" ht="26.25" customHeight="1">
      <c r="A349" s="84">
        <v>348</v>
      </c>
      <c r="B349" s="74">
        <v>46203</v>
      </c>
      <c r="C349" s="71" t="s">
        <v>880</v>
      </c>
      <c r="D349" s="71"/>
      <c r="E349" s="27">
        <v>9363718363</v>
      </c>
      <c r="F349" s="27" t="s">
        <v>48</v>
      </c>
      <c r="G349" s="27">
        <v>2</v>
      </c>
      <c r="H349" s="71"/>
      <c r="I349" s="71"/>
      <c r="J349" s="71" t="s">
        <v>259</v>
      </c>
      <c r="K349" s="72"/>
      <c r="L349" s="72"/>
      <c r="M349" s="72"/>
      <c r="N349" s="27" t="s">
        <v>122</v>
      </c>
      <c r="O349" s="27"/>
      <c r="P349" s="73"/>
      <c r="Q349" s="72" t="s">
        <v>71</v>
      </c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72"/>
      <c r="AE349" s="72"/>
    </row>
    <row r="350" spans="1:31" ht="26.25" customHeight="1">
      <c r="A350" s="27">
        <v>349</v>
      </c>
      <c r="B350" s="74">
        <v>46203</v>
      </c>
      <c r="C350" s="71" t="s">
        <v>418</v>
      </c>
      <c r="D350" s="71"/>
      <c r="E350" s="27">
        <v>9884713638</v>
      </c>
      <c r="F350" s="27" t="s">
        <v>1476</v>
      </c>
      <c r="G350" s="27">
        <v>1</v>
      </c>
      <c r="H350" s="71"/>
      <c r="I350" s="71" t="s">
        <v>423</v>
      </c>
      <c r="J350" s="71" t="s">
        <v>1477</v>
      </c>
      <c r="K350" s="72"/>
      <c r="L350" s="72"/>
      <c r="M350" s="72"/>
      <c r="N350" s="27" t="s">
        <v>35</v>
      </c>
      <c r="O350" s="27"/>
      <c r="P350" s="73"/>
      <c r="Q350" s="72" t="s">
        <v>1478</v>
      </c>
      <c r="R350" s="27"/>
      <c r="S350" s="27"/>
      <c r="T350" s="27"/>
      <c r="U350" s="27"/>
      <c r="V350" s="27"/>
      <c r="W350" s="27" t="s">
        <v>63</v>
      </c>
      <c r="X350" s="27"/>
      <c r="Y350" s="27"/>
      <c r="Z350" s="27"/>
      <c r="AA350" s="27"/>
      <c r="AB350" s="27"/>
      <c r="AC350" s="27"/>
      <c r="AD350" s="72"/>
      <c r="AE350" s="72"/>
    </row>
    <row r="351" spans="1:31" ht="37.5" customHeight="1">
      <c r="A351" s="99">
        <v>350</v>
      </c>
      <c r="B351" s="100">
        <v>46203</v>
      </c>
      <c r="C351" s="101" t="s">
        <v>1479</v>
      </c>
      <c r="D351" s="101" t="s">
        <v>1480</v>
      </c>
      <c r="E351" s="99">
        <v>9894099392</v>
      </c>
      <c r="F351" s="99" t="s">
        <v>142</v>
      </c>
      <c r="G351" s="99">
        <v>7</v>
      </c>
      <c r="H351" s="101"/>
      <c r="I351" s="101" t="s">
        <v>423</v>
      </c>
      <c r="J351" s="101" t="s">
        <v>1481</v>
      </c>
      <c r="K351" s="102"/>
      <c r="L351" s="102"/>
      <c r="M351" s="102"/>
      <c r="N351" s="99" t="s">
        <v>568</v>
      </c>
      <c r="O351" s="99"/>
      <c r="P351" s="103"/>
      <c r="Q351" s="102" t="s">
        <v>1478</v>
      </c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102"/>
      <c r="AE351" s="102"/>
    </row>
    <row r="352" spans="1:31" ht="26.25" customHeight="1">
      <c r="A352" s="99">
        <v>351</v>
      </c>
      <c r="B352" s="100">
        <v>46203</v>
      </c>
      <c r="C352" s="101" t="s">
        <v>1482</v>
      </c>
      <c r="D352" s="101" t="s">
        <v>1483</v>
      </c>
      <c r="E352" s="99">
        <v>9894729171</v>
      </c>
      <c r="F352" s="99" t="s">
        <v>1484</v>
      </c>
      <c r="G352" s="99">
        <v>6</v>
      </c>
      <c r="H352" s="101"/>
      <c r="I352" s="101" t="s">
        <v>423</v>
      </c>
      <c r="J352" s="101" t="s">
        <v>1485</v>
      </c>
      <c r="K352" s="102"/>
      <c r="L352" s="102"/>
      <c r="M352" s="102"/>
      <c r="N352" s="99" t="s">
        <v>568</v>
      </c>
      <c r="O352" s="99"/>
      <c r="P352" s="103"/>
      <c r="Q352" s="102" t="s">
        <v>1478</v>
      </c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102"/>
      <c r="AE352" s="102"/>
    </row>
    <row r="353" spans="1:31" ht="26.25" customHeight="1">
      <c r="A353" s="27">
        <v>352</v>
      </c>
      <c r="B353" s="74">
        <v>46203</v>
      </c>
      <c r="C353" s="83" t="s">
        <v>1486</v>
      </c>
      <c r="D353" s="83" t="s">
        <v>1487</v>
      </c>
      <c r="E353" s="84" t="s">
        <v>1488</v>
      </c>
      <c r="F353" s="27" t="s">
        <v>1489</v>
      </c>
      <c r="G353" s="27" t="s">
        <v>1173</v>
      </c>
      <c r="H353" s="71"/>
      <c r="I353" s="71" t="s">
        <v>1175</v>
      </c>
      <c r="J353" s="71" t="s">
        <v>1490</v>
      </c>
      <c r="K353" s="72"/>
      <c r="L353" s="72"/>
      <c r="M353" s="72"/>
      <c r="N353" s="27" t="s">
        <v>35</v>
      </c>
      <c r="O353" s="27"/>
      <c r="P353" s="73"/>
      <c r="Q353" s="72" t="s">
        <v>36</v>
      </c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72"/>
      <c r="AE353" s="72"/>
    </row>
    <row r="354" spans="1:31" ht="33.75" customHeight="1">
      <c r="A354" s="27">
        <v>353</v>
      </c>
      <c r="B354" s="74">
        <v>46203</v>
      </c>
      <c r="C354" s="83" t="s">
        <v>1491</v>
      </c>
      <c r="D354" s="83" t="s">
        <v>1492</v>
      </c>
      <c r="E354" s="84" t="s">
        <v>1493</v>
      </c>
      <c r="F354" s="27" t="s">
        <v>325</v>
      </c>
      <c r="G354" s="27" t="s">
        <v>1494</v>
      </c>
      <c r="H354" s="71"/>
      <c r="I354" s="71" t="s">
        <v>1162</v>
      </c>
      <c r="J354" s="71" t="s">
        <v>1495</v>
      </c>
      <c r="K354" s="72"/>
      <c r="L354" s="72"/>
      <c r="M354" s="72"/>
      <c r="N354" s="27" t="s">
        <v>35</v>
      </c>
      <c r="O354" s="27"/>
      <c r="P354" s="73"/>
      <c r="Q354" s="72" t="s">
        <v>36</v>
      </c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72"/>
      <c r="AE354" s="72"/>
    </row>
    <row r="355" spans="1:31" ht="26.25" customHeight="1">
      <c r="A355" s="27">
        <v>354</v>
      </c>
      <c r="B355" s="74">
        <v>46203</v>
      </c>
      <c r="C355" s="83" t="s">
        <v>1496</v>
      </c>
      <c r="D355" s="83" t="s">
        <v>1497</v>
      </c>
      <c r="E355" s="84" t="s">
        <v>1498</v>
      </c>
      <c r="F355" s="27" t="s">
        <v>1499</v>
      </c>
      <c r="G355" s="27" t="s">
        <v>1500</v>
      </c>
      <c r="H355" s="71"/>
      <c r="I355" s="71" t="s">
        <v>1147</v>
      </c>
      <c r="J355" s="71"/>
      <c r="K355" s="72"/>
      <c r="L355" s="72"/>
      <c r="M355" s="72"/>
      <c r="N355" s="27" t="s">
        <v>44</v>
      </c>
      <c r="O355" s="27"/>
      <c r="P355" s="73"/>
      <c r="Q355" s="72" t="s">
        <v>36</v>
      </c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72"/>
      <c r="AE355" s="72"/>
    </row>
    <row r="356" spans="1:31" ht="26.25" customHeight="1">
      <c r="A356" s="27">
        <v>355</v>
      </c>
      <c r="B356" s="74">
        <v>46203</v>
      </c>
      <c r="C356" s="83" t="s">
        <v>1501</v>
      </c>
      <c r="D356" s="83" t="s">
        <v>1502</v>
      </c>
      <c r="E356" s="84" t="s">
        <v>1503</v>
      </c>
      <c r="F356" s="27" t="s">
        <v>1504</v>
      </c>
      <c r="G356" s="27" t="s">
        <v>1191</v>
      </c>
      <c r="H356" s="71"/>
      <c r="I356" s="71" t="s">
        <v>1147</v>
      </c>
      <c r="J356" s="71" t="s">
        <v>1137</v>
      </c>
      <c r="K356" s="72"/>
      <c r="L356" s="72"/>
      <c r="M356" s="72"/>
      <c r="N356" s="27" t="s">
        <v>44</v>
      </c>
      <c r="O356" s="27"/>
      <c r="P356" s="73"/>
      <c r="Q356" s="72" t="s">
        <v>36</v>
      </c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72"/>
      <c r="AE356" s="72"/>
    </row>
    <row r="357" spans="1:31" ht="26.25" customHeight="1">
      <c r="A357" s="27">
        <v>356</v>
      </c>
      <c r="B357" s="74">
        <v>46203</v>
      </c>
      <c r="C357" s="83" t="s">
        <v>1505</v>
      </c>
      <c r="D357" s="83" t="s">
        <v>1359</v>
      </c>
      <c r="E357" s="84" t="s">
        <v>1506</v>
      </c>
      <c r="F357" s="27" t="s">
        <v>1507</v>
      </c>
      <c r="G357" s="27" t="s">
        <v>586</v>
      </c>
      <c r="H357" s="71"/>
      <c r="I357" s="71" t="s">
        <v>1175</v>
      </c>
      <c r="J357" s="71" t="s">
        <v>1508</v>
      </c>
      <c r="K357" s="72"/>
      <c r="L357" s="72"/>
      <c r="M357" s="72"/>
      <c r="N357" s="27" t="s">
        <v>44</v>
      </c>
      <c r="O357" s="27"/>
      <c r="P357" s="73"/>
      <c r="Q357" s="72" t="s">
        <v>36</v>
      </c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72"/>
      <c r="AE357" s="72"/>
    </row>
    <row r="358" spans="1:31" ht="26.25" customHeight="1">
      <c r="A358" s="27">
        <v>357</v>
      </c>
      <c r="B358" s="74">
        <v>46203</v>
      </c>
      <c r="C358" s="83" t="s">
        <v>1509</v>
      </c>
      <c r="D358" s="83" t="s">
        <v>1510</v>
      </c>
      <c r="E358" s="84" t="s">
        <v>1511</v>
      </c>
      <c r="F358" s="27" t="s">
        <v>1512</v>
      </c>
      <c r="G358" s="27" t="s">
        <v>1513</v>
      </c>
      <c r="H358" s="71"/>
      <c r="I358" s="71" t="s">
        <v>1147</v>
      </c>
      <c r="J358" s="71" t="s">
        <v>1514</v>
      </c>
      <c r="K358" s="72"/>
      <c r="L358" s="72"/>
      <c r="M358" s="72"/>
      <c r="N358" s="27" t="s">
        <v>77</v>
      </c>
      <c r="O358" s="27"/>
      <c r="P358" s="73"/>
      <c r="Q358" s="72" t="s">
        <v>36</v>
      </c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72"/>
      <c r="AE358" s="72"/>
    </row>
    <row r="359" spans="1:31" ht="44.25" customHeight="1">
      <c r="A359" s="86">
        <v>358</v>
      </c>
      <c r="B359" s="87">
        <v>46203</v>
      </c>
      <c r="C359" s="88" t="s">
        <v>1515</v>
      </c>
      <c r="D359" s="88" t="s">
        <v>528</v>
      </c>
      <c r="E359" s="86">
        <v>9490217819</v>
      </c>
      <c r="F359" s="86" t="s">
        <v>316</v>
      </c>
      <c r="G359" s="86">
        <v>1</v>
      </c>
      <c r="H359" s="88"/>
      <c r="I359" s="88" t="s">
        <v>423</v>
      </c>
      <c r="J359" s="88" t="s">
        <v>1516</v>
      </c>
      <c r="K359" s="31"/>
      <c r="L359" s="89" t="s">
        <v>1517</v>
      </c>
      <c r="M359" s="89"/>
      <c r="N359" s="86" t="s">
        <v>106</v>
      </c>
      <c r="O359" s="86"/>
      <c r="P359" s="90"/>
      <c r="Q359" s="89" t="s">
        <v>71</v>
      </c>
      <c r="R359" s="86"/>
      <c r="S359" s="86"/>
      <c r="T359" s="86"/>
      <c r="U359" s="86" t="s">
        <v>38</v>
      </c>
      <c r="V359" s="86"/>
      <c r="W359" s="86" t="s">
        <v>63</v>
      </c>
      <c r="X359" s="86"/>
      <c r="Y359" s="86"/>
      <c r="Z359" s="86"/>
      <c r="AA359" s="86"/>
      <c r="AB359" s="86"/>
      <c r="AC359" s="86"/>
      <c r="AD359" s="89"/>
      <c r="AE359" s="89"/>
    </row>
    <row r="360" spans="1:31" ht="26.25" customHeight="1">
      <c r="A360" s="27">
        <v>359</v>
      </c>
      <c r="B360" s="74">
        <v>46203</v>
      </c>
      <c r="C360" s="71" t="s">
        <v>1518</v>
      </c>
      <c r="D360" s="71" t="s">
        <v>1519</v>
      </c>
      <c r="E360" s="27" t="s">
        <v>1520</v>
      </c>
      <c r="F360" s="27" t="s">
        <v>427</v>
      </c>
      <c r="G360" s="27" t="s">
        <v>1521</v>
      </c>
      <c r="H360" s="71"/>
      <c r="I360" s="71" t="s">
        <v>1522</v>
      </c>
      <c r="J360" s="71" t="s">
        <v>1523</v>
      </c>
      <c r="K360" s="72"/>
      <c r="L360" s="31" t="s">
        <v>1524</v>
      </c>
      <c r="M360" s="72" t="s">
        <v>1525</v>
      </c>
      <c r="N360" s="27" t="s">
        <v>35</v>
      </c>
      <c r="O360" s="27"/>
      <c r="P360" s="73"/>
      <c r="Q360" s="72" t="s">
        <v>307</v>
      </c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72"/>
      <c r="AE360" s="72"/>
    </row>
    <row r="361" spans="1:31" ht="26.25" customHeight="1">
      <c r="A361" s="27">
        <v>360</v>
      </c>
      <c r="B361" s="74">
        <v>46204</v>
      </c>
      <c r="C361" s="83" t="s">
        <v>1526</v>
      </c>
      <c r="D361" s="83" t="s">
        <v>1527</v>
      </c>
      <c r="E361" s="84" t="s">
        <v>1528</v>
      </c>
      <c r="F361" s="27" t="s">
        <v>1529</v>
      </c>
      <c r="G361" s="27" t="s">
        <v>1324</v>
      </c>
      <c r="H361" s="71"/>
      <c r="I361" s="71" t="s">
        <v>1530</v>
      </c>
      <c r="J361" s="71" t="s">
        <v>1531</v>
      </c>
      <c r="K361" s="72"/>
      <c r="L361" s="72"/>
      <c r="M361" s="72"/>
      <c r="N361" s="27" t="s">
        <v>35</v>
      </c>
      <c r="O361" s="27"/>
      <c r="P361" s="73"/>
      <c r="Q361" s="72" t="s">
        <v>36</v>
      </c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72"/>
      <c r="AE361" s="72"/>
    </row>
    <row r="362" spans="1:31" ht="45.75" customHeight="1">
      <c r="A362" s="29">
        <v>361</v>
      </c>
      <c r="B362" s="76">
        <v>46204</v>
      </c>
      <c r="C362" s="77" t="s">
        <v>1532</v>
      </c>
      <c r="D362" s="77" t="s">
        <v>1533</v>
      </c>
      <c r="E362" s="29" t="s">
        <v>1534</v>
      </c>
      <c r="F362" s="29" t="s">
        <v>1535</v>
      </c>
      <c r="G362" s="29" t="s">
        <v>1536</v>
      </c>
      <c r="H362" s="77"/>
      <c r="I362" s="77" t="s">
        <v>1162</v>
      </c>
      <c r="J362" s="77" t="s">
        <v>1537</v>
      </c>
      <c r="K362" s="79"/>
      <c r="L362" s="79" t="s">
        <v>1538</v>
      </c>
      <c r="M362" s="79" t="s">
        <v>1216</v>
      </c>
      <c r="N362" s="29" t="s">
        <v>106</v>
      </c>
      <c r="O362" s="29"/>
      <c r="P362" s="80"/>
      <c r="Q362" s="79" t="s">
        <v>1539</v>
      </c>
      <c r="R362" s="29" t="s">
        <v>1540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79"/>
      <c r="AE362" s="79"/>
    </row>
    <row r="363" spans="1:31" ht="26.25" customHeight="1">
      <c r="A363" s="27">
        <v>362</v>
      </c>
      <c r="B363" s="74">
        <v>46204</v>
      </c>
      <c r="C363" s="83" t="s">
        <v>1541</v>
      </c>
      <c r="D363" s="83" t="s">
        <v>1542</v>
      </c>
      <c r="E363" s="84" t="s">
        <v>1543</v>
      </c>
      <c r="F363" s="27" t="s">
        <v>1544</v>
      </c>
      <c r="G363" s="27" t="s">
        <v>1445</v>
      </c>
      <c r="H363" s="71"/>
      <c r="I363" s="71" t="s">
        <v>1545</v>
      </c>
      <c r="J363" s="71"/>
      <c r="K363" s="72"/>
      <c r="L363" s="72"/>
      <c r="M363" s="72"/>
      <c r="N363" s="27" t="s">
        <v>70</v>
      </c>
      <c r="O363" s="27"/>
      <c r="P363" s="73"/>
      <c r="Q363" s="72" t="s">
        <v>36</v>
      </c>
      <c r="R363" s="27"/>
      <c r="S363" s="27"/>
      <c r="T363" s="71"/>
      <c r="U363" s="27"/>
      <c r="V363" s="27"/>
      <c r="W363" s="27"/>
      <c r="X363" s="27"/>
      <c r="Y363" s="27"/>
      <c r="Z363" s="27"/>
      <c r="AA363" s="27"/>
      <c r="AB363" s="27"/>
      <c r="AC363" s="27"/>
      <c r="AD363" s="72"/>
      <c r="AE363" s="72"/>
    </row>
    <row r="364" spans="1:31" ht="44.25" customHeight="1">
      <c r="A364" s="27">
        <v>363</v>
      </c>
      <c r="B364" s="74">
        <v>46204</v>
      </c>
      <c r="C364" s="104" t="s">
        <v>1546</v>
      </c>
      <c r="D364" s="104" t="s">
        <v>1547</v>
      </c>
      <c r="E364" s="105" t="s">
        <v>1548</v>
      </c>
      <c r="F364" s="105" t="s">
        <v>1549</v>
      </c>
      <c r="G364" s="105"/>
      <c r="H364" s="106" t="s">
        <v>1550</v>
      </c>
      <c r="I364" s="104" t="s">
        <v>1551</v>
      </c>
      <c r="J364" s="104" t="s">
        <v>1552</v>
      </c>
      <c r="K364" s="107"/>
      <c r="L364" s="107"/>
      <c r="M364" s="107"/>
      <c r="N364" s="27" t="s">
        <v>35</v>
      </c>
      <c r="O364" s="27"/>
      <c r="P364" s="73"/>
      <c r="Q364" s="72" t="s">
        <v>479</v>
      </c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72"/>
      <c r="AE364" s="72"/>
    </row>
    <row r="365" spans="1:31" ht="26.25" customHeight="1">
      <c r="A365" s="27">
        <v>364</v>
      </c>
      <c r="B365" s="74">
        <v>46204</v>
      </c>
      <c r="C365" s="71" t="s">
        <v>1553</v>
      </c>
      <c r="D365" s="71"/>
      <c r="E365" s="27">
        <v>9500020775</v>
      </c>
      <c r="F365" s="27" t="s">
        <v>48</v>
      </c>
      <c r="G365" s="27">
        <v>3</v>
      </c>
      <c r="H365" s="71"/>
      <c r="I365" s="71"/>
      <c r="J365" s="71" t="s">
        <v>1554</v>
      </c>
      <c r="K365" s="72"/>
      <c r="L365" s="72"/>
      <c r="M365" s="72"/>
      <c r="N365" s="27" t="s">
        <v>35</v>
      </c>
      <c r="O365" s="27"/>
      <c r="P365" s="73"/>
      <c r="Q365" s="72" t="s">
        <v>71</v>
      </c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72"/>
      <c r="AE365" s="72"/>
    </row>
    <row r="366" spans="1:31" ht="26.25" customHeight="1">
      <c r="A366" s="27">
        <v>365</v>
      </c>
      <c r="B366" s="74">
        <v>46204</v>
      </c>
      <c r="C366" s="83" t="s">
        <v>1555</v>
      </c>
      <c r="D366" s="83" t="s">
        <v>1556</v>
      </c>
      <c r="E366" s="84" t="s">
        <v>1557</v>
      </c>
      <c r="F366" s="27" t="s">
        <v>453</v>
      </c>
      <c r="G366" s="27">
        <v>100</v>
      </c>
      <c r="H366" s="71"/>
      <c r="I366" s="85" t="s">
        <v>1186</v>
      </c>
      <c r="J366" s="71"/>
      <c r="K366" s="72"/>
      <c r="L366" s="72"/>
      <c r="M366" s="72"/>
      <c r="N366" s="27" t="s">
        <v>35</v>
      </c>
      <c r="O366" s="27"/>
      <c r="P366" s="73"/>
      <c r="Q366" s="72" t="s">
        <v>36</v>
      </c>
      <c r="R366" s="27"/>
      <c r="S366" s="27"/>
      <c r="T366" s="27" t="s">
        <v>1558</v>
      </c>
      <c r="U366" s="27"/>
      <c r="V366" s="27"/>
      <c r="W366" s="27"/>
      <c r="X366" s="27"/>
      <c r="Y366" s="27"/>
      <c r="Z366" s="27"/>
      <c r="AA366" s="27"/>
      <c r="AB366" s="27"/>
      <c r="AC366" s="27"/>
      <c r="AD366" s="72"/>
      <c r="AE366" s="72"/>
    </row>
    <row r="367" spans="1:31" ht="26.25" customHeight="1">
      <c r="A367" s="27">
        <v>366</v>
      </c>
      <c r="B367" s="74">
        <v>46204</v>
      </c>
      <c r="C367" s="71" t="s">
        <v>1559</v>
      </c>
      <c r="D367" s="71"/>
      <c r="E367" s="27">
        <v>6369761199</v>
      </c>
      <c r="F367" s="27" t="s">
        <v>1560</v>
      </c>
      <c r="G367" s="27"/>
      <c r="H367" s="71"/>
      <c r="I367" s="71" t="s">
        <v>1561</v>
      </c>
      <c r="J367" s="71"/>
      <c r="K367" s="72"/>
      <c r="L367" s="72"/>
      <c r="M367" s="72"/>
      <c r="N367" s="27" t="s">
        <v>35</v>
      </c>
      <c r="O367" s="27"/>
      <c r="P367" s="73"/>
      <c r="Q367" s="72" t="s">
        <v>71</v>
      </c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72"/>
      <c r="AE367" s="72"/>
    </row>
    <row r="368" spans="1:31" ht="26.25" customHeight="1">
      <c r="A368" s="27">
        <v>367</v>
      </c>
      <c r="B368" s="74">
        <v>46204</v>
      </c>
      <c r="C368" s="71" t="s">
        <v>1562</v>
      </c>
      <c r="D368" s="71"/>
      <c r="E368" s="27">
        <v>9363718363</v>
      </c>
      <c r="F368" s="27" t="s">
        <v>48</v>
      </c>
      <c r="G368" s="27"/>
      <c r="H368" s="71"/>
      <c r="I368" s="71"/>
      <c r="J368" s="71" t="s">
        <v>1330</v>
      </c>
      <c r="K368" s="71"/>
      <c r="L368" s="71"/>
      <c r="M368" s="71"/>
      <c r="N368" s="27" t="s">
        <v>122</v>
      </c>
      <c r="O368" s="27"/>
      <c r="P368" s="73"/>
      <c r="Q368" s="72" t="s">
        <v>71</v>
      </c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72"/>
      <c r="AE368" s="72"/>
    </row>
    <row r="369" spans="1:31" ht="26.25" customHeight="1">
      <c r="A369" s="27">
        <v>368</v>
      </c>
      <c r="B369" s="74">
        <v>46204</v>
      </c>
      <c r="C369" s="71" t="s">
        <v>1563</v>
      </c>
      <c r="D369" s="71"/>
      <c r="E369" s="27">
        <v>9171000070</v>
      </c>
      <c r="F369" s="27"/>
      <c r="G369" s="27"/>
      <c r="H369" s="71"/>
      <c r="I369" s="85"/>
      <c r="J369" s="71" t="s">
        <v>1137</v>
      </c>
      <c r="K369" s="85"/>
      <c r="L369" s="85"/>
      <c r="M369" s="85"/>
      <c r="N369" s="27" t="s">
        <v>44</v>
      </c>
      <c r="O369" s="27"/>
      <c r="P369" s="73"/>
      <c r="Q369" s="72" t="s">
        <v>307</v>
      </c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72"/>
      <c r="AE369" s="72"/>
    </row>
    <row r="370" spans="1:31" ht="26.25" customHeight="1">
      <c r="A370" s="27">
        <v>369</v>
      </c>
      <c r="B370" s="74">
        <v>46204</v>
      </c>
      <c r="C370" s="71" t="s">
        <v>1564</v>
      </c>
      <c r="D370" s="71"/>
      <c r="E370" s="27">
        <v>8220650255</v>
      </c>
      <c r="F370" s="27" t="s">
        <v>1565</v>
      </c>
      <c r="G370" s="27"/>
      <c r="H370" s="71"/>
      <c r="I370" s="71"/>
      <c r="J370" s="71" t="s">
        <v>1566</v>
      </c>
      <c r="K370" s="72"/>
      <c r="L370" s="72"/>
      <c r="M370" s="72"/>
      <c r="N370" s="27" t="s">
        <v>122</v>
      </c>
      <c r="O370" s="27"/>
      <c r="P370" s="73"/>
      <c r="Q370" s="72" t="s">
        <v>307</v>
      </c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72"/>
      <c r="AE370" s="72"/>
    </row>
    <row r="371" spans="1:31" ht="26.25" customHeight="1">
      <c r="A371" s="29">
        <v>370</v>
      </c>
      <c r="B371" s="76">
        <v>46204</v>
      </c>
      <c r="C371" s="77" t="s">
        <v>1567</v>
      </c>
      <c r="D371" s="77"/>
      <c r="E371" s="29">
        <v>9841760736</v>
      </c>
      <c r="F371" s="29" t="s">
        <v>325</v>
      </c>
      <c r="G371" s="29"/>
      <c r="H371" s="77"/>
      <c r="I371" s="77" t="s">
        <v>1568</v>
      </c>
      <c r="J371" s="77" t="s">
        <v>1569</v>
      </c>
      <c r="K371" s="79"/>
      <c r="L371" s="79" t="s">
        <v>1570</v>
      </c>
      <c r="M371" s="79" t="s">
        <v>1571</v>
      </c>
      <c r="N371" s="29" t="s">
        <v>106</v>
      </c>
      <c r="O371" s="29"/>
      <c r="P371" s="80"/>
      <c r="Q371" s="79" t="s">
        <v>307</v>
      </c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79"/>
      <c r="AE371" s="79"/>
    </row>
    <row r="372" spans="1:31" ht="26.25" customHeight="1">
      <c r="A372" s="27">
        <v>371</v>
      </c>
      <c r="B372" s="74">
        <v>46205</v>
      </c>
      <c r="C372" s="83" t="s">
        <v>1572</v>
      </c>
      <c r="D372" s="83" t="s">
        <v>1573</v>
      </c>
      <c r="E372" s="84" t="s">
        <v>1574</v>
      </c>
      <c r="F372" s="27" t="s">
        <v>698</v>
      </c>
      <c r="G372" s="27" t="s">
        <v>1575</v>
      </c>
      <c r="H372" s="71"/>
      <c r="I372" s="71"/>
      <c r="J372" s="71"/>
      <c r="K372" s="72"/>
      <c r="L372" s="72"/>
      <c r="M372" s="72"/>
      <c r="N372" s="27" t="s">
        <v>44</v>
      </c>
      <c r="O372" s="27"/>
      <c r="P372" s="73"/>
      <c r="Q372" s="72" t="s">
        <v>36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72"/>
      <c r="AE372" s="72"/>
    </row>
    <row r="373" spans="1:31" ht="26.25" customHeight="1">
      <c r="A373" s="27">
        <v>372</v>
      </c>
      <c r="B373" s="74">
        <v>46205</v>
      </c>
      <c r="C373" s="83" t="s">
        <v>1576</v>
      </c>
      <c r="D373" s="83" t="s">
        <v>1577</v>
      </c>
      <c r="E373" s="84" t="s">
        <v>1578</v>
      </c>
      <c r="F373" s="27" t="s">
        <v>1579</v>
      </c>
      <c r="G373" s="27">
        <v>1000</v>
      </c>
      <c r="H373" s="71"/>
      <c r="I373" s="71" t="s">
        <v>1580</v>
      </c>
      <c r="J373" s="71" t="s">
        <v>1581</v>
      </c>
      <c r="K373" s="72"/>
      <c r="L373" s="72"/>
      <c r="M373" s="72"/>
      <c r="N373" s="27" t="s">
        <v>35</v>
      </c>
      <c r="O373" s="27"/>
      <c r="P373" s="73"/>
      <c r="Q373" s="72" t="s">
        <v>36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72"/>
      <c r="AE373" s="72"/>
    </row>
    <row r="374" spans="1:31" ht="26.25" customHeight="1">
      <c r="A374" s="27">
        <v>373</v>
      </c>
      <c r="B374" s="74">
        <v>46205</v>
      </c>
      <c r="C374" s="83" t="s">
        <v>1582</v>
      </c>
      <c r="D374" s="83" t="s">
        <v>1583</v>
      </c>
      <c r="E374" s="84" t="s">
        <v>1584</v>
      </c>
      <c r="F374" s="27" t="s">
        <v>1585</v>
      </c>
      <c r="G374" s="27" t="s">
        <v>1586</v>
      </c>
      <c r="H374" s="71"/>
      <c r="I374" s="71"/>
      <c r="J374" s="71"/>
      <c r="K374" s="72"/>
      <c r="L374" s="72"/>
      <c r="M374" s="72"/>
      <c r="N374" s="27" t="s">
        <v>35</v>
      </c>
      <c r="O374" s="27"/>
      <c r="P374" s="73"/>
      <c r="Q374" s="72" t="s">
        <v>36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72"/>
      <c r="AE374" s="72"/>
    </row>
    <row r="375" spans="1:31" ht="26.25" customHeight="1">
      <c r="A375" s="27">
        <v>374</v>
      </c>
      <c r="B375" s="74">
        <v>46205</v>
      </c>
      <c r="C375" s="108" t="s">
        <v>1587</v>
      </c>
      <c r="D375" s="108" t="s">
        <v>1588</v>
      </c>
      <c r="E375" s="109" t="s">
        <v>1589</v>
      </c>
      <c r="F375" s="105" t="s">
        <v>1590</v>
      </c>
      <c r="G375" s="105" t="s">
        <v>1445</v>
      </c>
      <c r="H375" s="104"/>
      <c r="I375" s="104"/>
      <c r="J375" s="104" t="s">
        <v>1591</v>
      </c>
      <c r="K375" s="107"/>
      <c r="L375" s="107"/>
      <c r="M375" s="107"/>
      <c r="N375" s="27" t="s">
        <v>35</v>
      </c>
      <c r="O375" s="27"/>
      <c r="P375" s="73"/>
      <c r="Q375" s="72" t="s">
        <v>36</v>
      </c>
      <c r="R375" s="105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72"/>
      <c r="AE375" s="72"/>
    </row>
    <row r="376" spans="1:31" ht="26.25" customHeight="1">
      <c r="A376" s="27">
        <v>375</v>
      </c>
      <c r="B376" s="74">
        <v>46205</v>
      </c>
      <c r="C376" s="83" t="s">
        <v>1592</v>
      </c>
      <c r="D376" s="83" t="s">
        <v>1593</v>
      </c>
      <c r="E376" s="84" t="s">
        <v>1594</v>
      </c>
      <c r="F376" s="27" t="s">
        <v>53</v>
      </c>
      <c r="G376" s="27" t="s">
        <v>1595</v>
      </c>
      <c r="H376" s="71"/>
      <c r="I376" s="71"/>
      <c r="J376" s="71" t="s">
        <v>1596</v>
      </c>
      <c r="K376" s="72"/>
      <c r="L376" s="72"/>
      <c r="M376" s="72"/>
      <c r="N376" s="27" t="s">
        <v>35</v>
      </c>
      <c r="O376" s="27"/>
      <c r="P376" s="73"/>
      <c r="Q376" s="72" t="s">
        <v>36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72"/>
      <c r="AE376" s="72"/>
    </row>
    <row r="377" spans="1:31" ht="26.25" customHeight="1">
      <c r="A377" s="27">
        <v>376</v>
      </c>
      <c r="B377" s="74">
        <v>46205</v>
      </c>
      <c r="C377" s="83" t="s">
        <v>1597</v>
      </c>
      <c r="D377" s="83" t="s">
        <v>1598</v>
      </c>
      <c r="E377" s="84" t="s">
        <v>1599</v>
      </c>
      <c r="F377" s="27" t="s">
        <v>1600</v>
      </c>
      <c r="G377" s="27" t="s">
        <v>1151</v>
      </c>
      <c r="H377" s="71"/>
      <c r="I377" s="71" t="s">
        <v>1601</v>
      </c>
      <c r="J377" s="71" t="s">
        <v>1602</v>
      </c>
      <c r="K377" s="72"/>
      <c r="L377" s="72"/>
      <c r="M377" s="72"/>
      <c r="N377" s="27" t="s">
        <v>35</v>
      </c>
      <c r="O377" s="27"/>
      <c r="P377" s="73"/>
      <c r="Q377" s="72" t="s">
        <v>36</v>
      </c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72"/>
      <c r="AE377" s="72"/>
    </row>
    <row r="378" spans="1:31" ht="26.25" customHeight="1">
      <c r="A378" s="27">
        <v>377</v>
      </c>
      <c r="B378" s="74">
        <v>46205</v>
      </c>
      <c r="C378" s="83" t="s">
        <v>1603</v>
      </c>
      <c r="D378" s="83" t="s">
        <v>1604</v>
      </c>
      <c r="E378" s="84" t="s">
        <v>1605</v>
      </c>
      <c r="F378" s="27" t="s">
        <v>1606</v>
      </c>
      <c r="G378" s="27" t="s">
        <v>1607</v>
      </c>
      <c r="H378" s="71"/>
      <c r="I378" s="71"/>
      <c r="J378" s="71"/>
      <c r="K378" s="72"/>
      <c r="L378" s="72"/>
      <c r="M378" s="72"/>
      <c r="N378" s="27" t="s">
        <v>35</v>
      </c>
      <c r="O378" s="27"/>
      <c r="P378" s="73"/>
      <c r="Q378" s="72" t="s">
        <v>36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72"/>
      <c r="AE378" s="72"/>
    </row>
    <row r="379" spans="1:31" ht="52.5" customHeight="1">
      <c r="A379" s="27">
        <v>378</v>
      </c>
      <c r="B379" s="74">
        <v>46205</v>
      </c>
      <c r="C379" s="83" t="s">
        <v>1608</v>
      </c>
      <c r="D379" s="83" t="s">
        <v>1609</v>
      </c>
      <c r="E379" s="84" t="s">
        <v>1610</v>
      </c>
      <c r="F379" s="27" t="s">
        <v>1611</v>
      </c>
      <c r="G379" s="27" t="s">
        <v>1612</v>
      </c>
      <c r="H379" s="71"/>
      <c r="I379" s="71"/>
      <c r="J379" s="71" t="s">
        <v>1613</v>
      </c>
      <c r="K379" s="72"/>
      <c r="L379" s="72"/>
      <c r="M379" s="72"/>
      <c r="N379" s="27" t="s">
        <v>35</v>
      </c>
      <c r="O379" s="27"/>
      <c r="P379" s="73"/>
      <c r="Q379" s="72" t="s">
        <v>36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72"/>
      <c r="AE379" s="72"/>
    </row>
    <row r="380" spans="1:31" ht="26.25" customHeight="1">
      <c r="A380" s="27">
        <v>379</v>
      </c>
      <c r="B380" s="74">
        <v>46205</v>
      </c>
      <c r="C380" s="83" t="s">
        <v>1614</v>
      </c>
      <c r="D380" s="83" t="s">
        <v>697</v>
      </c>
      <c r="E380" s="84" t="s">
        <v>1615</v>
      </c>
      <c r="F380" s="27" t="s">
        <v>853</v>
      </c>
      <c r="G380" s="27" t="s">
        <v>1180</v>
      </c>
      <c r="H380" s="71"/>
      <c r="I380" s="71"/>
      <c r="J380" s="71"/>
      <c r="K380" s="72"/>
      <c r="L380" s="72"/>
      <c r="M380" s="72"/>
      <c r="N380" s="27" t="s">
        <v>70</v>
      </c>
      <c r="O380" s="27"/>
      <c r="P380" s="73"/>
      <c r="Q380" s="72" t="s">
        <v>36</v>
      </c>
      <c r="R380" s="27"/>
      <c r="S380" s="27"/>
      <c r="T380" s="71"/>
      <c r="U380" s="27"/>
      <c r="V380" s="27"/>
      <c r="W380" s="27"/>
      <c r="X380" s="27"/>
      <c r="Y380" s="27"/>
      <c r="Z380" s="27"/>
      <c r="AA380" s="27"/>
      <c r="AB380" s="27"/>
      <c r="AC380" s="27"/>
      <c r="AD380" s="72"/>
      <c r="AE380" s="72"/>
    </row>
    <row r="381" spans="1:31" ht="26.25" customHeight="1">
      <c r="A381" s="27">
        <v>380</v>
      </c>
      <c r="B381" s="74">
        <v>46205</v>
      </c>
      <c r="C381" s="83" t="s">
        <v>1616</v>
      </c>
      <c r="D381" s="83" t="s">
        <v>1617</v>
      </c>
      <c r="E381" s="84" t="s">
        <v>1618</v>
      </c>
      <c r="F381" s="27" t="s">
        <v>1619</v>
      </c>
      <c r="G381" s="27" t="s">
        <v>1173</v>
      </c>
      <c r="H381" s="71"/>
      <c r="I381" s="71"/>
      <c r="J381" s="71"/>
      <c r="K381" s="72"/>
      <c r="L381" s="72"/>
      <c r="M381" s="72"/>
      <c r="N381" s="27" t="s">
        <v>35</v>
      </c>
      <c r="O381" s="27"/>
      <c r="P381" s="73"/>
      <c r="Q381" s="72" t="s">
        <v>36</v>
      </c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72"/>
      <c r="AE381" s="72"/>
    </row>
    <row r="382" spans="1:31" ht="26.25" customHeight="1">
      <c r="A382" s="91">
        <v>381</v>
      </c>
      <c r="B382" s="92">
        <v>46205</v>
      </c>
      <c r="C382" s="93" t="s">
        <v>1620</v>
      </c>
      <c r="D382" s="93" t="s">
        <v>1621</v>
      </c>
      <c r="E382" s="94">
        <v>9893307740</v>
      </c>
      <c r="F382" s="91" t="s">
        <v>1622</v>
      </c>
      <c r="G382" s="91" t="s">
        <v>1191</v>
      </c>
      <c r="H382" s="95"/>
      <c r="I382" s="95"/>
      <c r="J382" s="95" t="s">
        <v>1623</v>
      </c>
      <c r="K382" s="96"/>
      <c r="L382" s="96"/>
      <c r="M382" s="96"/>
      <c r="N382" s="91" t="s">
        <v>596</v>
      </c>
      <c r="O382" s="91"/>
      <c r="P382" s="97"/>
      <c r="Q382" s="96" t="s">
        <v>36</v>
      </c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6"/>
      <c r="AE382" s="96"/>
    </row>
    <row r="383" spans="1:31" ht="26.25" customHeight="1">
      <c r="A383" s="27">
        <v>382</v>
      </c>
      <c r="B383" s="74">
        <v>46205</v>
      </c>
      <c r="C383" s="83" t="s">
        <v>1624</v>
      </c>
      <c r="D383" s="83" t="s">
        <v>1625</v>
      </c>
      <c r="E383" s="84">
        <v>9713293846</v>
      </c>
      <c r="F383" s="27" t="s">
        <v>1338</v>
      </c>
      <c r="G383" s="27" t="s">
        <v>1626</v>
      </c>
      <c r="H383" s="71"/>
      <c r="I383" s="71"/>
      <c r="J383" s="71"/>
      <c r="K383" s="72"/>
      <c r="L383" s="72"/>
      <c r="M383" s="72"/>
      <c r="N383" s="27" t="s">
        <v>70</v>
      </c>
      <c r="O383" s="27"/>
      <c r="P383" s="73"/>
      <c r="Q383" s="72" t="s">
        <v>36</v>
      </c>
      <c r="R383" s="27"/>
      <c r="S383" s="27"/>
      <c r="T383" s="71"/>
      <c r="U383" s="27"/>
      <c r="V383" s="27"/>
      <c r="W383" s="27"/>
      <c r="X383" s="27"/>
      <c r="Y383" s="27"/>
      <c r="Z383" s="27"/>
      <c r="AA383" s="27"/>
      <c r="AB383" s="27"/>
      <c r="AC383" s="27"/>
      <c r="AD383" s="72"/>
      <c r="AE383" s="72"/>
    </row>
    <row r="384" spans="1:31" ht="78.75" customHeight="1">
      <c r="A384" s="27">
        <v>383</v>
      </c>
      <c r="B384" s="74">
        <v>46205</v>
      </c>
      <c r="C384" s="71" t="s">
        <v>1627</v>
      </c>
      <c r="D384" s="83" t="s">
        <v>528</v>
      </c>
      <c r="E384" s="27">
        <v>9884190963</v>
      </c>
      <c r="F384" s="27" t="s">
        <v>1628</v>
      </c>
      <c r="G384" s="27">
        <v>2</v>
      </c>
      <c r="H384" s="71"/>
      <c r="I384" s="71" t="s">
        <v>1629</v>
      </c>
      <c r="J384" s="71" t="s">
        <v>1630</v>
      </c>
      <c r="K384" s="72"/>
      <c r="L384" s="72"/>
      <c r="M384" s="72"/>
      <c r="N384" s="27" t="s">
        <v>35</v>
      </c>
      <c r="O384" s="27"/>
      <c r="P384" s="73"/>
      <c r="Q384" s="72" t="s">
        <v>71</v>
      </c>
      <c r="R384" s="27"/>
      <c r="S384" s="27"/>
      <c r="T384" s="27"/>
      <c r="U384" s="27" t="s">
        <v>249</v>
      </c>
      <c r="V384" s="27"/>
      <c r="W384" s="27" t="s">
        <v>63</v>
      </c>
      <c r="X384" s="27"/>
      <c r="Y384" s="27"/>
      <c r="Z384" s="27"/>
      <c r="AA384" s="27"/>
      <c r="AB384" s="27"/>
      <c r="AC384" s="27"/>
      <c r="AD384" s="72"/>
      <c r="AE384" s="72"/>
    </row>
    <row r="385" spans="1:31" ht="40.5" customHeight="1">
      <c r="A385" s="27">
        <v>384</v>
      </c>
      <c r="B385" s="74">
        <v>46205</v>
      </c>
      <c r="C385" s="83" t="s">
        <v>1631</v>
      </c>
      <c r="D385" s="83" t="s">
        <v>1632</v>
      </c>
      <c r="E385" s="84">
        <v>9832882551</v>
      </c>
      <c r="F385" s="27" t="s">
        <v>1633</v>
      </c>
      <c r="G385" s="27" t="s">
        <v>1151</v>
      </c>
      <c r="H385" s="71"/>
      <c r="I385" s="71"/>
      <c r="J385" s="71" t="s">
        <v>1634</v>
      </c>
      <c r="K385" s="72"/>
      <c r="L385" s="72"/>
      <c r="M385" s="72"/>
      <c r="N385" s="27" t="s">
        <v>35</v>
      </c>
      <c r="O385" s="27"/>
      <c r="P385" s="73"/>
      <c r="Q385" s="72" t="s">
        <v>36</v>
      </c>
      <c r="R385" s="27"/>
      <c r="S385" s="27"/>
      <c r="T385" s="85" t="s">
        <v>1186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72"/>
      <c r="AE385" s="72"/>
    </row>
    <row r="386" spans="1:31" ht="39" customHeight="1">
      <c r="A386" s="27">
        <v>385</v>
      </c>
      <c r="B386" s="110">
        <v>46205</v>
      </c>
      <c r="C386" s="104" t="s">
        <v>1635</v>
      </c>
      <c r="D386" s="104" t="s">
        <v>1636</v>
      </c>
      <c r="E386" s="105">
        <v>9873578188</v>
      </c>
      <c r="F386" s="105" t="s">
        <v>427</v>
      </c>
      <c r="G386" s="105">
        <v>71</v>
      </c>
      <c r="H386" s="104"/>
      <c r="I386" s="104"/>
      <c r="J386" s="104" t="s">
        <v>1637</v>
      </c>
      <c r="K386" s="107"/>
      <c r="L386" s="107"/>
      <c r="M386" s="107"/>
      <c r="N386" s="27" t="s">
        <v>35</v>
      </c>
      <c r="O386" s="27"/>
      <c r="P386" s="73"/>
      <c r="Q386" s="72" t="s">
        <v>71</v>
      </c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72"/>
      <c r="AE386" s="72"/>
    </row>
    <row r="387" spans="1:31" ht="26.25" customHeight="1">
      <c r="A387" s="27">
        <v>386</v>
      </c>
      <c r="B387" s="74">
        <v>46205</v>
      </c>
      <c r="C387" s="83" t="s">
        <v>1638</v>
      </c>
      <c r="D387" s="83" t="s">
        <v>1639</v>
      </c>
      <c r="E387" s="84" t="s">
        <v>1640</v>
      </c>
      <c r="F387" s="27" t="s">
        <v>94</v>
      </c>
      <c r="G387" s="27" t="s">
        <v>1180</v>
      </c>
      <c r="H387" s="71"/>
      <c r="I387" s="71" t="s">
        <v>1152</v>
      </c>
      <c r="J387" s="71"/>
      <c r="K387" s="72"/>
      <c r="L387" s="72"/>
      <c r="M387" s="72"/>
      <c r="N387" s="27" t="s">
        <v>70</v>
      </c>
      <c r="O387" s="27"/>
      <c r="P387" s="73"/>
      <c r="Q387" s="72" t="s">
        <v>36</v>
      </c>
      <c r="R387" s="27"/>
      <c r="S387" s="27"/>
      <c r="T387" s="83" t="s">
        <v>1162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72"/>
      <c r="AE387" s="72"/>
    </row>
    <row r="388" spans="1:31" ht="26.25" customHeight="1">
      <c r="A388" s="27">
        <v>387</v>
      </c>
      <c r="B388" s="74">
        <v>46205</v>
      </c>
      <c r="C388" s="71" t="s">
        <v>1641</v>
      </c>
      <c r="D388" s="71" t="s">
        <v>1642</v>
      </c>
      <c r="E388" s="27" t="s">
        <v>1643</v>
      </c>
      <c r="F388" s="27" t="s">
        <v>818</v>
      </c>
      <c r="G388" s="27"/>
      <c r="H388" s="71"/>
      <c r="I388" s="71" t="s">
        <v>1152</v>
      </c>
      <c r="J388" s="71"/>
      <c r="K388" s="72"/>
      <c r="L388" s="72"/>
      <c r="M388" s="72"/>
      <c r="N388" s="27" t="s">
        <v>70</v>
      </c>
      <c r="O388" s="27"/>
      <c r="P388" s="73"/>
      <c r="Q388" s="72" t="s">
        <v>36</v>
      </c>
      <c r="R388" s="27"/>
      <c r="S388" s="27"/>
      <c r="T388" s="71" t="s">
        <v>1147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72"/>
      <c r="AE388" s="72"/>
    </row>
    <row r="389" spans="1:31" ht="26.25" customHeight="1">
      <c r="A389" s="27">
        <v>388</v>
      </c>
      <c r="B389" s="74">
        <v>46205</v>
      </c>
      <c r="C389" s="83" t="s">
        <v>1644</v>
      </c>
      <c r="D389" s="83" t="s">
        <v>1645</v>
      </c>
      <c r="E389" s="84" t="s">
        <v>1646</v>
      </c>
      <c r="F389" s="27" t="s">
        <v>1647</v>
      </c>
      <c r="G389" s="27" t="s">
        <v>1648</v>
      </c>
      <c r="H389" s="71"/>
      <c r="I389" s="71" t="s">
        <v>1159</v>
      </c>
      <c r="J389" s="71" t="s">
        <v>1649</v>
      </c>
      <c r="K389" s="72"/>
      <c r="L389" s="72"/>
      <c r="M389" s="72"/>
      <c r="N389" s="27" t="s">
        <v>77</v>
      </c>
      <c r="O389" s="27"/>
      <c r="P389" s="73"/>
      <c r="Q389" s="72" t="s">
        <v>36</v>
      </c>
      <c r="R389" s="27"/>
      <c r="S389" s="27"/>
      <c r="T389" s="85" t="s">
        <v>1186</v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72"/>
      <c r="AE389" s="72"/>
    </row>
    <row r="390" spans="1:31" ht="42" customHeight="1">
      <c r="A390" s="27">
        <v>389</v>
      </c>
      <c r="B390" s="74">
        <v>46206</v>
      </c>
      <c r="C390" s="104" t="s">
        <v>1650</v>
      </c>
      <c r="D390" s="104"/>
      <c r="E390" s="105">
        <v>9825005717</v>
      </c>
      <c r="F390" s="105"/>
      <c r="G390" s="105"/>
      <c r="H390" s="104"/>
      <c r="I390" s="104" t="s">
        <v>1651</v>
      </c>
      <c r="J390" s="104"/>
      <c r="K390" s="107"/>
      <c r="L390" s="107"/>
      <c r="M390" s="107"/>
      <c r="N390" s="27" t="s">
        <v>35</v>
      </c>
      <c r="O390" s="27"/>
      <c r="P390" s="73"/>
      <c r="Q390" s="72" t="s">
        <v>71</v>
      </c>
      <c r="R390" s="105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72"/>
      <c r="AE390" s="72"/>
    </row>
    <row r="391" spans="1:31" ht="26.25" customHeight="1">
      <c r="A391" s="27">
        <v>390</v>
      </c>
      <c r="B391" s="74">
        <v>46206</v>
      </c>
      <c r="C391" s="71" t="s">
        <v>1652</v>
      </c>
      <c r="D391" s="71" t="s">
        <v>1653</v>
      </c>
      <c r="E391" s="27">
        <v>7587946792</v>
      </c>
      <c r="F391" s="27" t="s">
        <v>953</v>
      </c>
      <c r="G391" s="27"/>
      <c r="H391" s="71"/>
      <c r="I391" s="71" t="s">
        <v>1596</v>
      </c>
      <c r="J391" s="71"/>
      <c r="K391" s="72"/>
      <c r="L391" s="72"/>
      <c r="M391" s="72"/>
      <c r="N391" s="27" t="s">
        <v>1238</v>
      </c>
      <c r="O391" s="27"/>
      <c r="P391" s="73"/>
      <c r="Q391" s="72" t="s">
        <v>307</v>
      </c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72"/>
      <c r="AE391" s="72"/>
    </row>
    <row r="392" spans="1:31" ht="26.25" customHeight="1">
      <c r="A392" s="27">
        <v>392</v>
      </c>
      <c r="B392" s="74">
        <v>46206</v>
      </c>
      <c r="C392" s="71" t="s">
        <v>1582</v>
      </c>
      <c r="D392" s="71" t="s">
        <v>1654</v>
      </c>
      <c r="E392" s="27">
        <v>7005778118</v>
      </c>
      <c r="F392" s="27" t="s">
        <v>1655</v>
      </c>
      <c r="G392" s="27">
        <v>100</v>
      </c>
      <c r="H392" s="85"/>
      <c r="I392" s="71" t="s">
        <v>1656</v>
      </c>
      <c r="J392" s="71" t="s">
        <v>1657</v>
      </c>
      <c r="K392" s="71"/>
      <c r="L392" s="71"/>
      <c r="M392" s="71"/>
      <c r="N392" s="27" t="s">
        <v>35</v>
      </c>
      <c r="O392" s="27"/>
      <c r="P392" s="73"/>
      <c r="Q392" s="72" t="s">
        <v>36</v>
      </c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72"/>
      <c r="AE392" s="72"/>
    </row>
    <row r="393" spans="1:31" ht="91.5" customHeight="1">
      <c r="A393" s="27">
        <v>393</v>
      </c>
      <c r="B393" s="74">
        <v>46206</v>
      </c>
      <c r="C393" s="77" t="s">
        <v>1658</v>
      </c>
      <c r="D393" s="77" t="s">
        <v>1659</v>
      </c>
      <c r="E393" s="29">
        <v>9003254149</v>
      </c>
      <c r="F393" s="29" t="s">
        <v>1660</v>
      </c>
      <c r="G393" s="29"/>
      <c r="H393" s="111"/>
      <c r="I393" s="77" t="s">
        <v>1661</v>
      </c>
      <c r="J393" s="77" t="s">
        <v>1662</v>
      </c>
      <c r="K393" s="79"/>
      <c r="L393" s="79"/>
      <c r="M393" s="79"/>
      <c r="N393" s="27" t="s">
        <v>596</v>
      </c>
      <c r="O393" s="27"/>
      <c r="P393" s="73"/>
      <c r="Q393" s="72" t="s">
        <v>307</v>
      </c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72"/>
      <c r="AE393" s="72"/>
    </row>
    <row r="394" spans="1:31" ht="26.25" customHeight="1">
      <c r="A394" s="86">
        <v>394</v>
      </c>
      <c r="B394" s="87">
        <v>46206</v>
      </c>
      <c r="C394" s="88" t="s">
        <v>1663</v>
      </c>
      <c r="D394" s="88" t="s">
        <v>1664</v>
      </c>
      <c r="E394" s="86" t="s">
        <v>1665</v>
      </c>
      <c r="F394" s="86" t="s">
        <v>457</v>
      </c>
      <c r="G394" s="86" t="s">
        <v>1666</v>
      </c>
      <c r="H394" s="89"/>
      <c r="I394" s="88" t="s">
        <v>1152</v>
      </c>
      <c r="J394" s="88" t="s">
        <v>1667</v>
      </c>
      <c r="K394" s="89"/>
      <c r="L394" s="89" t="s">
        <v>1668</v>
      </c>
      <c r="M394" s="89"/>
      <c r="N394" s="86" t="s">
        <v>35</v>
      </c>
      <c r="O394" s="86"/>
      <c r="P394" s="90"/>
      <c r="Q394" s="89" t="s">
        <v>36</v>
      </c>
      <c r="R394" s="86"/>
      <c r="S394" s="86"/>
      <c r="T394" s="89" t="s">
        <v>1147</v>
      </c>
      <c r="U394" s="86" t="s">
        <v>38</v>
      </c>
      <c r="V394" s="86"/>
      <c r="W394" s="86"/>
      <c r="X394" s="86"/>
      <c r="Y394" s="86"/>
      <c r="Z394" s="86"/>
      <c r="AA394" s="86"/>
      <c r="AB394" s="86"/>
      <c r="AC394" s="86"/>
      <c r="AD394" s="89"/>
      <c r="AE394" s="89"/>
    </row>
    <row r="395" spans="1:31" ht="26.25" customHeight="1">
      <c r="A395" s="27">
        <v>395</v>
      </c>
      <c r="B395" s="74">
        <v>46206</v>
      </c>
      <c r="C395" s="83" t="s">
        <v>1669</v>
      </c>
      <c r="D395" s="83" t="s">
        <v>1670</v>
      </c>
      <c r="E395" s="84" t="s">
        <v>1671</v>
      </c>
      <c r="F395" s="27" t="s">
        <v>1672</v>
      </c>
      <c r="G395" s="27" t="s">
        <v>1673</v>
      </c>
      <c r="H395" s="85"/>
      <c r="I395" s="83" t="s">
        <v>1152</v>
      </c>
      <c r="J395" s="71" t="s">
        <v>1674</v>
      </c>
      <c r="K395" s="72"/>
      <c r="L395" s="72"/>
      <c r="M395" s="72"/>
      <c r="N395" s="27" t="s">
        <v>35</v>
      </c>
      <c r="O395" s="27"/>
      <c r="P395" s="73"/>
      <c r="Q395" s="72" t="s">
        <v>36</v>
      </c>
      <c r="R395" s="27"/>
      <c r="S395" s="27"/>
      <c r="T395" s="83" t="s">
        <v>1186</v>
      </c>
      <c r="U395" s="27"/>
      <c r="V395" s="27"/>
      <c r="W395" s="27"/>
      <c r="X395" s="27"/>
      <c r="Y395" s="27"/>
      <c r="Z395" s="27"/>
      <c r="AA395" s="27"/>
      <c r="AB395" s="27"/>
      <c r="AC395" s="27"/>
      <c r="AD395" s="72"/>
      <c r="AE395" s="72"/>
    </row>
    <row r="396" spans="1:31" ht="35.25" customHeight="1">
      <c r="A396" s="112">
        <v>396</v>
      </c>
      <c r="B396" s="113">
        <v>46206</v>
      </c>
      <c r="C396" s="114" t="s">
        <v>1675</v>
      </c>
      <c r="D396" s="114" t="s">
        <v>1676</v>
      </c>
      <c r="E396" s="115" t="s">
        <v>1677</v>
      </c>
      <c r="F396" s="112" t="s">
        <v>1678</v>
      </c>
      <c r="G396" s="112" t="s">
        <v>1191</v>
      </c>
      <c r="H396" s="116"/>
      <c r="I396" s="114" t="s">
        <v>1152</v>
      </c>
      <c r="J396" s="117" t="s">
        <v>1679</v>
      </c>
      <c r="K396" s="118"/>
      <c r="L396" s="118"/>
      <c r="M396" s="118"/>
      <c r="N396" s="112" t="s">
        <v>35</v>
      </c>
      <c r="O396" s="112"/>
      <c r="P396" s="119"/>
      <c r="Q396" s="118" t="s">
        <v>36</v>
      </c>
      <c r="R396" s="112"/>
      <c r="S396" s="112"/>
      <c r="T396" s="116" t="s">
        <v>1147</v>
      </c>
      <c r="U396" s="120" t="s">
        <v>378</v>
      </c>
      <c r="V396" s="112"/>
      <c r="W396" s="112"/>
      <c r="X396" s="112"/>
      <c r="Y396" s="112"/>
      <c r="Z396" s="112"/>
      <c r="AA396" s="112"/>
      <c r="AB396" s="112"/>
      <c r="AC396" s="112"/>
      <c r="AD396" s="118"/>
      <c r="AE396" s="118"/>
    </row>
    <row r="397" spans="1:31" ht="26.25" customHeight="1">
      <c r="A397" s="27">
        <v>397</v>
      </c>
      <c r="B397" s="74">
        <v>46206</v>
      </c>
      <c r="C397" s="83" t="s">
        <v>1680</v>
      </c>
      <c r="D397" s="83" t="s">
        <v>1681</v>
      </c>
      <c r="E397" s="84" t="s">
        <v>1682</v>
      </c>
      <c r="F397" s="27" t="s">
        <v>1683</v>
      </c>
      <c r="G397" s="27" t="s">
        <v>1684</v>
      </c>
      <c r="H397" s="85"/>
      <c r="I397" s="83" t="s">
        <v>1192</v>
      </c>
      <c r="J397" s="71" t="s">
        <v>1596</v>
      </c>
      <c r="K397" s="72"/>
      <c r="L397" s="72"/>
      <c r="M397" s="72"/>
      <c r="N397" s="27" t="s">
        <v>35</v>
      </c>
      <c r="O397" s="27"/>
      <c r="P397" s="73"/>
      <c r="Q397" s="72" t="s">
        <v>36</v>
      </c>
      <c r="R397" s="27"/>
      <c r="S397" s="27"/>
      <c r="T397" s="85" t="s">
        <v>1147</v>
      </c>
      <c r="U397" s="27"/>
      <c r="V397" s="27"/>
      <c r="W397" s="27"/>
      <c r="X397" s="27"/>
      <c r="Y397" s="27"/>
      <c r="Z397" s="27"/>
      <c r="AA397" s="27"/>
      <c r="AB397" s="27"/>
      <c r="AC397" s="27"/>
      <c r="AD397" s="72"/>
      <c r="AE397" s="72"/>
    </row>
    <row r="398" spans="1:31" ht="26.25" customHeight="1">
      <c r="A398" s="91">
        <v>398</v>
      </c>
      <c r="B398" s="92">
        <v>46207</v>
      </c>
      <c r="C398" s="93" t="s">
        <v>1685</v>
      </c>
      <c r="D398" s="93" t="s">
        <v>1686</v>
      </c>
      <c r="E398" s="94" t="s">
        <v>1687</v>
      </c>
      <c r="F398" s="91" t="s">
        <v>609</v>
      </c>
      <c r="G398" s="91" t="s">
        <v>1173</v>
      </c>
      <c r="H398" s="98"/>
      <c r="I398" s="93" t="s">
        <v>1152</v>
      </c>
      <c r="J398" s="95" t="s">
        <v>1688</v>
      </c>
      <c r="K398" s="96"/>
      <c r="L398" s="96"/>
      <c r="M398" s="96"/>
      <c r="N398" s="91" t="s">
        <v>35</v>
      </c>
      <c r="O398" s="91"/>
      <c r="P398" s="97"/>
      <c r="Q398" s="96" t="s">
        <v>36</v>
      </c>
      <c r="R398" s="91"/>
      <c r="S398" s="91"/>
      <c r="T398" s="98" t="s">
        <v>1186</v>
      </c>
      <c r="U398" s="91"/>
      <c r="V398" s="91"/>
      <c r="W398" s="91"/>
      <c r="X398" s="91"/>
      <c r="Y398" s="91"/>
      <c r="Z398" s="91"/>
      <c r="AA398" s="91"/>
      <c r="AB398" s="91"/>
      <c r="AC398" s="91"/>
      <c r="AD398" s="96"/>
      <c r="AE398" s="96"/>
    </row>
    <row r="399" spans="1:31" ht="62.25" customHeight="1">
      <c r="A399" s="112">
        <v>399</v>
      </c>
      <c r="B399" s="113">
        <v>46207</v>
      </c>
      <c r="C399" s="114" t="s">
        <v>1689</v>
      </c>
      <c r="D399" s="114" t="s">
        <v>1690</v>
      </c>
      <c r="E399" s="115" t="s">
        <v>1691</v>
      </c>
      <c r="F399" s="112" t="s">
        <v>1692</v>
      </c>
      <c r="G399" s="112" t="s">
        <v>1191</v>
      </c>
      <c r="H399" s="116"/>
      <c r="I399" s="114" t="s">
        <v>1159</v>
      </c>
      <c r="J399" s="117" t="s">
        <v>1693</v>
      </c>
      <c r="K399" s="118"/>
      <c r="L399" s="118"/>
      <c r="M399" s="118"/>
      <c r="N399" s="112" t="s">
        <v>35</v>
      </c>
      <c r="O399" s="112"/>
      <c r="P399" s="119"/>
      <c r="Q399" s="118" t="s">
        <v>36</v>
      </c>
      <c r="R399" s="112"/>
      <c r="S399" s="112"/>
      <c r="T399" s="116" t="s">
        <v>1186</v>
      </c>
      <c r="U399" s="120" t="s">
        <v>378</v>
      </c>
      <c r="V399" s="112"/>
      <c r="W399" s="112"/>
      <c r="X399" s="112"/>
      <c r="Y399" s="112"/>
      <c r="Z399" s="112"/>
      <c r="AA399" s="112"/>
      <c r="AB399" s="112"/>
      <c r="AC399" s="112"/>
      <c r="AD399" s="118"/>
      <c r="AE399" s="118" t="s">
        <v>1694</v>
      </c>
    </row>
    <row r="400" spans="1:31" ht="26.25" customHeight="1">
      <c r="A400" s="27">
        <v>400</v>
      </c>
      <c r="B400" s="74">
        <v>46207</v>
      </c>
      <c r="C400" s="83" t="s">
        <v>1695</v>
      </c>
      <c r="D400" s="83" t="s">
        <v>1696</v>
      </c>
      <c r="E400" s="84" t="s">
        <v>1697</v>
      </c>
      <c r="F400" s="27" t="s">
        <v>1696</v>
      </c>
      <c r="G400" s="27" t="s">
        <v>1698</v>
      </c>
      <c r="H400" s="85"/>
      <c r="I400" s="83" t="s">
        <v>1192</v>
      </c>
      <c r="J400" s="71"/>
      <c r="K400" s="72"/>
      <c r="L400" s="72"/>
      <c r="M400" s="72"/>
      <c r="N400" s="27" t="s">
        <v>70</v>
      </c>
      <c r="O400" s="27"/>
      <c r="P400" s="73"/>
      <c r="Q400" s="72" t="s">
        <v>36</v>
      </c>
      <c r="R400" s="27"/>
      <c r="S400" s="27"/>
      <c r="T400" s="83" t="s">
        <v>1162</v>
      </c>
      <c r="U400" s="27"/>
      <c r="V400" s="27"/>
      <c r="W400" s="27"/>
      <c r="X400" s="27"/>
      <c r="Y400" s="27"/>
      <c r="Z400" s="27"/>
      <c r="AA400" s="27"/>
      <c r="AB400" s="27"/>
      <c r="AC400" s="27"/>
      <c r="AD400" s="72"/>
      <c r="AE400" s="72"/>
    </row>
    <row r="401" spans="1:31" ht="26.25" customHeight="1">
      <c r="A401" s="27">
        <v>401</v>
      </c>
      <c r="B401" s="74">
        <v>46207</v>
      </c>
      <c r="C401" s="83" t="s">
        <v>1699</v>
      </c>
      <c r="D401" s="83" t="s">
        <v>1700</v>
      </c>
      <c r="E401" s="84" t="s">
        <v>1701</v>
      </c>
      <c r="F401" s="27" t="s">
        <v>1702</v>
      </c>
      <c r="G401" s="27" t="s">
        <v>1313</v>
      </c>
      <c r="H401" s="85"/>
      <c r="I401" s="83" t="s">
        <v>1152</v>
      </c>
      <c r="J401" s="71"/>
      <c r="K401" s="72"/>
      <c r="L401" s="72"/>
      <c r="M401" s="72"/>
      <c r="N401" s="27" t="s">
        <v>70</v>
      </c>
      <c r="O401" s="27"/>
      <c r="P401" s="73"/>
      <c r="Q401" s="72" t="s">
        <v>36</v>
      </c>
      <c r="R401" s="27"/>
      <c r="S401" s="27"/>
      <c r="T401" s="83" t="s">
        <v>1147</v>
      </c>
      <c r="U401" s="27"/>
      <c r="V401" s="27"/>
      <c r="W401" s="27"/>
      <c r="X401" s="27"/>
      <c r="Y401" s="27"/>
      <c r="Z401" s="27"/>
      <c r="AA401" s="27"/>
      <c r="AB401" s="27"/>
      <c r="AC401" s="27"/>
      <c r="AD401" s="72"/>
      <c r="AE401" s="72"/>
    </row>
    <row r="402" spans="1:31" ht="26.25" customHeight="1">
      <c r="A402" s="27">
        <v>402</v>
      </c>
      <c r="B402" s="74">
        <v>46207</v>
      </c>
      <c r="C402" s="83" t="s">
        <v>1703</v>
      </c>
      <c r="D402" s="83" t="s">
        <v>1125</v>
      </c>
      <c r="E402" s="84" t="s">
        <v>1704</v>
      </c>
      <c r="F402" s="27" t="s">
        <v>1705</v>
      </c>
      <c r="G402" s="27" t="s">
        <v>1173</v>
      </c>
      <c r="H402" s="85"/>
      <c r="I402" s="83" t="s">
        <v>1159</v>
      </c>
      <c r="J402" s="71"/>
      <c r="K402" s="72"/>
      <c r="L402" s="72"/>
      <c r="M402" s="72"/>
      <c r="N402" s="27" t="s">
        <v>44</v>
      </c>
      <c r="O402" s="27"/>
      <c r="P402" s="73"/>
      <c r="Q402" s="72" t="s">
        <v>36</v>
      </c>
      <c r="R402" s="27"/>
      <c r="S402" s="27"/>
      <c r="T402" s="85" t="s">
        <v>1186</v>
      </c>
      <c r="U402" s="27"/>
      <c r="V402" s="27"/>
      <c r="W402" s="27"/>
      <c r="X402" s="27"/>
      <c r="Y402" s="27"/>
      <c r="Z402" s="27"/>
      <c r="AA402" s="27"/>
      <c r="AB402" s="27"/>
      <c r="AC402" s="27"/>
      <c r="AD402" s="72"/>
      <c r="AE402" s="72"/>
    </row>
    <row r="403" spans="1:31" ht="26.25" customHeight="1">
      <c r="A403" s="27">
        <v>403</v>
      </c>
      <c r="B403" s="74">
        <v>46207</v>
      </c>
      <c r="C403" s="83" t="s">
        <v>1706</v>
      </c>
      <c r="D403" s="83" t="s">
        <v>1707</v>
      </c>
      <c r="E403" s="84" t="s">
        <v>1708</v>
      </c>
      <c r="F403" s="27" t="s">
        <v>164</v>
      </c>
      <c r="G403" s="27" t="s">
        <v>1191</v>
      </c>
      <c r="H403" s="85"/>
      <c r="I403" s="83" t="s">
        <v>1152</v>
      </c>
      <c r="J403" s="71" t="s">
        <v>1709</v>
      </c>
      <c r="K403" s="72"/>
      <c r="L403" s="72"/>
      <c r="M403" s="72"/>
      <c r="N403" s="27" t="s">
        <v>35</v>
      </c>
      <c r="O403" s="27"/>
      <c r="P403" s="73"/>
      <c r="Q403" s="72" t="s">
        <v>36</v>
      </c>
      <c r="R403" s="27"/>
      <c r="S403" s="27"/>
      <c r="T403" s="85" t="s">
        <v>1147</v>
      </c>
      <c r="U403" s="8" t="s">
        <v>378</v>
      </c>
      <c r="V403" s="27"/>
      <c r="W403" s="27"/>
      <c r="X403" s="27"/>
      <c r="Y403" s="27"/>
      <c r="Z403" s="27"/>
      <c r="AA403" s="27"/>
      <c r="AB403" s="27"/>
      <c r="AC403" s="27"/>
      <c r="AD403" s="72"/>
      <c r="AE403" s="72"/>
    </row>
    <row r="404" spans="1:31" ht="26.25" customHeight="1">
      <c r="A404" s="27">
        <v>404</v>
      </c>
      <c r="B404" s="74">
        <v>46207</v>
      </c>
      <c r="C404" s="83" t="s">
        <v>1710</v>
      </c>
      <c r="D404" s="83" t="s">
        <v>1711</v>
      </c>
      <c r="E404" s="84" t="s">
        <v>1712</v>
      </c>
      <c r="F404" s="27" t="s">
        <v>287</v>
      </c>
      <c r="G404" s="27"/>
      <c r="H404" s="85"/>
      <c r="I404" s="83" t="s">
        <v>1152</v>
      </c>
      <c r="J404" s="71"/>
      <c r="K404" s="72"/>
      <c r="L404" s="72"/>
      <c r="M404" s="72"/>
      <c r="N404" s="27" t="s">
        <v>70</v>
      </c>
      <c r="O404" s="27"/>
      <c r="P404" s="73"/>
      <c r="Q404" s="72" t="s">
        <v>36</v>
      </c>
      <c r="R404" s="27"/>
      <c r="S404" s="27"/>
      <c r="T404" s="83" t="s">
        <v>1186</v>
      </c>
      <c r="U404" s="27"/>
      <c r="V404" s="27"/>
      <c r="W404" s="27"/>
      <c r="X404" s="27"/>
      <c r="Y404" s="27"/>
      <c r="Z404" s="27"/>
      <c r="AA404" s="27"/>
      <c r="AB404" s="27"/>
      <c r="AC404" s="27"/>
      <c r="AD404" s="72"/>
      <c r="AE404" s="72"/>
    </row>
    <row r="405" spans="1:31" ht="26.25" customHeight="1">
      <c r="A405" s="27">
        <v>405</v>
      </c>
      <c r="B405" s="74">
        <v>46207</v>
      </c>
      <c r="C405" s="121" t="s">
        <v>1713</v>
      </c>
      <c r="D405" s="121" t="s">
        <v>1714</v>
      </c>
      <c r="E405" s="122" t="s">
        <v>1715</v>
      </c>
      <c r="F405" s="29" t="s">
        <v>1716</v>
      </c>
      <c r="G405" s="29">
        <v>200</v>
      </c>
      <c r="H405" s="111"/>
      <c r="I405" s="77" t="s">
        <v>694</v>
      </c>
      <c r="J405" s="77" t="s">
        <v>1717</v>
      </c>
      <c r="K405" s="79"/>
      <c r="L405" s="79"/>
      <c r="M405" s="79"/>
      <c r="N405" s="27" t="s">
        <v>35</v>
      </c>
      <c r="O405" s="27"/>
      <c r="P405" s="73"/>
      <c r="Q405" s="72" t="s">
        <v>36</v>
      </c>
      <c r="R405" s="27"/>
      <c r="S405" s="27"/>
      <c r="T405" s="27"/>
      <c r="U405" s="27" t="s">
        <v>378</v>
      </c>
      <c r="V405" s="27"/>
      <c r="W405" s="27"/>
      <c r="X405" s="27"/>
      <c r="Y405" s="27"/>
      <c r="Z405" s="27"/>
      <c r="AA405" s="27"/>
      <c r="AB405" s="27"/>
      <c r="AC405" s="27"/>
      <c r="AD405" s="72"/>
      <c r="AE405" s="72"/>
    </row>
    <row r="406" spans="1:31" ht="26.25" customHeight="1">
      <c r="A406" s="27">
        <v>406</v>
      </c>
      <c r="B406" s="74">
        <v>46207</v>
      </c>
      <c r="C406" s="71" t="s">
        <v>1718</v>
      </c>
      <c r="D406" s="71"/>
      <c r="E406" s="27">
        <v>9840083340</v>
      </c>
      <c r="F406" s="27" t="s">
        <v>48</v>
      </c>
      <c r="G406" s="27">
        <v>2</v>
      </c>
      <c r="H406" s="85"/>
      <c r="I406" s="71" t="s">
        <v>1265</v>
      </c>
      <c r="J406" s="71" t="s">
        <v>1719</v>
      </c>
      <c r="K406" s="72"/>
      <c r="L406" s="72"/>
      <c r="M406" s="72"/>
      <c r="N406" s="27" t="s">
        <v>35</v>
      </c>
      <c r="O406" s="27"/>
      <c r="P406" s="73"/>
      <c r="Q406" s="72" t="s">
        <v>71</v>
      </c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72"/>
      <c r="AE406" s="72"/>
    </row>
    <row r="407" spans="1:31" ht="26.25" customHeight="1">
      <c r="A407" s="27">
        <v>407</v>
      </c>
      <c r="B407" s="74">
        <v>46207</v>
      </c>
      <c r="C407" s="71" t="s">
        <v>1720</v>
      </c>
      <c r="D407" s="71"/>
      <c r="E407" s="27" t="s">
        <v>1721</v>
      </c>
      <c r="F407" s="27" t="s">
        <v>387</v>
      </c>
      <c r="G407" s="27"/>
      <c r="H407" s="71" t="s">
        <v>1722</v>
      </c>
      <c r="I407" s="71" t="s">
        <v>1723</v>
      </c>
      <c r="J407" s="71" t="s">
        <v>1724</v>
      </c>
      <c r="K407" s="72"/>
      <c r="L407" s="72"/>
      <c r="M407" s="72"/>
      <c r="N407" s="27" t="s">
        <v>35</v>
      </c>
      <c r="O407" s="27"/>
      <c r="P407" s="73"/>
      <c r="Q407" s="72" t="s">
        <v>307</v>
      </c>
      <c r="R407" s="27"/>
      <c r="S407" s="27"/>
      <c r="T407" s="71"/>
      <c r="U407" s="27"/>
      <c r="V407" s="27"/>
      <c r="W407" s="27"/>
      <c r="X407" s="27"/>
      <c r="Y407" s="27"/>
      <c r="Z407" s="27"/>
      <c r="AA407" s="27"/>
      <c r="AB407" s="27"/>
      <c r="AC407" s="27"/>
      <c r="AD407" s="72"/>
      <c r="AE407" s="72"/>
    </row>
    <row r="408" spans="1:31" ht="26.25" customHeight="1">
      <c r="A408" s="27">
        <v>408</v>
      </c>
      <c r="B408" s="74">
        <v>46207</v>
      </c>
      <c r="C408" s="71" t="s">
        <v>1725</v>
      </c>
      <c r="D408" s="71"/>
      <c r="E408" s="27">
        <v>9600044023</v>
      </c>
      <c r="F408" s="27" t="s">
        <v>48</v>
      </c>
      <c r="G408" s="27">
        <v>20</v>
      </c>
      <c r="H408" s="71"/>
      <c r="I408" s="71"/>
      <c r="J408" s="71" t="s">
        <v>1726</v>
      </c>
      <c r="K408" s="72"/>
      <c r="L408" s="72"/>
      <c r="M408" s="72"/>
      <c r="N408" s="27" t="s">
        <v>122</v>
      </c>
      <c r="O408" s="27"/>
      <c r="P408" s="73"/>
      <c r="Q408" s="72" t="s">
        <v>71</v>
      </c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72"/>
      <c r="AE408" s="72"/>
    </row>
    <row r="409" spans="1:31" ht="26.25" customHeight="1">
      <c r="A409" s="27">
        <v>409</v>
      </c>
      <c r="B409" s="74">
        <v>46207</v>
      </c>
      <c r="C409" s="83" t="s">
        <v>1727</v>
      </c>
      <c r="D409" s="83" t="s">
        <v>1728</v>
      </c>
      <c r="E409" s="84" t="s">
        <v>1729</v>
      </c>
      <c r="F409" s="27" t="s">
        <v>1730</v>
      </c>
      <c r="G409" s="27" t="s">
        <v>1173</v>
      </c>
      <c r="H409" s="71"/>
      <c r="I409" s="85" t="s">
        <v>1159</v>
      </c>
      <c r="J409" s="71" t="s">
        <v>1731</v>
      </c>
      <c r="K409" s="72"/>
      <c r="L409" s="72"/>
      <c r="M409" s="72"/>
      <c r="N409" s="27" t="s">
        <v>35</v>
      </c>
      <c r="O409" s="27"/>
      <c r="P409" s="73"/>
      <c r="Q409" s="72" t="s">
        <v>36</v>
      </c>
      <c r="R409" s="27"/>
      <c r="S409" s="27"/>
      <c r="T409" s="85" t="s">
        <v>1186</v>
      </c>
      <c r="U409" s="27" t="s">
        <v>378</v>
      </c>
      <c r="V409" s="27"/>
      <c r="W409" s="27"/>
      <c r="X409" s="27"/>
      <c r="Y409" s="27"/>
      <c r="Z409" s="27"/>
      <c r="AA409" s="27"/>
      <c r="AB409" s="27"/>
      <c r="AC409" s="27"/>
      <c r="AD409" s="72"/>
      <c r="AE409" s="72"/>
    </row>
    <row r="410" spans="1:31" ht="26.25" customHeight="1">
      <c r="A410" s="27">
        <v>410</v>
      </c>
      <c r="B410" s="74">
        <v>46208</v>
      </c>
      <c r="C410" s="83" t="s">
        <v>1732</v>
      </c>
      <c r="D410" s="83" t="s">
        <v>1733</v>
      </c>
      <c r="E410" s="84" t="s">
        <v>1734</v>
      </c>
      <c r="F410" s="27" t="s">
        <v>1338</v>
      </c>
      <c r="G410" s="27" t="s">
        <v>1735</v>
      </c>
      <c r="H410" s="71"/>
      <c r="I410" s="85" t="s">
        <v>1168</v>
      </c>
      <c r="J410" s="71" t="s">
        <v>1736</v>
      </c>
      <c r="K410" s="72"/>
      <c r="L410" s="72"/>
      <c r="M410" s="72"/>
      <c r="N410" s="27" t="s">
        <v>35</v>
      </c>
      <c r="O410" s="27"/>
      <c r="P410" s="73"/>
      <c r="Q410" s="72" t="s">
        <v>36</v>
      </c>
      <c r="R410" s="27"/>
      <c r="S410" s="27"/>
      <c r="T410" s="85" t="s">
        <v>1147</v>
      </c>
      <c r="U410" s="27" t="s">
        <v>378</v>
      </c>
      <c r="V410" s="27"/>
      <c r="W410" s="27"/>
      <c r="X410" s="27"/>
      <c r="Y410" s="27"/>
      <c r="Z410" s="27"/>
      <c r="AA410" s="27"/>
      <c r="AB410" s="27"/>
      <c r="AC410" s="27"/>
      <c r="AD410" s="72"/>
      <c r="AE410" s="72"/>
    </row>
    <row r="411" spans="1:31" ht="26.25" customHeight="1">
      <c r="A411" s="27">
        <v>411</v>
      </c>
      <c r="B411" s="74">
        <v>46208</v>
      </c>
      <c r="C411" s="83" t="s">
        <v>1737</v>
      </c>
      <c r="D411" s="83" t="s">
        <v>1738</v>
      </c>
      <c r="E411" s="84" t="s">
        <v>1739</v>
      </c>
      <c r="F411" s="27" t="s">
        <v>1740</v>
      </c>
      <c r="G411" s="27" t="s">
        <v>1173</v>
      </c>
      <c r="H411" s="71"/>
      <c r="I411" s="85" t="s">
        <v>1152</v>
      </c>
      <c r="J411" s="71" t="s">
        <v>1741</v>
      </c>
      <c r="K411" s="72"/>
      <c r="L411" s="72"/>
      <c r="M411" s="72"/>
      <c r="N411" s="27" t="s">
        <v>35</v>
      </c>
      <c r="O411" s="27"/>
      <c r="P411" s="73"/>
      <c r="Q411" s="72" t="s">
        <v>36</v>
      </c>
      <c r="R411" s="27"/>
      <c r="S411" s="27"/>
      <c r="T411" s="85" t="s">
        <v>1147</v>
      </c>
      <c r="U411" s="27"/>
      <c r="V411" s="27"/>
      <c r="W411" s="27"/>
      <c r="X411" s="27"/>
      <c r="Y411" s="27"/>
      <c r="Z411" s="27"/>
      <c r="AA411" s="27"/>
      <c r="AB411" s="27"/>
      <c r="AC411" s="27"/>
      <c r="AD411" s="72"/>
      <c r="AE411" s="72"/>
    </row>
    <row r="412" spans="1:31" ht="26.25" customHeight="1">
      <c r="A412" s="27">
        <v>412</v>
      </c>
      <c r="B412" s="74">
        <v>46208</v>
      </c>
      <c r="C412" s="83" t="s">
        <v>1742</v>
      </c>
      <c r="D412" s="83" t="s">
        <v>1743</v>
      </c>
      <c r="E412" s="84" t="s">
        <v>1744</v>
      </c>
      <c r="F412" s="27" t="s">
        <v>1745</v>
      </c>
      <c r="G412" s="27" t="s">
        <v>1191</v>
      </c>
      <c r="H412" s="71" t="s">
        <v>1746</v>
      </c>
      <c r="I412" s="85" t="s">
        <v>1168</v>
      </c>
      <c r="J412" s="71"/>
      <c r="K412" s="72"/>
      <c r="L412" s="72"/>
      <c r="M412" s="72"/>
      <c r="N412" s="27" t="s">
        <v>70</v>
      </c>
      <c r="O412" s="27"/>
      <c r="P412" s="73"/>
      <c r="Q412" s="72" t="s">
        <v>36</v>
      </c>
      <c r="R412" s="27"/>
      <c r="S412" s="27"/>
      <c r="T412" s="83" t="s">
        <v>1186</v>
      </c>
      <c r="U412" s="27"/>
      <c r="V412" s="27"/>
      <c r="W412" s="27"/>
      <c r="X412" s="27"/>
      <c r="Y412" s="27"/>
      <c r="Z412" s="27"/>
      <c r="AA412" s="27"/>
      <c r="AB412" s="27"/>
      <c r="AC412" s="27"/>
      <c r="AD412" s="72"/>
      <c r="AE412" s="72"/>
    </row>
    <row r="413" spans="1:31" ht="26.25" customHeight="1">
      <c r="A413" s="27">
        <v>413</v>
      </c>
      <c r="B413" s="74">
        <v>46208</v>
      </c>
      <c r="C413" s="83" t="s">
        <v>1747</v>
      </c>
      <c r="D413" s="83" t="s">
        <v>1748</v>
      </c>
      <c r="E413" s="84" t="s">
        <v>1749</v>
      </c>
      <c r="F413" s="27" t="s">
        <v>48</v>
      </c>
      <c r="G413" s="27" t="s">
        <v>1173</v>
      </c>
      <c r="H413" s="71"/>
      <c r="I413" s="85" t="s">
        <v>1152</v>
      </c>
      <c r="J413" s="71" t="s">
        <v>1750</v>
      </c>
      <c r="K413" s="72"/>
      <c r="L413" s="72"/>
      <c r="M413" s="72"/>
      <c r="N413" s="27" t="s">
        <v>122</v>
      </c>
      <c r="O413" s="27"/>
      <c r="P413" s="73"/>
      <c r="Q413" s="72" t="s">
        <v>36</v>
      </c>
      <c r="R413" s="27"/>
      <c r="S413" s="27"/>
      <c r="T413" s="85" t="s">
        <v>1162</v>
      </c>
      <c r="U413" s="27"/>
      <c r="V413" s="27"/>
      <c r="W413" s="27"/>
      <c r="X413" s="27"/>
      <c r="Y413" s="27"/>
      <c r="Z413" s="27"/>
      <c r="AA413" s="27"/>
      <c r="AB413" s="27"/>
      <c r="AC413" s="27"/>
      <c r="AD413" s="72"/>
      <c r="AE413" s="72"/>
    </row>
    <row r="414" spans="1:31" ht="26.25" customHeight="1">
      <c r="A414" s="27">
        <v>414</v>
      </c>
      <c r="B414" s="74">
        <v>46208</v>
      </c>
      <c r="C414" s="83" t="s">
        <v>1751</v>
      </c>
      <c r="D414" s="83" t="s">
        <v>1359</v>
      </c>
      <c r="E414" s="84" t="s">
        <v>1752</v>
      </c>
      <c r="F414" s="27" t="s">
        <v>1753</v>
      </c>
      <c r="G414" s="27" t="s">
        <v>1173</v>
      </c>
      <c r="H414" s="71"/>
      <c r="I414" s="85" t="s">
        <v>1152</v>
      </c>
      <c r="J414" s="71" t="s">
        <v>1596</v>
      </c>
      <c r="K414" s="72"/>
      <c r="L414" s="72"/>
      <c r="M414" s="72"/>
      <c r="N414" s="27" t="s">
        <v>35</v>
      </c>
      <c r="O414" s="27"/>
      <c r="P414" s="73"/>
      <c r="Q414" s="72" t="s">
        <v>36</v>
      </c>
      <c r="R414" s="27"/>
      <c r="S414" s="27"/>
      <c r="T414" s="85" t="s">
        <v>1186</v>
      </c>
      <c r="U414" s="27"/>
      <c r="V414" s="27"/>
      <c r="W414" s="27"/>
      <c r="X414" s="27"/>
      <c r="Y414" s="27"/>
      <c r="Z414" s="27"/>
      <c r="AA414" s="27"/>
      <c r="AB414" s="27"/>
      <c r="AC414" s="27"/>
      <c r="AD414" s="72"/>
      <c r="AE414" s="72"/>
    </row>
    <row r="415" spans="1:31" ht="43.5" customHeight="1">
      <c r="A415" s="86">
        <v>415</v>
      </c>
      <c r="B415" s="87">
        <v>46209</v>
      </c>
      <c r="C415" s="88" t="s">
        <v>1754</v>
      </c>
      <c r="D415" s="88" t="s">
        <v>1755</v>
      </c>
      <c r="E415" s="86" t="s">
        <v>1756</v>
      </c>
      <c r="F415" s="86" t="s">
        <v>1757</v>
      </c>
      <c r="G415" s="86" t="s">
        <v>1758</v>
      </c>
      <c r="H415" s="88"/>
      <c r="I415" s="89" t="s">
        <v>1159</v>
      </c>
      <c r="J415" s="88" t="s">
        <v>1759</v>
      </c>
      <c r="K415" s="89"/>
      <c r="L415" s="89"/>
      <c r="M415" s="89"/>
      <c r="N415" s="86" t="s">
        <v>35</v>
      </c>
      <c r="O415" s="86"/>
      <c r="P415" s="90"/>
      <c r="Q415" s="89" t="s">
        <v>36</v>
      </c>
      <c r="R415" s="86"/>
      <c r="S415" s="86"/>
      <c r="T415" s="89" t="s">
        <v>1162</v>
      </c>
      <c r="U415" s="86"/>
      <c r="V415" s="86"/>
      <c r="W415" s="86"/>
      <c r="X415" s="86"/>
      <c r="Y415" s="86"/>
      <c r="Z415" s="86"/>
      <c r="AA415" s="86"/>
      <c r="AB415" s="86"/>
      <c r="AC415" s="86"/>
      <c r="AD415" s="89"/>
      <c r="AE415" s="89"/>
    </row>
    <row r="416" spans="1:31" ht="48.75" customHeight="1">
      <c r="A416" s="91">
        <v>416</v>
      </c>
      <c r="B416" s="92">
        <v>46209</v>
      </c>
      <c r="C416" s="93" t="s">
        <v>1760</v>
      </c>
      <c r="D416" s="93" t="s">
        <v>1761</v>
      </c>
      <c r="E416" s="94" t="s">
        <v>1762</v>
      </c>
      <c r="F416" s="91" t="s">
        <v>60</v>
      </c>
      <c r="G416" s="91" t="s">
        <v>1173</v>
      </c>
      <c r="H416" s="95"/>
      <c r="I416" s="98" t="s">
        <v>1168</v>
      </c>
      <c r="J416" s="95" t="s">
        <v>1763</v>
      </c>
      <c r="K416" s="96"/>
      <c r="L416" s="96"/>
      <c r="M416" s="96"/>
      <c r="N416" s="91" t="s">
        <v>596</v>
      </c>
      <c r="O416" s="91"/>
      <c r="P416" s="97"/>
      <c r="Q416" s="96" t="s">
        <v>36</v>
      </c>
      <c r="R416" s="91"/>
      <c r="S416" s="91"/>
      <c r="T416" s="98" t="s">
        <v>1175</v>
      </c>
      <c r="U416" s="91"/>
      <c r="V416" s="91"/>
      <c r="W416" s="91"/>
      <c r="X416" s="91"/>
      <c r="Y416" s="91"/>
      <c r="Z416" s="91"/>
      <c r="AA416" s="91"/>
      <c r="AB416" s="91"/>
      <c r="AC416" s="91"/>
      <c r="AD416" s="96"/>
      <c r="AE416" s="96"/>
    </row>
    <row r="417" spans="1:31" ht="26.25" customHeight="1">
      <c r="A417" s="27">
        <v>417</v>
      </c>
      <c r="B417" s="74">
        <v>46209</v>
      </c>
      <c r="C417" s="83" t="s">
        <v>1764</v>
      </c>
      <c r="D417" s="83" t="s">
        <v>1765</v>
      </c>
      <c r="E417" s="84" t="s">
        <v>1766</v>
      </c>
      <c r="F417" s="27" t="s">
        <v>1767</v>
      </c>
      <c r="G417" s="27" t="s">
        <v>1191</v>
      </c>
      <c r="H417" s="71"/>
      <c r="I417" s="85" t="s">
        <v>1152</v>
      </c>
      <c r="J417" s="71" t="s">
        <v>1596</v>
      </c>
      <c r="K417" s="72"/>
      <c r="L417" s="72"/>
      <c r="M417" s="72"/>
      <c r="N417" s="27" t="s">
        <v>35</v>
      </c>
      <c r="O417" s="27"/>
      <c r="P417" s="73"/>
      <c r="Q417" s="72" t="s">
        <v>36</v>
      </c>
      <c r="R417" s="27"/>
      <c r="S417" s="27"/>
      <c r="T417" s="85" t="s">
        <v>1147</v>
      </c>
      <c r="U417" s="27"/>
      <c r="V417" s="27"/>
      <c r="W417" s="27"/>
      <c r="X417" s="27"/>
      <c r="Y417" s="27"/>
      <c r="Z417" s="27"/>
      <c r="AA417" s="27"/>
      <c r="AB417" s="27"/>
      <c r="AC417" s="27"/>
      <c r="AD417" s="72"/>
      <c r="AE417" s="72"/>
    </row>
    <row r="418" spans="1:31" ht="26.25" customHeight="1">
      <c r="A418" s="27">
        <v>418</v>
      </c>
      <c r="B418" s="74">
        <v>46209</v>
      </c>
      <c r="C418" s="83" t="s">
        <v>1768</v>
      </c>
      <c r="D418" s="83" t="s">
        <v>1769</v>
      </c>
      <c r="E418" s="84" t="s">
        <v>1770</v>
      </c>
      <c r="F418" s="27" t="s">
        <v>142</v>
      </c>
      <c r="G418" s="27" t="s">
        <v>1771</v>
      </c>
      <c r="H418" s="71"/>
      <c r="I418" s="85" t="s">
        <v>1168</v>
      </c>
      <c r="J418" s="71" t="s">
        <v>1772</v>
      </c>
      <c r="K418" s="72"/>
      <c r="L418" s="72"/>
      <c r="M418" s="72"/>
      <c r="N418" s="27" t="s">
        <v>35</v>
      </c>
      <c r="O418" s="27"/>
      <c r="P418" s="73"/>
      <c r="Q418" s="72" t="s">
        <v>36</v>
      </c>
      <c r="R418" s="27"/>
      <c r="S418" s="27"/>
      <c r="T418" s="85" t="s">
        <v>1162</v>
      </c>
      <c r="U418" s="27" t="s">
        <v>38</v>
      </c>
      <c r="V418" s="27"/>
      <c r="W418" s="27"/>
      <c r="X418" s="27"/>
      <c r="Y418" s="27"/>
      <c r="Z418" s="27"/>
      <c r="AA418" s="27"/>
      <c r="AB418" s="27"/>
      <c r="AC418" s="27"/>
      <c r="AD418" s="72"/>
      <c r="AE418" s="72"/>
    </row>
    <row r="419" spans="1:31" ht="26.25" customHeight="1">
      <c r="A419" s="27">
        <v>419</v>
      </c>
      <c r="B419" s="74">
        <v>46209</v>
      </c>
      <c r="C419" s="83" t="s">
        <v>1773</v>
      </c>
      <c r="D419" s="83" t="s">
        <v>1774</v>
      </c>
      <c r="E419" s="84" t="s">
        <v>1775</v>
      </c>
      <c r="F419" s="27" t="s">
        <v>110</v>
      </c>
      <c r="G419" s="27" t="s">
        <v>1776</v>
      </c>
      <c r="H419" s="71"/>
      <c r="I419" s="85" t="s">
        <v>1152</v>
      </c>
      <c r="J419" s="71" t="s">
        <v>1596</v>
      </c>
      <c r="K419" s="72"/>
      <c r="L419" s="72"/>
      <c r="M419" s="72"/>
      <c r="N419" s="27" t="s">
        <v>35</v>
      </c>
      <c r="O419" s="27"/>
      <c r="P419" s="73"/>
      <c r="Q419" s="72" t="s">
        <v>36</v>
      </c>
      <c r="R419" s="27"/>
      <c r="S419" s="27"/>
      <c r="T419" s="85" t="s">
        <v>1147</v>
      </c>
      <c r="U419" s="27"/>
      <c r="V419" s="27"/>
      <c r="W419" s="27"/>
      <c r="X419" s="27"/>
      <c r="Y419" s="27"/>
      <c r="Z419" s="27"/>
      <c r="AA419" s="27"/>
      <c r="AB419" s="27"/>
      <c r="AC419" s="27"/>
      <c r="AD419" s="72"/>
      <c r="AE419" s="72"/>
    </row>
    <row r="420" spans="1:31" ht="26.25" customHeight="1">
      <c r="A420" s="27">
        <v>420</v>
      </c>
      <c r="B420" s="74">
        <v>46209</v>
      </c>
      <c r="C420" s="83" t="s">
        <v>1777</v>
      </c>
      <c r="D420" s="83" t="s">
        <v>1778</v>
      </c>
      <c r="E420" s="84" t="s">
        <v>1779</v>
      </c>
      <c r="F420" s="27" t="s">
        <v>1780</v>
      </c>
      <c r="G420" s="27" t="s">
        <v>1151</v>
      </c>
      <c r="H420" s="71"/>
      <c r="I420" s="85" t="s">
        <v>1152</v>
      </c>
      <c r="J420" s="71" t="s">
        <v>1781</v>
      </c>
      <c r="K420" s="72"/>
      <c r="L420" s="72"/>
      <c r="M420" s="72"/>
      <c r="N420" s="27" t="s">
        <v>44</v>
      </c>
      <c r="O420" s="27"/>
      <c r="P420" s="73"/>
      <c r="Q420" s="72" t="s">
        <v>36</v>
      </c>
      <c r="R420" s="27"/>
      <c r="S420" s="27"/>
      <c r="T420" s="85" t="s">
        <v>1186</v>
      </c>
      <c r="U420" s="27"/>
      <c r="V420" s="27"/>
      <c r="W420" s="27"/>
      <c r="X420" s="27"/>
      <c r="Y420" s="27"/>
      <c r="Z420" s="27"/>
      <c r="AA420" s="27"/>
      <c r="AB420" s="27"/>
      <c r="AC420" s="27"/>
      <c r="AD420" s="72"/>
      <c r="AE420" s="72"/>
    </row>
    <row r="421" spans="1:31" ht="45.75" customHeight="1">
      <c r="A421" s="27">
        <v>421</v>
      </c>
      <c r="B421" s="74">
        <v>46209</v>
      </c>
      <c r="C421" s="83" t="s">
        <v>1782</v>
      </c>
      <c r="D421" s="83" t="s">
        <v>1783</v>
      </c>
      <c r="E421" s="84" t="s">
        <v>1784</v>
      </c>
      <c r="F421" s="27" t="s">
        <v>1785</v>
      </c>
      <c r="G421" s="27" t="s">
        <v>1786</v>
      </c>
      <c r="H421" s="104" t="s">
        <v>1787</v>
      </c>
      <c r="I421" s="85" t="s">
        <v>1192</v>
      </c>
      <c r="J421" s="71" t="s">
        <v>1788</v>
      </c>
      <c r="K421" s="72"/>
      <c r="L421" s="72"/>
      <c r="M421" s="72"/>
      <c r="N421" s="27" t="s">
        <v>596</v>
      </c>
      <c r="O421" s="27"/>
      <c r="P421" s="73"/>
      <c r="Q421" s="72" t="s">
        <v>36</v>
      </c>
      <c r="R421" s="27"/>
      <c r="S421" s="27"/>
      <c r="T421" s="85" t="s">
        <v>1186</v>
      </c>
      <c r="U421" s="27"/>
      <c r="V421" s="27"/>
      <c r="W421" s="27"/>
      <c r="X421" s="27"/>
      <c r="Y421" s="27"/>
      <c r="Z421" s="27"/>
      <c r="AA421" s="27"/>
      <c r="AB421" s="27"/>
      <c r="AC421" s="27"/>
      <c r="AD421" s="72"/>
      <c r="AE421" s="72"/>
    </row>
    <row r="422" spans="1:31" ht="47.25" customHeight="1">
      <c r="A422" s="27">
        <v>422</v>
      </c>
      <c r="B422" s="74">
        <v>46209</v>
      </c>
      <c r="C422" s="71" t="s">
        <v>1789</v>
      </c>
      <c r="D422" s="71" t="s">
        <v>1790</v>
      </c>
      <c r="E422" s="27" t="s">
        <v>1791</v>
      </c>
      <c r="F422" s="27" t="s">
        <v>1792</v>
      </c>
      <c r="G422" s="27" t="s">
        <v>1151</v>
      </c>
      <c r="H422" s="71"/>
      <c r="I422" s="72" t="s">
        <v>1192</v>
      </c>
      <c r="J422" s="71" t="s">
        <v>1793</v>
      </c>
      <c r="K422" s="72"/>
      <c r="L422" s="72"/>
      <c r="M422" s="72"/>
      <c r="N422" s="27" t="s">
        <v>106</v>
      </c>
      <c r="O422" s="27"/>
      <c r="P422" s="73"/>
      <c r="Q422" s="72" t="s">
        <v>36</v>
      </c>
      <c r="R422" s="27"/>
      <c r="S422" s="27"/>
      <c r="T422" s="72" t="s">
        <v>1147</v>
      </c>
      <c r="U422" s="27"/>
      <c r="V422" s="27"/>
      <c r="W422" s="27"/>
      <c r="X422" s="27"/>
      <c r="Y422" s="27"/>
      <c r="Z422" s="27"/>
      <c r="AA422" s="27"/>
      <c r="AB422" s="27"/>
      <c r="AC422" s="27"/>
      <c r="AD422" s="72"/>
      <c r="AE422" s="72"/>
    </row>
    <row r="423" spans="1:31" ht="26.25" customHeight="1">
      <c r="A423" s="27">
        <v>423</v>
      </c>
      <c r="B423" s="74">
        <v>46209</v>
      </c>
      <c r="C423" s="83" t="s">
        <v>1794</v>
      </c>
      <c r="D423" s="83" t="s">
        <v>697</v>
      </c>
      <c r="E423" s="84" t="s">
        <v>1795</v>
      </c>
      <c r="F423" s="27" t="s">
        <v>1796</v>
      </c>
      <c r="G423" s="27" t="s">
        <v>1797</v>
      </c>
      <c r="H423" s="71"/>
      <c r="I423" s="85" t="s">
        <v>1168</v>
      </c>
      <c r="J423" s="71" t="s">
        <v>1137</v>
      </c>
      <c r="K423" s="72"/>
      <c r="L423" s="72"/>
      <c r="M423" s="72"/>
      <c r="N423" s="27" t="s">
        <v>44</v>
      </c>
      <c r="O423" s="27"/>
      <c r="P423" s="73"/>
      <c r="Q423" s="72" t="s">
        <v>36</v>
      </c>
      <c r="R423" s="27"/>
      <c r="S423" s="27"/>
      <c r="T423" s="85" t="s">
        <v>1186</v>
      </c>
      <c r="U423" s="27"/>
      <c r="V423" s="27"/>
      <c r="W423" s="27"/>
      <c r="X423" s="27"/>
      <c r="Y423" s="27"/>
      <c r="Z423" s="27"/>
      <c r="AA423" s="27"/>
      <c r="AB423" s="27"/>
      <c r="AC423" s="27"/>
      <c r="AD423" s="72"/>
      <c r="AE423" s="72"/>
    </row>
    <row r="424" spans="1:31" ht="26.25" customHeight="1">
      <c r="A424" s="27">
        <v>424</v>
      </c>
      <c r="B424" s="74">
        <v>46209</v>
      </c>
      <c r="C424" s="83" t="s">
        <v>1798</v>
      </c>
      <c r="D424" s="83" t="s">
        <v>1799</v>
      </c>
      <c r="E424" s="84" t="s">
        <v>1800</v>
      </c>
      <c r="F424" s="27" t="s">
        <v>110</v>
      </c>
      <c r="G424" s="27" t="s">
        <v>1801</v>
      </c>
      <c r="H424" s="71"/>
      <c r="I424" s="85" t="s">
        <v>1152</v>
      </c>
      <c r="J424" s="71" t="s">
        <v>1802</v>
      </c>
      <c r="K424" s="72"/>
      <c r="L424" s="72"/>
      <c r="M424" s="72"/>
      <c r="N424" s="27" t="s">
        <v>35</v>
      </c>
      <c r="O424" s="27"/>
      <c r="P424" s="73"/>
      <c r="Q424" s="72" t="s">
        <v>36</v>
      </c>
      <c r="R424" s="27"/>
      <c r="S424" s="27"/>
      <c r="T424" s="85" t="s">
        <v>1186</v>
      </c>
      <c r="U424" s="27"/>
      <c r="V424" s="27"/>
      <c r="W424" s="27"/>
      <c r="X424" s="27"/>
      <c r="Y424" s="27"/>
      <c r="Z424" s="27"/>
      <c r="AA424" s="27"/>
      <c r="AB424" s="27"/>
      <c r="AC424" s="27"/>
      <c r="AD424" s="72"/>
      <c r="AE424" s="72"/>
    </row>
    <row r="425" spans="1:31" ht="26.25" customHeight="1">
      <c r="A425" s="27">
        <v>425</v>
      </c>
      <c r="B425" s="74">
        <v>46209</v>
      </c>
      <c r="C425" s="83" t="s">
        <v>1803</v>
      </c>
      <c r="D425" s="83" t="s">
        <v>1804</v>
      </c>
      <c r="E425" s="84">
        <v>7298862047</v>
      </c>
      <c r="F425" s="27" t="s">
        <v>1805</v>
      </c>
      <c r="G425" s="27" t="s">
        <v>1173</v>
      </c>
      <c r="H425" s="71"/>
      <c r="I425" s="85" t="s">
        <v>1168</v>
      </c>
      <c r="J425" s="71" t="s">
        <v>1806</v>
      </c>
      <c r="K425" s="72"/>
      <c r="L425" s="72"/>
      <c r="M425" s="72"/>
      <c r="N425" s="27" t="s">
        <v>44</v>
      </c>
      <c r="O425" s="27"/>
      <c r="P425" s="73"/>
      <c r="Q425" s="72" t="s">
        <v>36</v>
      </c>
      <c r="R425" s="27"/>
      <c r="S425" s="27"/>
      <c r="T425" s="85" t="s">
        <v>1186</v>
      </c>
      <c r="U425" s="27"/>
      <c r="V425" s="27"/>
      <c r="W425" s="27"/>
      <c r="X425" s="27"/>
      <c r="Y425" s="27"/>
      <c r="Z425" s="27"/>
      <c r="AA425" s="27"/>
      <c r="AB425" s="27"/>
      <c r="AC425" s="27"/>
      <c r="AD425" s="72"/>
      <c r="AE425" s="72"/>
    </row>
    <row r="426" spans="1:31" ht="26.25" customHeight="1">
      <c r="A426" s="27">
        <v>426</v>
      </c>
      <c r="B426" s="74">
        <v>46209</v>
      </c>
      <c r="C426" s="71" t="s">
        <v>1725</v>
      </c>
      <c r="D426" s="71" t="s">
        <v>1807</v>
      </c>
      <c r="E426" s="27">
        <v>9841970478</v>
      </c>
      <c r="F426" s="27" t="s">
        <v>325</v>
      </c>
      <c r="G426" s="27">
        <v>2</v>
      </c>
      <c r="H426" s="71"/>
      <c r="I426" s="71"/>
      <c r="J426" s="71" t="s">
        <v>1022</v>
      </c>
      <c r="K426" s="72"/>
      <c r="L426" s="72"/>
      <c r="M426" s="72"/>
      <c r="N426" s="27" t="s">
        <v>122</v>
      </c>
      <c r="O426" s="27"/>
      <c r="P426" s="73"/>
      <c r="Q426" s="72" t="s">
        <v>71</v>
      </c>
      <c r="R426" s="27"/>
      <c r="S426" s="27"/>
      <c r="T426" s="85" t="s">
        <v>1162</v>
      </c>
      <c r="U426" s="27" t="s">
        <v>249</v>
      </c>
      <c r="V426" s="27"/>
      <c r="W426" s="27" t="s">
        <v>63</v>
      </c>
      <c r="X426" s="27"/>
      <c r="Y426" s="27"/>
      <c r="Z426" s="27"/>
      <c r="AA426" s="27"/>
      <c r="AB426" s="27"/>
      <c r="AC426" s="27"/>
      <c r="AD426" s="72"/>
      <c r="AE426" s="72"/>
    </row>
    <row r="427" spans="1:31" ht="26.25" customHeight="1">
      <c r="A427" s="27">
        <v>427</v>
      </c>
      <c r="B427" s="74">
        <v>46209</v>
      </c>
      <c r="C427" s="71" t="s">
        <v>1808</v>
      </c>
      <c r="D427" s="71"/>
      <c r="E427" s="27">
        <v>9962024113</v>
      </c>
      <c r="F427" s="27" t="s">
        <v>1809</v>
      </c>
      <c r="G427" s="27">
        <v>10</v>
      </c>
      <c r="H427" s="71"/>
      <c r="I427" s="71"/>
      <c r="J427" s="71" t="s">
        <v>1810</v>
      </c>
      <c r="K427" s="72"/>
      <c r="L427" s="72"/>
      <c r="M427" s="72"/>
      <c r="N427" s="27" t="s">
        <v>122</v>
      </c>
      <c r="O427" s="27"/>
      <c r="P427" s="73"/>
      <c r="Q427" s="72" t="s">
        <v>71</v>
      </c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72"/>
      <c r="AE427" s="72"/>
    </row>
    <row r="428" spans="1:31" ht="42" customHeight="1">
      <c r="A428" s="27">
        <v>428</v>
      </c>
      <c r="B428" s="74">
        <v>46209</v>
      </c>
      <c r="C428" s="71" t="s">
        <v>1811</v>
      </c>
      <c r="D428" s="71" t="s">
        <v>1812</v>
      </c>
      <c r="E428" s="27">
        <v>7700035468</v>
      </c>
      <c r="F428" s="27" t="s">
        <v>101</v>
      </c>
      <c r="G428" s="27"/>
      <c r="H428" s="71"/>
      <c r="I428" s="71"/>
      <c r="J428" s="71">
        <v>64</v>
      </c>
      <c r="K428" s="72"/>
      <c r="L428" s="72"/>
      <c r="M428" s="72"/>
      <c r="N428" s="27" t="s">
        <v>44</v>
      </c>
      <c r="O428" s="27"/>
      <c r="P428" s="73"/>
      <c r="Q428" s="72" t="s">
        <v>71</v>
      </c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72"/>
      <c r="AE428" s="72"/>
    </row>
    <row r="429" spans="1:31" ht="39.75" customHeight="1">
      <c r="A429" s="27">
        <v>429</v>
      </c>
      <c r="B429" s="74">
        <v>46209</v>
      </c>
      <c r="C429" s="77" t="s">
        <v>1813</v>
      </c>
      <c r="D429" s="77" t="s">
        <v>1814</v>
      </c>
      <c r="E429" s="29">
        <v>8870250625</v>
      </c>
      <c r="F429" s="29" t="s">
        <v>1815</v>
      </c>
      <c r="G429" s="29">
        <v>5</v>
      </c>
      <c r="H429" s="77"/>
      <c r="I429" s="77" t="s">
        <v>1816</v>
      </c>
      <c r="J429" s="77" t="s">
        <v>1817</v>
      </c>
      <c r="K429" s="79"/>
      <c r="L429" s="79"/>
      <c r="M429" s="79"/>
      <c r="N429" s="29" t="s">
        <v>329</v>
      </c>
      <c r="O429" s="29"/>
      <c r="P429" s="80"/>
      <c r="Q429" s="79" t="s">
        <v>307</v>
      </c>
      <c r="R429" s="27"/>
      <c r="S429" s="27"/>
      <c r="T429" s="27" t="s">
        <v>1818</v>
      </c>
      <c r="U429" s="27"/>
      <c r="V429" s="27"/>
      <c r="W429" s="27"/>
      <c r="X429" s="27"/>
      <c r="Y429" s="27"/>
      <c r="Z429" s="27"/>
      <c r="AA429" s="27"/>
      <c r="AB429" s="27"/>
      <c r="AC429" s="27"/>
      <c r="AD429" s="72"/>
      <c r="AE429" s="72"/>
    </row>
    <row r="430" spans="1:31" ht="26.25" customHeight="1">
      <c r="A430" s="27">
        <v>430</v>
      </c>
      <c r="B430" s="74">
        <v>46209</v>
      </c>
      <c r="C430" s="71" t="s">
        <v>1819</v>
      </c>
      <c r="D430" s="71"/>
      <c r="E430" s="27">
        <v>9600822035</v>
      </c>
      <c r="F430" s="27" t="s">
        <v>1590</v>
      </c>
      <c r="G430" s="27" t="s">
        <v>1820</v>
      </c>
      <c r="H430" s="71"/>
      <c r="I430" s="72" t="s">
        <v>1175</v>
      </c>
      <c r="J430" s="71" t="s">
        <v>1821</v>
      </c>
      <c r="K430" s="85"/>
      <c r="L430" s="85"/>
      <c r="M430" s="85"/>
      <c r="N430" s="27" t="s">
        <v>35</v>
      </c>
      <c r="O430" s="27"/>
      <c r="P430" s="73"/>
      <c r="Q430" s="72" t="s">
        <v>36</v>
      </c>
      <c r="R430" s="27"/>
      <c r="S430" s="27"/>
      <c r="T430" s="27" t="s">
        <v>1822</v>
      </c>
      <c r="U430" s="27"/>
      <c r="V430" s="27"/>
      <c r="W430" s="27"/>
      <c r="X430" s="27"/>
      <c r="Y430" s="27"/>
      <c r="Z430" s="27"/>
      <c r="AA430" s="27"/>
      <c r="AB430" s="27"/>
      <c r="AC430" s="27"/>
      <c r="AD430" s="72"/>
      <c r="AE430" s="72"/>
    </row>
    <row r="431" spans="1:31" ht="26.25" customHeight="1">
      <c r="A431" s="27">
        <v>431</v>
      </c>
      <c r="B431" s="74">
        <v>46209</v>
      </c>
      <c r="C431" s="71" t="s">
        <v>1823</v>
      </c>
      <c r="D431" s="71"/>
      <c r="E431" s="27">
        <v>9840083340</v>
      </c>
      <c r="F431" s="27" t="s">
        <v>325</v>
      </c>
      <c r="G431" s="27">
        <v>2</v>
      </c>
      <c r="H431" s="71"/>
      <c r="I431" s="71"/>
      <c r="J431" s="71" t="s">
        <v>1824</v>
      </c>
      <c r="K431" s="72"/>
      <c r="L431" s="72"/>
      <c r="M431" s="72"/>
      <c r="N431" s="27" t="s">
        <v>44</v>
      </c>
      <c r="O431" s="27"/>
      <c r="P431" s="73"/>
      <c r="Q431" s="72" t="s">
        <v>1111</v>
      </c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72"/>
      <c r="AE431" s="72"/>
    </row>
    <row r="432" spans="1:31" ht="26.25" customHeight="1">
      <c r="A432" s="27">
        <v>432</v>
      </c>
      <c r="B432" s="74">
        <v>46209</v>
      </c>
      <c r="C432" s="71" t="s">
        <v>1825</v>
      </c>
      <c r="D432" s="71"/>
      <c r="E432" s="27">
        <v>9952492535</v>
      </c>
      <c r="F432" s="27" t="s">
        <v>142</v>
      </c>
      <c r="G432" s="27">
        <v>8</v>
      </c>
      <c r="H432" s="71" t="s">
        <v>1826</v>
      </c>
      <c r="I432" s="71" t="s">
        <v>1827</v>
      </c>
      <c r="J432" s="71" t="s">
        <v>1828</v>
      </c>
      <c r="K432" s="72"/>
      <c r="L432" s="72"/>
      <c r="M432" s="72"/>
      <c r="N432" s="27" t="s">
        <v>106</v>
      </c>
      <c r="O432" s="27"/>
      <c r="P432" s="73"/>
      <c r="Q432" s="72" t="s">
        <v>307</v>
      </c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72"/>
      <c r="AE432" s="72"/>
    </row>
    <row r="433" spans="1:31" ht="26.25" customHeight="1">
      <c r="A433" s="27">
        <v>433</v>
      </c>
      <c r="B433" s="74">
        <v>46209</v>
      </c>
      <c r="C433" s="71" t="s">
        <v>1829</v>
      </c>
      <c r="D433" s="71" t="s">
        <v>1830</v>
      </c>
      <c r="E433" s="27">
        <v>8368902951</v>
      </c>
      <c r="F433" s="27" t="s">
        <v>1353</v>
      </c>
      <c r="G433" s="27">
        <v>20</v>
      </c>
      <c r="H433" s="71"/>
      <c r="I433" s="71"/>
      <c r="J433" s="71" t="s">
        <v>1831</v>
      </c>
      <c r="K433" s="72"/>
      <c r="L433" s="72"/>
      <c r="M433" s="72"/>
      <c r="N433" s="27" t="s">
        <v>35</v>
      </c>
      <c r="O433" s="27"/>
      <c r="P433" s="73"/>
      <c r="Q433" s="72" t="s">
        <v>1111</v>
      </c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72"/>
      <c r="AE433" s="72"/>
    </row>
    <row r="434" spans="1:31" ht="26.25" customHeight="1">
      <c r="A434" s="27">
        <v>434</v>
      </c>
      <c r="B434" s="74">
        <v>46210</v>
      </c>
      <c r="C434" s="71" t="s">
        <v>1832</v>
      </c>
      <c r="D434" s="71" t="s">
        <v>1833</v>
      </c>
      <c r="E434" s="27">
        <v>7417681274</v>
      </c>
      <c r="F434" s="27" t="s">
        <v>1834</v>
      </c>
      <c r="G434" s="27"/>
      <c r="H434" s="71"/>
      <c r="I434" s="71"/>
      <c r="J434" s="71"/>
      <c r="K434" s="72"/>
      <c r="L434" s="72"/>
      <c r="M434" s="72"/>
      <c r="N434" s="27" t="s">
        <v>44</v>
      </c>
      <c r="O434" s="27"/>
      <c r="P434" s="73"/>
      <c r="Q434" s="72" t="s">
        <v>71</v>
      </c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72"/>
      <c r="AE434" s="72"/>
    </row>
    <row r="435" spans="1:31" ht="26.25" customHeight="1">
      <c r="A435" s="27">
        <v>435</v>
      </c>
      <c r="B435" s="74">
        <v>46210</v>
      </c>
      <c r="C435" s="71" t="s">
        <v>1835</v>
      </c>
      <c r="D435" s="71" t="s">
        <v>1836</v>
      </c>
      <c r="E435" s="27">
        <v>8667330304</v>
      </c>
      <c r="F435" s="27" t="s">
        <v>48</v>
      </c>
      <c r="G435" s="27"/>
      <c r="H435" s="71" t="s">
        <v>1837</v>
      </c>
      <c r="I435" s="71"/>
      <c r="J435" s="71" t="s">
        <v>1838</v>
      </c>
      <c r="K435" s="72"/>
      <c r="L435" s="72"/>
      <c r="M435" s="72"/>
      <c r="N435" s="27" t="s">
        <v>35</v>
      </c>
      <c r="O435" s="27"/>
      <c r="P435" s="73"/>
      <c r="Q435" s="72" t="s">
        <v>71</v>
      </c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72"/>
      <c r="AE435" s="72"/>
    </row>
    <row r="436" spans="1:31" ht="40.5" customHeight="1">
      <c r="A436" s="27">
        <v>436</v>
      </c>
      <c r="B436" s="74">
        <v>46210</v>
      </c>
      <c r="C436" s="71" t="s">
        <v>1839</v>
      </c>
      <c r="D436" s="71"/>
      <c r="E436" s="27">
        <v>7985441360</v>
      </c>
      <c r="F436" s="27" t="s">
        <v>448</v>
      </c>
      <c r="G436" s="27"/>
      <c r="H436" s="71" t="s">
        <v>1840</v>
      </c>
      <c r="I436" s="71"/>
      <c r="J436" s="71"/>
      <c r="K436" s="72"/>
      <c r="L436" s="72"/>
      <c r="M436" s="72"/>
      <c r="N436" s="27" t="s">
        <v>35</v>
      </c>
      <c r="O436" s="27"/>
      <c r="P436" s="73"/>
      <c r="Q436" s="72" t="s">
        <v>71</v>
      </c>
      <c r="R436" s="27"/>
      <c r="S436" s="27"/>
      <c r="T436" s="27"/>
      <c r="U436" s="27" t="s">
        <v>38</v>
      </c>
      <c r="V436" s="27"/>
      <c r="W436" s="27"/>
      <c r="X436" s="27"/>
      <c r="Y436" s="27"/>
      <c r="Z436" s="27"/>
      <c r="AA436" s="27"/>
      <c r="AB436" s="27"/>
      <c r="AC436" s="27"/>
      <c r="AD436" s="72"/>
      <c r="AE436" s="72"/>
    </row>
    <row r="437" spans="1:31" ht="45" customHeight="1">
      <c r="A437" s="27">
        <v>437</v>
      </c>
      <c r="B437" s="74">
        <v>46211</v>
      </c>
      <c r="C437" s="71" t="s">
        <v>1841</v>
      </c>
      <c r="D437" s="71" t="s">
        <v>1842</v>
      </c>
      <c r="E437" s="27">
        <v>9884121902</v>
      </c>
      <c r="F437" s="27" t="s">
        <v>1843</v>
      </c>
      <c r="G437" s="27"/>
      <c r="H437" s="71"/>
      <c r="I437" s="71" t="s">
        <v>1844</v>
      </c>
      <c r="J437" s="71" t="s">
        <v>1845</v>
      </c>
      <c r="K437" s="72"/>
      <c r="L437" s="72"/>
      <c r="M437" s="72"/>
      <c r="N437" s="27" t="s">
        <v>35</v>
      </c>
      <c r="O437" s="27"/>
      <c r="P437" s="73"/>
      <c r="Q437" s="72" t="s">
        <v>1111</v>
      </c>
      <c r="R437" s="27"/>
      <c r="S437" s="27"/>
      <c r="T437" s="27"/>
      <c r="U437" s="27" t="s">
        <v>144</v>
      </c>
      <c r="V437" s="27"/>
      <c r="W437" s="27" t="s">
        <v>249</v>
      </c>
      <c r="X437" s="27"/>
      <c r="Y437" s="27"/>
      <c r="Z437" s="27"/>
      <c r="AA437" s="27"/>
      <c r="AB437" s="27"/>
      <c r="AC437" s="27"/>
      <c r="AD437" s="72"/>
      <c r="AE437" s="72"/>
    </row>
    <row r="438" spans="1:31" ht="26.25" customHeight="1">
      <c r="A438" s="99">
        <v>438</v>
      </c>
      <c r="B438" s="100">
        <v>46211</v>
      </c>
      <c r="C438" s="101" t="s">
        <v>1846</v>
      </c>
      <c r="D438" s="101" t="s">
        <v>1847</v>
      </c>
      <c r="E438" s="99">
        <v>7358291867</v>
      </c>
      <c r="F438" s="99" t="s">
        <v>325</v>
      </c>
      <c r="G438" s="99">
        <v>12</v>
      </c>
      <c r="H438" s="101"/>
      <c r="I438" s="101" t="s">
        <v>1848</v>
      </c>
      <c r="J438" s="101" t="s">
        <v>1849</v>
      </c>
      <c r="K438" s="102"/>
      <c r="L438" s="102"/>
      <c r="M438" s="102"/>
      <c r="N438" s="99" t="s">
        <v>568</v>
      </c>
      <c r="O438" s="99"/>
      <c r="P438" s="103"/>
      <c r="Q438" s="102" t="s">
        <v>307</v>
      </c>
      <c r="R438" s="99"/>
      <c r="S438" s="99"/>
      <c r="T438" s="99"/>
      <c r="U438" s="99" t="s">
        <v>144</v>
      </c>
      <c r="V438" s="99"/>
      <c r="W438" s="99" t="s">
        <v>378</v>
      </c>
      <c r="X438" s="99"/>
      <c r="Y438" s="99"/>
      <c r="Z438" s="99"/>
      <c r="AA438" s="99"/>
      <c r="AB438" s="99"/>
      <c r="AC438" s="99"/>
      <c r="AD438" s="102"/>
      <c r="AE438" s="102"/>
    </row>
    <row r="439" spans="1:31" ht="26.25" customHeight="1">
      <c r="A439" s="27">
        <v>439</v>
      </c>
      <c r="B439" s="74">
        <v>46211</v>
      </c>
      <c r="C439" s="71" t="s">
        <v>1850</v>
      </c>
      <c r="D439" s="71" t="s">
        <v>1851</v>
      </c>
      <c r="E439" s="27">
        <v>8054000929</v>
      </c>
      <c r="F439" s="27" t="s">
        <v>1852</v>
      </c>
      <c r="G439" s="27">
        <v>20</v>
      </c>
      <c r="H439" s="71"/>
      <c r="I439" s="71" t="s">
        <v>1853</v>
      </c>
      <c r="J439" s="71" t="s">
        <v>1854</v>
      </c>
      <c r="K439" s="72"/>
      <c r="L439" s="72"/>
      <c r="M439" s="72"/>
      <c r="N439" s="27" t="s">
        <v>35</v>
      </c>
      <c r="O439" s="27"/>
      <c r="P439" s="73"/>
      <c r="Q439" s="72" t="s">
        <v>36</v>
      </c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72"/>
      <c r="AE439" s="72"/>
    </row>
    <row r="440" spans="1:31" ht="26.25" customHeight="1">
      <c r="A440" s="27">
        <v>440</v>
      </c>
      <c r="B440" s="74">
        <v>46211</v>
      </c>
      <c r="C440" s="71" t="s">
        <v>1855</v>
      </c>
      <c r="D440" s="71" t="s">
        <v>1856</v>
      </c>
      <c r="E440" s="27">
        <v>9441759051</v>
      </c>
      <c r="F440" s="27" t="s">
        <v>1857</v>
      </c>
      <c r="G440" s="27"/>
      <c r="H440" s="71"/>
      <c r="I440" s="71" t="s">
        <v>694</v>
      </c>
      <c r="J440" s="71" t="s">
        <v>725</v>
      </c>
      <c r="K440" s="72"/>
      <c r="L440" s="72"/>
      <c r="M440" s="72"/>
      <c r="N440" s="27" t="s">
        <v>44</v>
      </c>
      <c r="O440" s="27"/>
      <c r="P440" s="73"/>
      <c r="Q440" s="72" t="s">
        <v>36</v>
      </c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72"/>
      <c r="AE440" s="72"/>
    </row>
    <row r="441" spans="1:31" ht="26.25" customHeight="1">
      <c r="A441" s="27">
        <v>441</v>
      </c>
      <c r="B441" s="74">
        <v>46211</v>
      </c>
      <c r="C441" s="71" t="s">
        <v>1858</v>
      </c>
      <c r="D441" s="71" t="s">
        <v>1859</v>
      </c>
      <c r="E441" s="27">
        <v>9734794488</v>
      </c>
      <c r="F441" s="27" t="s">
        <v>1860</v>
      </c>
      <c r="G441" s="27">
        <v>20</v>
      </c>
      <c r="H441" s="71"/>
      <c r="I441" s="71" t="s">
        <v>1861</v>
      </c>
      <c r="J441" s="71" t="s">
        <v>736</v>
      </c>
      <c r="K441" s="72"/>
      <c r="L441" s="72"/>
      <c r="M441" s="72"/>
      <c r="N441" s="27" t="s">
        <v>35</v>
      </c>
      <c r="O441" s="27"/>
      <c r="P441" s="73"/>
      <c r="Q441" s="72" t="s">
        <v>36</v>
      </c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72"/>
      <c r="AE441" s="72"/>
    </row>
    <row r="442" spans="1:31" ht="26.25" customHeight="1">
      <c r="A442" s="27">
        <v>442</v>
      </c>
      <c r="B442" s="74">
        <v>46211</v>
      </c>
      <c r="C442" s="71" t="s">
        <v>1862</v>
      </c>
      <c r="D442" s="71" t="s">
        <v>1863</v>
      </c>
      <c r="E442" s="27">
        <v>7085155821</v>
      </c>
      <c r="F442" s="27" t="s">
        <v>1864</v>
      </c>
      <c r="G442" s="27">
        <v>300</v>
      </c>
      <c r="H442" s="71"/>
      <c r="I442" s="71" t="s">
        <v>1865</v>
      </c>
      <c r="J442" s="71" t="s">
        <v>736</v>
      </c>
      <c r="K442" s="72"/>
      <c r="L442" s="72"/>
      <c r="M442" s="72"/>
      <c r="N442" s="27" t="s">
        <v>35</v>
      </c>
      <c r="O442" s="27"/>
      <c r="P442" s="73"/>
      <c r="Q442" s="72" t="s">
        <v>36</v>
      </c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72"/>
      <c r="AE442" s="72"/>
    </row>
    <row r="443" spans="1:31" ht="26.25" customHeight="1">
      <c r="A443" s="27">
        <v>443</v>
      </c>
      <c r="B443" s="74">
        <v>46211</v>
      </c>
      <c r="C443" s="71" t="s">
        <v>1866</v>
      </c>
      <c r="D443" s="71" t="s">
        <v>1867</v>
      </c>
      <c r="E443" s="27">
        <v>7577025227</v>
      </c>
      <c r="F443" s="27" t="s">
        <v>1179</v>
      </c>
      <c r="G443" s="27"/>
      <c r="H443" s="71"/>
      <c r="I443" s="71" t="s">
        <v>1865</v>
      </c>
      <c r="J443" s="71" t="s">
        <v>725</v>
      </c>
      <c r="K443" s="72"/>
      <c r="L443" s="72"/>
      <c r="M443" s="72"/>
      <c r="N443" s="27" t="s">
        <v>44</v>
      </c>
      <c r="O443" s="27"/>
      <c r="P443" s="73"/>
      <c r="Q443" s="72" t="s">
        <v>36</v>
      </c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72"/>
      <c r="AE443" s="72"/>
    </row>
    <row r="444" spans="1:31" ht="41.25" customHeight="1">
      <c r="A444" s="27">
        <v>444</v>
      </c>
      <c r="B444" s="74">
        <v>46211</v>
      </c>
      <c r="C444" s="104" t="s">
        <v>1868</v>
      </c>
      <c r="D444" s="104" t="s">
        <v>1869</v>
      </c>
      <c r="E444" s="105">
        <v>8121647878</v>
      </c>
      <c r="F444" s="105" t="s">
        <v>1870</v>
      </c>
      <c r="G444" s="105">
        <v>1</v>
      </c>
      <c r="H444" s="104"/>
      <c r="I444" s="104" t="s">
        <v>710</v>
      </c>
      <c r="J444" s="104" t="s">
        <v>1871</v>
      </c>
      <c r="K444" s="107"/>
      <c r="L444" s="107"/>
      <c r="M444" s="107"/>
      <c r="N444" s="27" t="s">
        <v>35</v>
      </c>
      <c r="O444" s="27"/>
      <c r="P444" s="73"/>
      <c r="Q444" s="72" t="s">
        <v>36</v>
      </c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72"/>
      <c r="AE444" s="72"/>
    </row>
    <row r="445" spans="1:31" ht="26.25" customHeight="1">
      <c r="A445" s="123">
        <v>445</v>
      </c>
      <c r="B445" s="74">
        <v>46212</v>
      </c>
      <c r="C445" s="71" t="s">
        <v>1872</v>
      </c>
      <c r="D445" s="71"/>
      <c r="E445" s="27"/>
      <c r="F445" s="27"/>
      <c r="G445" s="27"/>
      <c r="H445" s="71"/>
      <c r="I445" s="71"/>
      <c r="J445" s="71"/>
      <c r="K445" s="72"/>
      <c r="L445" s="72"/>
      <c r="M445" s="72"/>
      <c r="N445" s="27" t="s">
        <v>106</v>
      </c>
      <c r="O445" s="27"/>
      <c r="P445" s="73"/>
      <c r="Q445" s="72" t="s">
        <v>307</v>
      </c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72"/>
      <c r="AE445" s="72"/>
    </row>
    <row r="446" spans="1:31" ht="26.25" customHeight="1">
      <c r="A446" s="27">
        <v>446</v>
      </c>
      <c r="B446" s="74">
        <v>46212</v>
      </c>
      <c r="C446" s="71" t="s">
        <v>1873</v>
      </c>
      <c r="D446" s="71"/>
      <c r="E446" s="27"/>
      <c r="F446" s="27" t="s">
        <v>142</v>
      </c>
      <c r="G446" s="27">
        <v>20</v>
      </c>
      <c r="H446" s="71"/>
      <c r="I446" s="71"/>
      <c r="J446" s="71"/>
      <c r="K446" s="72"/>
      <c r="L446" s="72"/>
      <c r="M446" s="72"/>
      <c r="N446" s="27" t="s">
        <v>106</v>
      </c>
      <c r="O446" s="27"/>
      <c r="P446" s="73"/>
      <c r="Q446" s="72" t="s">
        <v>307</v>
      </c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72"/>
      <c r="AE446" s="72"/>
    </row>
    <row r="447" spans="1:31" ht="26.25" customHeight="1">
      <c r="A447" s="27">
        <v>447</v>
      </c>
      <c r="B447" s="74">
        <v>46213</v>
      </c>
      <c r="C447" s="71" t="s">
        <v>1874</v>
      </c>
      <c r="D447" s="71" t="s">
        <v>1875</v>
      </c>
      <c r="E447" s="27">
        <v>9600988094</v>
      </c>
      <c r="F447" s="27" t="s">
        <v>1876</v>
      </c>
      <c r="G447" s="27">
        <v>100</v>
      </c>
      <c r="H447" s="71"/>
      <c r="I447" s="71" t="s">
        <v>1877</v>
      </c>
      <c r="J447" s="71" t="s">
        <v>1878</v>
      </c>
      <c r="K447" s="72"/>
      <c r="L447" s="72"/>
      <c r="M447" s="72"/>
      <c r="N447" s="27" t="s">
        <v>106</v>
      </c>
      <c r="O447" s="27"/>
      <c r="P447" s="73"/>
      <c r="Q447" s="72" t="s">
        <v>307</v>
      </c>
      <c r="R447" s="27"/>
      <c r="S447" s="27"/>
      <c r="T447" s="27" t="s">
        <v>1879</v>
      </c>
      <c r="U447" s="27"/>
      <c r="V447" s="27"/>
      <c r="W447" s="27" t="s">
        <v>249</v>
      </c>
      <c r="X447" s="27"/>
      <c r="Y447" s="27"/>
      <c r="Z447" s="27"/>
      <c r="AA447" s="27"/>
      <c r="AB447" s="27"/>
      <c r="AC447" s="27"/>
      <c r="AD447" s="72"/>
      <c r="AE447" s="72"/>
    </row>
    <row r="448" spans="1:31" ht="26.25" customHeight="1">
      <c r="A448" s="86">
        <v>448</v>
      </c>
      <c r="B448" s="87">
        <v>46216</v>
      </c>
      <c r="C448" s="88" t="s">
        <v>1880</v>
      </c>
      <c r="D448" s="88" t="s">
        <v>1881</v>
      </c>
      <c r="E448" s="86">
        <v>8124003399</v>
      </c>
      <c r="F448" s="86" t="s">
        <v>316</v>
      </c>
      <c r="G448" s="86">
        <v>50</v>
      </c>
      <c r="H448" s="88"/>
      <c r="I448" s="88"/>
      <c r="J448" s="88" t="s">
        <v>1882</v>
      </c>
      <c r="K448" s="89"/>
      <c r="L448" s="89"/>
      <c r="M448" s="89"/>
      <c r="N448" s="86" t="s">
        <v>35</v>
      </c>
      <c r="O448" s="86"/>
      <c r="P448" s="90"/>
      <c r="Q448" s="89" t="s">
        <v>307</v>
      </c>
      <c r="R448" s="86"/>
      <c r="S448" s="86"/>
      <c r="T448" s="86" t="s">
        <v>1883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9"/>
      <c r="AE448" s="89"/>
    </row>
    <row r="449" spans="1:31" ht="26.25" customHeight="1">
      <c r="A449" s="29">
        <v>449</v>
      </c>
      <c r="B449" s="76">
        <v>46216</v>
      </c>
      <c r="C449" s="77" t="s">
        <v>1884</v>
      </c>
      <c r="D449" s="77" t="s">
        <v>1885</v>
      </c>
      <c r="E449" s="29">
        <v>8056700160</v>
      </c>
      <c r="F449" s="29" t="s">
        <v>1886</v>
      </c>
      <c r="G449" s="29">
        <v>34</v>
      </c>
      <c r="H449" s="77" t="s">
        <v>1887</v>
      </c>
      <c r="I449" s="77" t="s">
        <v>1629</v>
      </c>
      <c r="J449" s="77" t="s">
        <v>1888</v>
      </c>
      <c r="K449" s="79"/>
      <c r="L449" s="79" t="s">
        <v>1889</v>
      </c>
      <c r="M449" s="79"/>
      <c r="N449" s="29" t="s">
        <v>329</v>
      </c>
      <c r="O449" s="29"/>
      <c r="P449" s="80"/>
      <c r="Q449" s="79" t="s">
        <v>1111</v>
      </c>
      <c r="R449" s="29"/>
      <c r="S449" s="29"/>
      <c r="T449" s="29" t="s">
        <v>1883</v>
      </c>
      <c r="U449" s="29"/>
      <c r="V449" s="29"/>
      <c r="W449" s="29"/>
      <c r="X449" s="29"/>
      <c r="Y449" s="29"/>
      <c r="Z449" s="29"/>
      <c r="AA449" s="29"/>
      <c r="AB449" s="29"/>
      <c r="AC449" s="29"/>
      <c r="AD449" s="79"/>
      <c r="AE449" s="79"/>
    </row>
    <row r="450" spans="1:31" ht="26.25" customHeight="1">
      <c r="A450" s="27">
        <v>449</v>
      </c>
      <c r="B450" s="74">
        <v>46217</v>
      </c>
      <c r="C450" s="71" t="s">
        <v>1890</v>
      </c>
      <c r="D450" s="71"/>
      <c r="E450" s="27"/>
      <c r="F450" s="27" t="s">
        <v>325</v>
      </c>
      <c r="G450" s="27">
        <v>2</v>
      </c>
      <c r="H450" s="71"/>
      <c r="I450" s="71" t="s">
        <v>1629</v>
      </c>
      <c r="J450" s="71"/>
      <c r="K450" s="72"/>
      <c r="L450" s="72"/>
      <c r="M450" s="72"/>
      <c r="N450" s="27" t="s">
        <v>106</v>
      </c>
      <c r="O450" s="27"/>
      <c r="P450" s="73"/>
      <c r="Q450" s="72" t="s">
        <v>1478</v>
      </c>
      <c r="R450" s="27"/>
      <c r="S450" s="27"/>
      <c r="T450" s="27" t="s">
        <v>1883</v>
      </c>
      <c r="U450" s="27"/>
      <c r="V450" s="27"/>
      <c r="W450" s="27"/>
      <c r="X450" s="27"/>
      <c r="Y450" s="27"/>
      <c r="Z450" s="27"/>
      <c r="AA450" s="27"/>
      <c r="AB450" s="27"/>
      <c r="AC450" s="27"/>
      <c r="AD450" s="72"/>
      <c r="AE450" s="72"/>
    </row>
    <row r="451" spans="1:31" ht="26.25" customHeight="1">
      <c r="A451" s="27">
        <v>450</v>
      </c>
      <c r="B451" s="74">
        <v>46217</v>
      </c>
      <c r="C451" s="77" t="s">
        <v>1891</v>
      </c>
      <c r="D451" s="77" t="s">
        <v>1892</v>
      </c>
      <c r="E451" s="29">
        <v>7401184911</v>
      </c>
      <c r="F451" s="29" t="s">
        <v>545</v>
      </c>
      <c r="G451" s="29">
        <v>8</v>
      </c>
      <c r="H451" s="77"/>
      <c r="I451" s="77" t="s">
        <v>1629</v>
      </c>
      <c r="J451" s="77" t="s">
        <v>1893</v>
      </c>
      <c r="K451" s="72"/>
      <c r="L451" s="72"/>
      <c r="M451" s="72"/>
      <c r="N451" s="27" t="s">
        <v>106</v>
      </c>
      <c r="O451" s="27"/>
      <c r="P451" s="73"/>
      <c r="Q451" s="72" t="s">
        <v>307</v>
      </c>
      <c r="R451" s="27"/>
      <c r="S451" s="27"/>
      <c r="T451" s="27" t="s">
        <v>1883</v>
      </c>
      <c r="U451" s="27" t="s">
        <v>378</v>
      </c>
      <c r="V451" s="27"/>
      <c r="W451" s="27"/>
      <c r="X451" s="27"/>
      <c r="Y451" s="27"/>
      <c r="Z451" s="27"/>
      <c r="AA451" s="27"/>
      <c r="AB451" s="27"/>
      <c r="AC451" s="27"/>
      <c r="AD451" s="72"/>
      <c r="AE451" s="72"/>
    </row>
    <row r="452" spans="1:31" ht="26.25" customHeight="1">
      <c r="A452" s="27">
        <v>451</v>
      </c>
      <c r="B452" s="74">
        <v>46217</v>
      </c>
      <c r="C452" s="71" t="s">
        <v>1894</v>
      </c>
      <c r="D452" s="71" t="s">
        <v>1895</v>
      </c>
      <c r="E452" s="27">
        <v>7708795077</v>
      </c>
      <c r="F452" s="27" t="s">
        <v>142</v>
      </c>
      <c r="G452" s="27">
        <v>50</v>
      </c>
      <c r="H452" s="71"/>
      <c r="I452" s="71" t="s">
        <v>1896</v>
      </c>
      <c r="J452" s="71" t="s">
        <v>1897</v>
      </c>
      <c r="K452" s="72"/>
      <c r="L452" s="72"/>
      <c r="M452" s="72"/>
      <c r="N452" s="27" t="s">
        <v>35</v>
      </c>
      <c r="O452" s="27"/>
      <c r="P452" s="73"/>
      <c r="Q452" s="72" t="s">
        <v>307</v>
      </c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72"/>
      <c r="AE452" s="72"/>
    </row>
    <row r="453" spans="1:31" ht="26.25" customHeight="1">
      <c r="A453" s="27">
        <v>452</v>
      </c>
      <c r="B453" s="74">
        <v>46217</v>
      </c>
      <c r="C453" s="124" t="s">
        <v>1898</v>
      </c>
      <c r="D453" s="124" t="s">
        <v>1899</v>
      </c>
      <c r="E453" s="125">
        <f>919158121313</f>
        <v>919158121313</v>
      </c>
      <c r="F453" s="126" t="s">
        <v>1900</v>
      </c>
      <c r="G453" s="27">
        <v>21</v>
      </c>
      <c r="H453" s="71"/>
      <c r="I453" s="71" t="s">
        <v>1901</v>
      </c>
      <c r="J453" s="127" t="s">
        <v>1902</v>
      </c>
      <c r="K453" s="128"/>
      <c r="L453" s="128"/>
      <c r="M453" s="128"/>
      <c r="N453" s="27" t="s">
        <v>35</v>
      </c>
      <c r="O453" s="27"/>
      <c r="P453" s="73"/>
      <c r="Q453" s="72" t="s">
        <v>1111</v>
      </c>
      <c r="R453" s="27"/>
      <c r="S453" s="27"/>
      <c r="T453" s="27" t="s">
        <v>1818</v>
      </c>
      <c r="U453" s="27" t="s">
        <v>378</v>
      </c>
      <c r="V453" s="27"/>
      <c r="W453" s="27"/>
      <c r="X453" s="27"/>
      <c r="Y453" s="27"/>
      <c r="Z453" s="27"/>
      <c r="AA453" s="27"/>
      <c r="AB453" s="27"/>
      <c r="AC453" s="27"/>
      <c r="AD453" s="128" t="s">
        <v>1903</v>
      </c>
      <c r="AE453" s="72"/>
    </row>
    <row r="454" spans="1:31" ht="26.25" customHeight="1">
      <c r="A454" s="27">
        <v>453</v>
      </c>
      <c r="B454" s="74">
        <v>46220</v>
      </c>
      <c r="C454" s="71" t="s">
        <v>1904</v>
      </c>
      <c r="D454" s="71" t="s">
        <v>1905</v>
      </c>
      <c r="E454" s="27">
        <v>9487411249</v>
      </c>
      <c r="F454" s="27" t="s">
        <v>1906</v>
      </c>
      <c r="G454" s="27">
        <v>10</v>
      </c>
      <c r="H454" s="71"/>
      <c r="I454" s="71"/>
      <c r="J454" s="71" t="s">
        <v>1907</v>
      </c>
      <c r="K454" s="72"/>
      <c r="L454" s="72"/>
      <c r="M454" s="72"/>
      <c r="N454" s="27" t="s">
        <v>1908</v>
      </c>
      <c r="O454" s="27"/>
      <c r="P454" s="73"/>
      <c r="Q454" s="72" t="s">
        <v>307</v>
      </c>
      <c r="R454" s="27"/>
      <c r="S454" s="27"/>
      <c r="T454" s="27" t="s">
        <v>1883</v>
      </c>
      <c r="U454" s="27" t="s">
        <v>144</v>
      </c>
      <c r="V454" s="27"/>
      <c r="W454" s="27"/>
      <c r="X454" s="27" t="s">
        <v>1909</v>
      </c>
      <c r="Y454" s="27"/>
      <c r="Z454" s="27"/>
      <c r="AA454" s="27"/>
      <c r="AB454" s="27"/>
      <c r="AC454" s="27"/>
      <c r="AD454" s="72"/>
      <c r="AE454" s="72"/>
    </row>
    <row r="455" spans="1:31" ht="26.25" customHeight="1">
      <c r="A455" s="27">
        <v>454</v>
      </c>
      <c r="B455" s="74">
        <v>46223</v>
      </c>
      <c r="C455" s="71" t="s">
        <v>1910</v>
      </c>
      <c r="D455" s="71" t="s">
        <v>1911</v>
      </c>
      <c r="E455" s="27">
        <v>9500910109</v>
      </c>
      <c r="F455" s="27" t="s">
        <v>1912</v>
      </c>
      <c r="G455" s="27">
        <v>2</v>
      </c>
      <c r="H455" s="71"/>
      <c r="I455" s="71" t="s">
        <v>1913</v>
      </c>
      <c r="J455" s="71" t="s">
        <v>1914</v>
      </c>
      <c r="K455" s="72"/>
      <c r="L455" s="72"/>
      <c r="M455" s="72"/>
      <c r="N455" s="27" t="s">
        <v>106</v>
      </c>
      <c r="O455" s="27"/>
      <c r="P455" s="73"/>
      <c r="Q455" s="72" t="s">
        <v>479</v>
      </c>
      <c r="R455" s="27"/>
      <c r="S455" s="27"/>
      <c r="T455" s="27" t="s">
        <v>1883</v>
      </c>
      <c r="U455" s="27"/>
      <c r="V455" s="27"/>
      <c r="W455" s="27"/>
      <c r="X455" s="27"/>
      <c r="Y455" s="27"/>
      <c r="Z455" s="27"/>
      <c r="AA455" s="27"/>
      <c r="AB455" s="27"/>
      <c r="AC455" s="27"/>
      <c r="AD455" s="72"/>
      <c r="AE455" s="72"/>
    </row>
    <row r="456" spans="1:31" ht="26.25" customHeight="1">
      <c r="A456" s="27">
        <v>455</v>
      </c>
      <c r="B456" s="74">
        <v>46223</v>
      </c>
      <c r="C456" s="71" t="s">
        <v>1915</v>
      </c>
      <c r="D456" s="71" t="s">
        <v>1916</v>
      </c>
      <c r="E456" s="27">
        <v>9087867786</v>
      </c>
      <c r="F456" s="27"/>
      <c r="G456" s="27"/>
      <c r="H456" s="71"/>
      <c r="I456" s="71" t="s">
        <v>1917</v>
      </c>
      <c r="J456" s="71"/>
      <c r="K456" s="72"/>
      <c r="L456" s="72"/>
      <c r="M456" s="72"/>
      <c r="N456" s="27" t="s">
        <v>35</v>
      </c>
      <c r="O456" s="27"/>
      <c r="P456" s="73"/>
      <c r="Q456" s="72" t="s">
        <v>71</v>
      </c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72"/>
      <c r="AE456" s="72"/>
    </row>
    <row r="457" spans="1:31" ht="26.25" customHeight="1">
      <c r="A457" s="27">
        <v>456</v>
      </c>
      <c r="B457" s="74">
        <v>46223</v>
      </c>
      <c r="C457" s="71" t="s">
        <v>1918</v>
      </c>
      <c r="D457" s="71" t="s">
        <v>1919</v>
      </c>
      <c r="E457" s="27">
        <v>9698421006</v>
      </c>
      <c r="F457" s="27" t="s">
        <v>1912</v>
      </c>
      <c r="G457" s="27">
        <v>4</v>
      </c>
      <c r="H457" s="71"/>
      <c r="I457" s="71"/>
      <c r="J457" s="71"/>
      <c r="K457" s="72"/>
      <c r="L457" s="72"/>
      <c r="M457" s="72"/>
      <c r="N457" s="27" t="s">
        <v>106</v>
      </c>
      <c r="O457" s="27"/>
      <c r="P457" s="73"/>
      <c r="Q457" s="72" t="s">
        <v>307</v>
      </c>
      <c r="R457" s="27"/>
      <c r="S457" s="27"/>
      <c r="T457" s="27" t="s">
        <v>1883</v>
      </c>
      <c r="U457" s="27"/>
      <c r="V457" s="27"/>
      <c r="W457" s="27"/>
      <c r="X457" s="27"/>
      <c r="Y457" s="27"/>
      <c r="Z457" s="27"/>
      <c r="AA457" s="27"/>
      <c r="AB457" s="27"/>
      <c r="AC457" s="27"/>
      <c r="AD457" s="72"/>
      <c r="AE457" s="72"/>
    </row>
    <row r="458" spans="1:31" ht="34.5" customHeight="1">
      <c r="A458" s="27">
        <v>457</v>
      </c>
      <c r="B458" s="74">
        <v>46223</v>
      </c>
      <c r="C458" s="71" t="s">
        <v>1920</v>
      </c>
      <c r="D458" s="71"/>
      <c r="E458" s="27">
        <v>9125235018</v>
      </c>
      <c r="F458" s="27" t="s">
        <v>581</v>
      </c>
      <c r="G458" s="27">
        <v>30</v>
      </c>
      <c r="H458" s="71"/>
      <c r="I458" s="71" t="s">
        <v>1921</v>
      </c>
      <c r="J458" s="71" t="s">
        <v>1922</v>
      </c>
      <c r="K458" s="72"/>
      <c r="L458" s="72" t="s">
        <v>1923</v>
      </c>
      <c r="M458" s="72"/>
      <c r="N458" s="27" t="s">
        <v>35</v>
      </c>
      <c r="O458" s="27"/>
      <c r="P458" s="73"/>
      <c r="Q458" s="72" t="s">
        <v>307</v>
      </c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72"/>
      <c r="AE458" s="72"/>
    </row>
    <row r="459" spans="1:31" ht="26.25" customHeight="1">
      <c r="A459" s="27">
        <v>458</v>
      </c>
      <c r="B459" s="74">
        <v>46224</v>
      </c>
      <c r="C459" s="71" t="s">
        <v>1924</v>
      </c>
      <c r="D459" s="71"/>
      <c r="E459" s="27">
        <v>9599313045</v>
      </c>
      <c r="F459" s="27"/>
      <c r="G459" s="27">
        <v>18</v>
      </c>
      <c r="H459" s="71"/>
      <c r="I459" s="71" t="s">
        <v>1925</v>
      </c>
      <c r="J459" s="71" t="s">
        <v>1926</v>
      </c>
      <c r="K459" s="72"/>
      <c r="L459" s="72"/>
      <c r="M459" s="72"/>
      <c r="N459" s="27" t="s">
        <v>35</v>
      </c>
      <c r="O459" s="27"/>
      <c r="P459" s="73"/>
      <c r="Q459" s="72" t="s">
        <v>307</v>
      </c>
      <c r="R459" s="27"/>
      <c r="S459" s="27"/>
      <c r="T459" s="27" t="s">
        <v>1927</v>
      </c>
      <c r="U459" s="27"/>
      <c r="V459" s="27"/>
      <c r="W459" s="27"/>
      <c r="X459" s="27"/>
      <c r="Y459" s="27"/>
      <c r="Z459" s="27"/>
      <c r="AA459" s="27"/>
      <c r="AB459" s="27"/>
      <c r="AC459" s="27"/>
      <c r="AD459" s="72"/>
      <c r="AE459" s="72"/>
    </row>
    <row r="460" spans="1:31" ht="26.25" customHeight="1">
      <c r="A460" s="27">
        <v>459</v>
      </c>
      <c r="B460" s="74">
        <v>46225</v>
      </c>
      <c r="C460" s="71" t="s">
        <v>1928</v>
      </c>
      <c r="D460" s="71" t="s">
        <v>1929</v>
      </c>
      <c r="E460" s="27">
        <v>9051344323</v>
      </c>
      <c r="F460" s="27"/>
      <c r="G460" s="27"/>
      <c r="H460" s="71"/>
      <c r="I460" s="71"/>
      <c r="J460" s="71" t="s">
        <v>1930</v>
      </c>
      <c r="K460" s="72"/>
      <c r="L460" s="72"/>
      <c r="M460" s="72"/>
      <c r="N460" s="27" t="s">
        <v>122</v>
      </c>
      <c r="O460" s="27"/>
      <c r="P460" s="73"/>
      <c r="Q460" s="72" t="s">
        <v>71</v>
      </c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72"/>
      <c r="AE460" s="72"/>
    </row>
    <row r="461" spans="1:31" ht="26.25" customHeight="1">
      <c r="A461" s="27">
        <v>460</v>
      </c>
      <c r="B461" s="74">
        <v>46225</v>
      </c>
      <c r="C461" s="71" t="s">
        <v>1931</v>
      </c>
      <c r="D461" s="71"/>
      <c r="E461" s="27">
        <v>7708410921</v>
      </c>
      <c r="F461" s="27" t="s">
        <v>142</v>
      </c>
      <c r="G461" s="27">
        <v>3</v>
      </c>
      <c r="H461" s="71"/>
      <c r="I461" s="71"/>
      <c r="J461" s="72" t="s">
        <v>1932</v>
      </c>
      <c r="K461" s="72"/>
      <c r="L461" s="72" t="s">
        <v>970</v>
      </c>
      <c r="N461" s="27" t="s">
        <v>106</v>
      </c>
      <c r="O461" s="27"/>
      <c r="P461" s="73"/>
      <c r="Q461" s="72" t="s">
        <v>71</v>
      </c>
      <c r="R461" s="27"/>
      <c r="S461" s="27"/>
      <c r="T461" s="27" t="s">
        <v>1933</v>
      </c>
      <c r="U461" s="27" t="s">
        <v>38</v>
      </c>
      <c r="V461" s="27"/>
      <c r="W461" s="27"/>
      <c r="X461" s="27"/>
      <c r="Y461" s="27"/>
      <c r="Z461" s="27"/>
      <c r="AA461" s="27"/>
      <c r="AB461" s="27"/>
      <c r="AC461" s="27"/>
      <c r="AD461" s="72"/>
      <c r="AE461" s="72"/>
    </row>
    <row r="462" spans="1:31" ht="44.25" customHeight="1">
      <c r="A462" s="27">
        <v>461</v>
      </c>
      <c r="B462" s="74">
        <v>46225</v>
      </c>
      <c r="C462" s="71" t="s">
        <v>1934</v>
      </c>
      <c r="D462" s="71" t="s">
        <v>1935</v>
      </c>
      <c r="E462" s="27">
        <v>9994975793</v>
      </c>
      <c r="F462" s="27" t="s">
        <v>142</v>
      </c>
      <c r="G462" s="27" t="s">
        <v>1936</v>
      </c>
      <c r="H462" s="71" t="s">
        <v>1937</v>
      </c>
      <c r="I462" s="71" t="s">
        <v>1656</v>
      </c>
      <c r="J462" s="71" t="s">
        <v>1938</v>
      </c>
      <c r="K462" s="72"/>
      <c r="L462" s="72" t="s">
        <v>1939</v>
      </c>
      <c r="M462" s="72" t="s">
        <v>1940</v>
      </c>
      <c r="N462" s="27" t="s">
        <v>106</v>
      </c>
      <c r="O462" s="27"/>
      <c r="P462" s="73"/>
      <c r="Q462" s="72" t="s">
        <v>307</v>
      </c>
      <c r="R462" s="27" t="s">
        <v>1941</v>
      </c>
      <c r="S462" s="27"/>
      <c r="T462" s="27" t="s">
        <v>1656</v>
      </c>
      <c r="U462" s="27" t="s">
        <v>173</v>
      </c>
      <c r="V462" s="27"/>
      <c r="W462" s="27"/>
      <c r="X462" s="27"/>
      <c r="Y462" s="27"/>
      <c r="Z462" s="27"/>
      <c r="AA462" s="27"/>
      <c r="AB462" s="27"/>
      <c r="AC462" s="27"/>
      <c r="AD462" s="72"/>
      <c r="AE462" s="72"/>
    </row>
    <row r="463" spans="1:31" ht="26.25" customHeight="1">
      <c r="A463" s="27">
        <v>462</v>
      </c>
      <c r="B463" s="74">
        <v>46226</v>
      </c>
      <c r="C463" s="71" t="s">
        <v>1942</v>
      </c>
      <c r="D463" s="71"/>
      <c r="E463" s="27">
        <v>7011322849</v>
      </c>
      <c r="F463" s="27" t="s">
        <v>427</v>
      </c>
      <c r="G463" s="27"/>
      <c r="H463" s="71" t="s">
        <v>1265</v>
      </c>
      <c r="I463" s="71"/>
      <c r="J463" s="71" t="s">
        <v>1943</v>
      </c>
      <c r="K463" s="72"/>
      <c r="L463" s="72"/>
      <c r="M463" s="72"/>
      <c r="N463" s="27" t="s">
        <v>122</v>
      </c>
      <c r="O463" s="27"/>
      <c r="P463" s="73"/>
      <c r="Q463" s="72" t="s">
        <v>71</v>
      </c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72"/>
      <c r="AE463" s="72"/>
    </row>
    <row r="464" spans="1:31" ht="26.25" customHeight="1">
      <c r="A464" s="27">
        <v>463</v>
      </c>
      <c r="B464" s="74">
        <v>46226</v>
      </c>
      <c r="C464" s="71" t="s">
        <v>1944</v>
      </c>
      <c r="D464" s="71"/>
      <c r="E464" s="27">
        <v>9677540484</v>
      </c>
      <c r="F464" s="27" t="s">
        <v>1945</v>
      </c>
      <c r="G464" s="27">
        <v>20</v>
      </c>
      <c r="H464" s="71" t="s">
        <v>1946</v>
      </c>
      <c r="I464" s="71"/>
      <c r="J464" s="71"/>
      <c r="K464" s="72"/>
      <c r="L464" s="72"/>
      <c r="M464" s="72"/>
      <c r="N464" s="27" t="s">
        <v>35</v>
      </c>
      <c r="O464" s="27"/>
      <c r="P464" s="73"/>
      <c r="Q464" s="72" t="s">
        <v>1111</v>
      </c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72"/>
      <c r="AE464" s="72"/>
    </row>
    <row r="465" spans="1:31" ht="26.25" customHeight="1">
      <c r="A465" s="27">
        <v>464</v>
      </c>
      <c r="B465" s="74">
        <v>46226</v>
      </c>
      <c r="C465" s="71" t="s">
        <v>1947</v>
      </c>
      <c r="D465" s="71"/>
      <c r="E465" s="27">
        <v>6374142685</v>
      </c>
      <c r="F465" s="27"/>
      <c r="G465" s="27"/>
      <c r="H465" s="71"/>
      <c r="I465" s="71"/>
      <c r="J465" s="71"/>
      <c r="K465" s="72"/>
      <c r="L465" s="72"/>
      <c r="M465" s="72"/>
      <c r="N465" s="27" t="s">
        <v>35</v>
      </c>
      <c r="O465" s="27"/>
      <c r="P465" s="73"/>
      <c r="Q465" s="72" t="s">
        <v>307</v>
      </c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72"/>
      <c r="AE465" s="72"/>
    </row>
    <row r="466" spans="1:31" ht="26.25" customHeight="1">
      <c r="A466" s="27">
        <v>465</v>
      </c>
      <c r="B466" s="74">
        <v>46228</v>
      </c>
      <c r="C466" s="71" t="s">
        <v>1948</v>
      </c>
      <c r="D466" s="71"/>
      <c r="E466" s="27">
        <v>9710553852291</v>
      </c>
      <c r="F466" s="27" t="s">
        <v>1949</v>
      </c>
      <c r="G466" s="27">
        <v>10</v>
      </c>
      <c r="H466" s="71"/>
      <c r="I466" s="71" t="s">
        <v>1950</v>
      </c>
      <c r="J466" s="71" t="s">
        <v>434</v>
      </c>
      <c r="K466" s="72"/>
      <c r="L466" s="72"/>
      <c r="M466" s="72"/>
      <c r="N466" s="27" t="s">
        <v>70</v>
      </c>
      <c r="O466" s="27"/>
      <c r="P466" s="73"/>
      <c r="Q466" s="72" t="s">
        <v>36</v>
      </c>
      <c r="R466" s="27"/>
      <c r="S466" s="27"/>
      <c r="T466" s="71"/>
      <c r="U466" s="27"/>
      <c r="V466" s="27"/>
      <c r="W466" s="27"/>
      <c r="X466" s="27"/>
      <c r="Y466" s="27"/>
      <c r="Z466" s="27"/>
      <c r="AA466" s="27"/>
      <c r="AB466" s="27"/>
      <c r="AC466" s="27"/>
      <c r="AD466" s="72" t="s">
        <v>1951</v>
      </c>
      <c r="AE466" s="72"/>
    </row>
    <row r="467" spans="1:31" ht="26.25" customHeight="1">
      <c r="A467" s="27">
        <v>466</v>
      </c>
      <c r="B467" s="74">
        <v>46230</v>
      </c>
      <c r="C467" s="71" t="s">
        <v>1952</v>
      </c>
      <c r="D467" s="71" t="s">
        <v>1953</v>
      </c>
      <c r="E467" s="27" t="s">
        <v>1954</v>
      </c>
      <c r="F467" s="27">
        <v>3</v>
      </c>
      <c r="G467" s="27">
        <v>3</v>
      </c>
      <c r="H467" s="71" t="s">
        <v>1955</v>
      </c>
      <c r="I467" s="71"/>
      <c r="J467" s="71" t="s">
        <v>1956</v>
      </c>
      <c r="K467" s="72"/>
      <c r="L467" s="72"/>
      <c r="M467" s="72"/>
      <c r="N467" s="27" t="s">
        <v>106</v>
      </c>
      <c r="O467" s="27"/>
      <c r="P467" s="73"/>
      <c r="Q467" s="72" t="s">
        <v>36</v>
      </c>
      <c r="R467" s="27"/>
      <c r="S467" s="27"/>
      <c r="T467" s="27"/>
      <c r="U467" s="27" t="s">
        <v>249</v>
      </c>
      <c r="V467" s="27"/>
      <c r="W467" s="27" t="s">
        <v>249</v>
      </c>
      <c r="X467" s="27"/>
      <c r="Y467" s="27"/>
      <c r="Z467" s="27"/>
      <c r="AA467" s="27"/>
      <c r="AB467" s="27"/>
      <c r="AC467" s="27"/>
      <c r="AD467" s="72"/>
      <c r="AE467" s="72"/>
    </row>
    <row r="468" spans="1:31" ht="26.25" customHeight="1">
      <c r="A468" s="27">
        <v>467</v>
      </c>
      <c r="B468" s="74">
        <v>46231</v>
      </c>
      <c r="C468" s="71" t="s">
        <v>1957</v>
      </c>
      <c r="D468" s="71" t="s">
        <v>1958</v>
      </c>
      <c r="E468" s="27">
        <v>9962575624</v>
      </c>
      <c r="F468" s="27" t="s">
        <v>1959</v>
      </c>
      <c r="G468" s="27">
        <v>108</v>
      </c>
      <c r="H468" s="71" t="s">
        <v>1960</v>
      </c>
      <c r="I468" s="71" t="s">
        <v>1961</v>
      </c>
      <c r="J468" s="71"/>
      <c r="K468" s="72"/>
      <c r="L468" s="72"/>
      <c r="M468" s="72"/>
      <c r="N468" s="27" t="s">
        <v>106</v>
      </c>
      <c r="O468" s="27"/>
      <c r="P468" s="73"/>
      <c r="Q468" s="72" t="s">
        <v>307</v>
      </c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72"/>
      <c r="AE468" s="72"/>
    </row>
    <row r="469" spans="1:31" ht="26.25" customHeight="1">
      <c r="A469" s="27">
        <v>468</v>
      </c>
      <c r="B469" s="129">
        <v>46233</v>
      </c>
      <c r="C469" s="130" t="s">
        <v>1962</v>
      </c>
      <c r="D469" s="130" t="s">
        <v>1963</v>
      </c>
      <c r="E469" s="131">
        <v>7338709644</v>
      </c>
      <c r="F469" s="131" t="s">
        <v>1964</v>
      </c>
      <c r="G469" s="131"/>
      <c r="H469" s="71"/>
      <c r="I469" s="71"/>
      <c r="J469" s="71" t="s">
        <v>1965</v>
      </c>
      <c r="K469" s="72"/>
      <c r="L469" s="72"/>
      <c r="M469" s="72"/>
      <c r="N469" s="27" t="s">
        <v>106</v>
      </c>
      <c r="O469" s="27"/>
      <c r="P469" s="73"/>
      <c r="Q469" s="72" t="s">
        <v>307</v>
      </c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72"/>
      <c r="AE469" s="72"/>
    </row>
    <row r="470" spans="1:31" ht="26.25" customHeight="1">
      <c r="A470" s="27">
        <v>469</v>
      </c>
      <c r="B470" s="74">
        <v>46233</v>
      </c>
      <c r="C470" s="71" t="s">
        <v>1966</v>
      </c>
      <c r="D470" s="71"/>
      <c r="E470" s="27"/>
      <c r="F470" s="27" t="s">
        <v>60</v>
      </c>
      <c r="G470" s="27">
        <v>20</v>
      </c>
      <c r="H470" s="71"/>
      <c r="I470" s="71"/>
      <c r="J470" s="71" t="s">
        <v>1967</v>
      </c>
      <c r="K470" s="72"/>
      <c r="L470" s="72"/>
      <c r="M470" s="72"/>
      <c r="N470" s="27" t="s">
        <v>35</v>
      </c>
      <c r="O470" s="27" t="s">
        <v>1968</v>
      </c>
      <c r="P470" s="73"/>
      <c r="Q470" s="72" t="s">
        <v>307</v>
      </c>
      <c r="R470" s="27"/>
      <c r="S470" s="27"/>
      <c r="T470" s="27" t="s">
        <v>1969</v>
      </c>
      <c r="U470" s="27" t="s">
        <v>249</v>
      </c>
      <c r="V470" s="27"/>
      <c r="W470" s="27" t="s">
        <v>63</v>
      </c>
      <c r="X470" s="27"/>
      <c r="Y470" s="27"/>
      <c r="Z470" s="27"/>
      <c r="AA470" s="27"/>
      <c r="AB470" s="27"/>
      <c r="AC470" s="27"/>
      <c r="AD470" s="72"/>
      <c r="AE470" s="72"/>
    </row>
    <row r="471" spans="1:31" ht="26.25" customHeight="1">
      <c r="A471" s="27">
        <v>470</v>
      </c>
      <c r="B471" s="74">
        <v>46233</v>
      </c>
      <c r="C471" s="71" t="s">
        <v>1970</v>
      </c>
      <c r="D471" s="71" t="s">
        <v>1971</v>
      </c>
      <c r="E471" s="27">
        <v>8220888997</v>
      </c>
      <c r="F471" s="27" t="s">
        <v>142</v>
      </c>
      <c r="G471" s="27">
        <v>100</v>
      </c>
      <c r="H471" s="71" t="s">
        <v>1972</v>
      </c>
      <c r="I471" s="71" t="s">
        <v>1973</v>
      </c>
      <c r="J471" s="71" t="s">
        <v>1168</v>
      </c>
      <c r="K471" s="72"/>
      <c r="L471" s="72" t="s">
        <v>1972</v>
      </c>
      <c r="M471" s="72"/>
      <c r="N471" s="27" t="s">
        <v>44</v>
      </c>
      <c r="O471" s="27"/>
      <c r="P471" s="73"/>
      <c r="Q471" s="72" t="s">
        <v>36</v>
      </c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72"/>
      <c r="AE471" s="72"/>
    </row>
    <row r="472" spans="1:31" ht="37.5" customHeight="1">
      <c r="A472" s="27">
        <v>471</v>
      </c>
      <c r="B472" s="129">
        <v>46233</v>
      </c>
      <c r="C472" s="130" t="s">
        <v>1974</v>
      </c>
      <c r="D472" s="130" t="s">
        <v>1975</v>
      </c>
      <c r="E472" s="131">
        <v>9944925002</v>
      </c>
      <c r="F472" s="131" t="s">
        <v>947</v>
      </c>
      <c r="G472" s="131">
        <v>16</v>
      </c>
      <c r="H472" s="71"/>
      <c r="I472" s="71" t="s">
        <v>1976</v>
      </c>
      <c r="J472" s="71" t="s">
        <v>1977</v>
      </c>
      <c r="K472" s="72"/>
      <c r="L472" s="72"/>
      <c r="M472" s="72"/>
      <c r="N472" s="27" t="s">
        <v>106</v>
      </c>
      <c r="O472" s="27" t="s">
        <v>96</v>
      </c>
      <c r="P472" s="73"/>
      <c r="Q472" s="72" t="s">
        <v>307</v>
      </c>
      <c r="R472" s="27"/>
      <c r="S472" s="27"/>
      <c r="T472" s="27"/>
      <c r="U472" s="27" t="s">
        <v>144</v>
      </c>
      <c r="V472" s="27"/>
      <c r="W472" s="27" t="s">
        <v>249</v>
      </c>
      <c r="X472" s="27"/>
      <c r="Y472" s="27"/>
      <c r="Z472" s="27"/>
      <c r="AA472" s="27"/>
      <c r="AB472" s="27"/>
      <c r="AC472" s="27"/>
      <c r="AD472" s="72"/>
      <c r="AE472" s="72"/>
    </row>
    <row r="473" spans="1:31" ht="26.25" customHeight="1">
      <c r="A473" s="27">
        <v>472</v>
      </c>
      <c r="B473" s="74">
        <v>46234</v>
      </c>
      <c r="C473" s="71" t="s">
        <v>1978</v>
      </c>
      <c r="D473" s="71" t="s">
        <v>1979</v>
      </c>
      <c r="E473" s="27" t="s">
        <v>1980</v>
      </c>
      <c r="F473" s="27" t="s">
        <v>1981</v>
      </c>
      <c r="G473" s="27" t="s">
        <v>1982</v>
      </c>
      <c r="H473" s="71"/>
      <c r="I473" s="71"/>
      <c r="J473" s="71" t="s">
        <v>1983</v>
      </c>
      <c r="K473" s="132"/>
      <c r="L473" s="132"/>
      <c r="M473" s="72"/>
      <c r="N473" s="27" t="s">
        <v>70</v>
      </c>
      <c r="O473" s="27"/>
      <c r="P473" s="73"/>
      <c r="Q473" s="72" t="s">
        <v>36</v>
      </c>
      <c r="R473" s="27"/>
      <c r="S473" s="27"/>
      <c r="T473" s="71"/>
      <c r="U473" s="27"/>
      <c r="V473" s="27"/>
      <c r="W473" s="27"/>
      <c r="X473" s="27"/>
      <c r="Y473" s="27"/>
      <c r="Z473" s="27"/>
      <c r="AA473" s="27"/>
      <c r="AB473" s="27"/>
      <c r="AC473" s="27"/>
      <c r="AD473" s="72"/>
      <c r="AE473" s="72"/>
    </row>
    <row r="474" spans="1:31" ht="40.5" customHeight="1">
      <c r="A474" s="27">
        <v>473</v>
      </c>
      <c r="B474" s="74">
        <v>46234</v>
      </c>
      <c r="C474" s="77" t="s">
        <v>1984</v>
      </c>
      <c r="D474" s="77" t="s">
        <v>1985</v>
      </c>
      <c r="E474" s="29" t="s">
        <v>1986</v>
      </c>
      <c r="F474" s="29" t="s">
        <v>48</v>
      </c>
      <c r="G474" s="29">
        <v>50</v>
      </c>
      <c r="H474" s="77"/>
      <c r="I474" s="79" t="s">
        <v>1987</v>
      </c>
      <c r="J474" s="77" t="s">
        <v>1988</v>
      </c>
      <c r="K474" s="72"/>
      <c r="L474" s="72"/>
      <c r="M474" s="72" t="s">
        <v>1989</v>
      </c>
      <c r="N474" s="27" t="s">
        <v>106</v>
      </c>
      <c r="O474" s="27"/>
      <c r="P474" s="73"/>
      <c r="Q474" s="72" t="s">
        <v>36</v>
      </c>
      <c r="R474" s="27"/>
      <c r="S474" s="27"/>
      <c r="T474" s="27"/>
      <c r="U474" s="27" t="s">
        <v>378</v>
      </c>
      <c r="V474" s="27"/>
      <c r="W474" s="27"/>
      <c r="X474" s="27"/>
      <c r="Y474" s="27"/>
      <c r="Z474" s="27"/>
      <c r="AA474" s="27"/>
      <c r="AB474" s="27"/>
      <c r="AC474" s="27"/>
      <c r="AD474" s="72"/>
      <c r="AE474" s="72"/>
    </row>
    <row r="475" spans="1:31" ht="26.25" customHeight="1">
      <c r="A475" s="27">
        <v>473</v>
      </c>
      <c r="B475" s="74">
        <v>46234</v>
      </c>
      <c r="C475" s="104" t="s">
        <v>1990</v>
      </c>
      <c r="D475" s="104" t="s">
        <v>1991</v>
      </c>
      <c r="E475" s="105">
        <v>7449144522</v>
      </c>
      <c r="F475" s="27" t="s">
        <v>1992</v>
      </c>
      <c r="G475" s="27">
        <v>300</v>
      </c>
      <c r="H475" s="71"/>
      <c r="I475" s="72" t="s">
        <v>1993</v>
      </c>
      <c r="J475" s="71" t="s">
        <v>1994</v>
      </c>
      <c r="K475" s="133"/>
      <c r="L475" s="133"/>
      <c r="M475" s="72"/>
      <c r="N475" s="27" t="s">
        <v>106</v>
      </c>
      <c r="O475" s="27"/>
      <c r="P475" s="73"/>
      <c r="Q475" s="72" t="s">
        <v>1995</v>
      </c>
      <c r="R475" s="27"/>
      <c r="S475" s="27"/>
      <c r="T475" s="27"/>
      <c r="U475" s="27" t="s">
        <v>144</v>
      </c>
      <c r="V475" s="27"/>
      <c r="W475" s="27" t="s">
        <v>378</v>
      </c>
      <c r="X475" s="27"/>
      <c r="Y475" s="27"/>
      <c r="Z475" s="27"/>
      <c r="AA475" s="27"/>
      <c r="AB475" s="27"/>
      <c r="AC475" s="27"/>
      <c r="AD475" s="72"/>
      <c r="AE475" s="72"/>
    </row>
    <row r="476" spans="1:31" ht="30.75" customHeight="1">
      <c r="A476" s="27">
        <v>475</v>
      </c>
      <c r="B476" s="74">
        <v>46234</v>
      </c>
      <c r="C476" s="71" t="s">
        <v>1890</v>
      </c>
      <c r="D476" s="71"/>
      <c r="E476" s="27">
        <v>9789841481</v>
      </c>
      <c r="F476" s="27" t="s">
        <v>1996</v>
      </c>
      <c r="G476" s="27">
        <v>84</v>
      </c>
      <c r="H476" s="71"/>
      <c r="I476" s="132"/>
      <c r="J476" s="71" t="s">
        <v>1997</v>
      </c>
      <c r="K476" s="72"/>
      <c r="L476" s="72"/>
      <c r="M476" s="72"/>
      <c r="N476" s="27" t="s">
        <v>35</v>
      </c>
      <c r="O476" s="27"/>
      <c r="P476" s="73"/>
      <c r="Q476" s="72" t="s">
        <v>307</v>
      </c>
      <c r="R476" s="27"/>
      <c r="S476" s="27"/>
      <c r="T476" s="27"/>
      <c r="U476" s="27" t="s">
        <v>378</v>
      </c>
      <c r="V476" s="27"/>
      <c r="W476" s="27"/>
      <c r="X476" s="27"/>
      <c r="Y476" s="27"/>
      <c r="Z476" s="27"/>
      <c r="AA476" s="27"/>
      <c r="AB476" s="27"/>
      <c r="AC476" s="27"/>
      <c r="AD476" s="72"/>
      <c r="AE476" s="72"/>
    </row>
    <row r="477" spans="1:31" ht="26.25" customHeight="1">
      <c r="A477" s="27">
        <v>476</v>
      </c>
      <c r="B477" s="74">
        <v>46234</v>
      </c>
      <c r="C477" s="71" t="s">
        <v>1998</v>
      </c>
      <c r="D477" s="71"/>
      <c r="E477" s="27">
        <v>9894455400</v>
      </c>
      <c r="F477" s="27" t="s">
        <v>1999</v>
      </c>
      <c r="G477" s="27"/>
      <c r="H477" s="71"/>
      <c r="I477" s="71" t="s">
        <v>2000</v>
      </c>
      <c r="J477" s="71" t="s">
        <v>2001</v>
      </c>
      <c r="K477" s="72"/>
      <c r="L477" s="72"/>
      <c r="M477" s="72"/>
      <c r="N477" s="27" t="s">
        <v>106</v>
      </c>
      <c r="O477" s="27" t="s">
        <v>96</v>
      </c>
      <c r="P477" s="73"/>
      <c r="Q477" s="72" t="s">
        <v>307</v>
      </c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72"/>
      <c r="AE477" s="72"/>
    </row>
    <row r="478" spans="1:31" ht="26.25" customHeight="1">
      <c r="A478" s="27">
        <v>477</v>
      </c>
      <c r="B478" s="74">
        <v>46234</v>
      </c>
      <c r="C478" s="71" t="s">
        <v>1913</v>
      </c>
      <c r="D478" s="71"/>
      <c r="E478" s="27">
        <v>9443780523</v>
      </c>
      <c r="F478" s="27"/>
      <c r="G478" s="27"/>
      <c r="H478" s="71"/>
      <c r="I478" s="71"/>
      <c r="J478" s="71"/>
      <c r="K478" s="72"/>
      <c r="L478" s="72"/>
      <c r="M478" s="72"/>
      <c r="N478" s="27" t="s">
        <v>44</v>
      </c>
      <c r="O478" s="27"/>
      <c r="P478" s="73"/>
      <c r="Q478" s="72" t="s">
        <v>307</v>
      </c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72"/>
      <c r="AE478" s="72"/>
    </row>
    <row r="479" spans="1:31" ht="26.25" customHeight="1">
      <c r="A479" s="27">
        <v>478</v>
      </c>
      <c r="B479" s="74">
        <v>46234</v>
      </c>
      <c r="C479" s="71" t="s">
        <v>2002</v>
      </c>
      <c r="D479" s="71" t="s">
        <v>2003</v>
      </c>
      <c r="E479" s="27">
        <v>9790976191</v>
      </c>
      <c r="F479" s="27" t="s">
        <v>325</v>
      </c>
      <c r="G479" s="27">
        <v>2</v>
      </c>
      <c r="H479" s="71"/>
      <c r="I479" s="71"/>
      <c r="J479" s="71"/>
      <c r="K479" s="72"/>
      <c r="L479" s="72"/>
      <c r="M479" s="72"/>
      <c r="N479" s="27" t="s">
        <v>44</v>
      </c>
      <c r="O479" s="27"/>
      <c r="P479" s="73"/>
      <c r="Q479" s="72" t="s">
        <v>1111</v>
      </c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72"/>
      <c r="AE479" s="72"/>
    </row>
    <row r="480" spans="1:31" ht="30.75" customHeight="1">
      <c r="A480" s="27">
        <v>479</v>
      </c>
      <c r="B480" s="74">
        <v>46235</v>
      </c>
      <c r="C480" s="77" t="s">
        <v>2004</v>
      </c>
      <c r="D480" s="77"/>
      <c r="E480" s="29">
        <v>9443234515</v>
      </c>
      <c r="F480" s="29" t="s">
        <v>2005</v>
      </c>
      <c r="G480" s="29">
        <v>40</v>
      </c>
      <c r="H480" s="77"/>
      <c r="I480" s="77" t="s">
        <v>2000</v>
      </c>
      <c r="J480" s="77" t="s">
        <v>2006</v>
      </c>
      <c r="K480" s="79"/>
      <c r="L480" s="79" t="s">
        <v>2007</v>
      </c>
      <c r="M480" s="72"/>
      <c r="N480" s="27" t="s">
        <v>35</v>
      </c>
      <c r="O480" s="27"/>
      <c r="P480" s="134">
        <v>3600000</v>
      </c>
      <c r="Q480" s="72" t="s">
        <v>36</v>
      </c>
      <c r="R480" s="27"/>
      <c r="S480" s="27"/>
      <c r="T480" s="135" t="s">
        <v>712</v>
      </c>
      <c r="U480" s="27" t="s">
        <v>378</v>
      </c>
      <c r="V480" s="27"/>
      <c r="W480" s="27"/>
      <c r="X480" s="27"/>
      <c r="Y480" s="27"/>
      <c r="Z480" s="27"/>
      <c r="AA480" s="27"/>
      <c r="AB480" s="27"/>
      <c r="AC480" s="27"/>
      <c r="AD480" s="72"/>
      <c r="AE480" s="72"/>
    </row>
    <row r="481" spans="1:31" ht="33.75" customHeight="1">
      <c r="A481" s="27">
        <v>480</v>
      </c>
      <c r="B481" s="74">
        <v>46235</v>
      </c>
      <c r="C481" s="136" t="s">
        <v>2008</v>
      </c>
      <c r="D481" s="71" t="s">
        <v>2009</v>
      </c>
      <c r="E481" s="27">
        <f>916380401422</f>
        <v>916380401422</v>
      </c>
      <c r="F481" s="137" t="s">
        <v>48</v>
      </c>
      <c r="G481" s="137">
        <v>4</v>
      </c>
      <c r="H481" s="27"/>
      <c r="I481" s="27" t="s">
        <v>2010</v>
      </c>
      <c r="J481" s="71" t="s">
        <v>2011</v>
      </c>
      <c r="K481" s="138"/>
      <c r="L481" s="138"/>
      <c r="M481" s="138"/>
      <c r="N481" s="27" t="s">
        <v>35</v>
      </c>
      <c r="O481" s="27"/>
      <c r="P481" s="73" t="s">
        <v>2012</v>
      </c>
      <c r="Q481" s="72" t="s">
        <v>36</v>
      </c>
      <c r="R481" s="27"/>
      <c r="S481" s="27"/>
      <c r="T481" s="135" t="s">
        <v>712</v>
      </c>
      <c r="U481" s="27" t="s">
        <v>378</v>
      </c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 spans="1:31" ht="45.75" customHeight="1">
      <c r="A482" s="27">
        <v>481</v>
      </c>
      <c r="B482" s="74">
        <v>46235</v>
      </c>
      <c r="C482" s="136" t="s">
        <v>2013</v>
      </c>
      <c r="D482" s="71" t="s">
        <v>2014</v>
      </c>
      <c r="E482" s="135">
        <f>919884427463</f>
        <v>919884427463</v>
      </c>
      <c r="F482" s="137" t="s">
        <v>48</v>
      </c>
      <c r="G482" s="137" t="s">
        <v>2015</v>
      </c>
      <c r="H482" s="71"/>
      <c r="I482" s="139" t="s">
        <v>694</v>
      </c>
      <c r="J482" s="71" t="s">
        <v>2016</v>
      </c>
      <c r="K482" s="71"/>
      <c r="L482" s="71" t="s">
        <v>2017</v>
      </c>
      <c r="M482" s="27" t="s">
        <v>2018</v>
      </c>
      <c r="N482" s="27" t="s">
        <v>35</v>
      </c>
      <c r="O482" s="27"/>
      <c r="P482" s="73"/>
      <c r="Q482" s="72" t="s">
        <v>36</v>
      </c>
      <c r="R482" s="27"/>
      <c r="S482" s="27"/>
      <c r="T482" s="27" t="s">
        <v>736</v>
      </c>
      <c r="U482" s="27" t="s">
        <v>378</v>
      </c>
      <c r="V482" s="27"/>
      <c r="W482" s="27"/>
      <c r="X482" s="27"/>
      <c r="Y482" s="27"/>
      <c r="Z482" s="27"/>
      <c r="AA482" s="27"/>
      <c r="AB482" s="27"/>
      <c r="AC482" s="27"/>
      <c r="AD482" s="72"/>
      <c r="AE482" s="72"/>
    </row>
    <row r="483" spans="1:31" ht="15" customHeight="1">
      <c r="A483" s="27">
        <v>482</v>
      </c>
      <c r="B483" s="74">
        <v>46235</v>
      </c>
      <c r="C483" s="136" t="s">
        <v>2019</v>
      </c>
      <c r="D483" s="136" t="s">
        <v>2020</v>
      </c>
      <c r="E483" s="135">
        <f>919840049569</f>
        <v>919840049569</v>
      </c>
      <c r="F483" s="140" t="s">
        <v>2021</v>
      </c>
      <c r="G483" s="27">
        <v>200</v>
      </c>
      <c r="H483" s="71"/>
      <c r="I483" s="139" t="s">
        <v>699</v>
      </c>
      <c r="J483" s="71"/>
      <c r="K483" s="72"/>
      <c r="L483" s="72"/>
      <c r="M483" s="72"/>
      <c r="N483" s="27" t="s">
        <v>44</v>
      </c>
      <c r="O483" s="27"/>
      <c r="P483" s="73"/>
      <c r="Q483" s="72" t="s">
        <v>36</v>
      </c>
      <c r="R483" s="27"/>
      <c r="S483" s="27"/>
      <c r="T483" s="139" t="s">
        <v>712</v>
      </c>
      <c r="U483" s="27"/>
      <c r="V483" s="27"/>
      <c r="W483" s="27"/>
      <c r="X483" s="27"/>
      <c r="Y483" s="27"/>
      <c r="Z483" s="27"/>
      <c r="AA483" s="27"/>
      <c r="AB483" s="27"/>
      <c r="AC483" s="27"/>
      <c r="AD483" s="72"/>
      <c r="AE483" s="72"/>
    </row>
    <row r="484" spans="1:31" ht="15" customHeight="1">
      <c r="A484" s="27">
        <v>483</v>
      </c>
      <c r="B484" s="74">
        <v>46238</v>
      </c>
      <c r="C484" s="71" t="s">
        <v>204</v>
      </c>
      <c r="D484" s="71"/>
      <c r="E484" s="27">
        <f>918122114751</f>
        <v>918122114751</v>
      </c>
      <c r="F484" s="141" t="s">
        <v>2022</v>
      </c>
      <c r="G484" s="137"/>
      <c r="H484" s="71"/>
      <c r="I484" s="139" t="s">
        <v>1027</v>
      </c>
      <c r="J484" s="71" t="s">
        <v>2023</v>
      </c>
      <c r="K484" s="72"/>
      <c r="L484" s="72"/>
      <c r="M484" s="72"/>
      <c r="N484" s="27" t="s">
        <v>77</v>
      </c>
      <c r="O484" s="27"/>
      <c r="P484" s="73"/>
      <c r="Q484" s="72" t="s">
        <v>36</v>
      </c>
      <c r="R484" s="27"/>
      <c r="S484" s="27"/>
      <c r="T484" s="142" t="s">
        <v>502</v>
      </c>
      <c r="U484" s="27"/>
      <c r="V484" s="27"/>
      <c r="W484" s="27"/>
      <c r="X484" s="27"/>
      <c r="Y484" s="27"/>
      <c r="Z484" s="27"/>
      <c r="AA484" s="27"/>
      <c r="AB484" s="27"/>
      <c r="AC484" s="27"/>
      <c r="AD484" s="72"/>
      <c r="AE484" s="72"/>
    </row>
    <row r="485" spans="1:31" ht="15" customHeight="1">
      <c r="A485" s="27">
        <v>484</v>
      </c>
      <c r="B485" s="74">
        <v>46238</v>
      </c>
      <c r="C485" s="71" t="s">
        <v>2024</v>
      </c>
      <c r="D485" s="71"/>
      <c r="E485" s="27">
        <v>6369819142</v>
      </c>
      <c r="F485" s="27" t="s">
        <v>2025</v>
      </c>
      <c r="G485" s="27"/>
      <c r="H485" s="71"/>
      <c r="I485" s="71"/>
      <c r="J485" s="71" t="s">
        <v>1810</v>
      </c>
      <c r="K485" s="72"/>
      <c r="L485" s="72"/>
      <c r="M485" s="72"/>
      <c r="N485" s="27" t="s">
        <v>122</v>
      </c>
      <c r="O485" s="27"/>
      <c r="P485" s="73"/>
      <c r="Q485" s="72" t="s">
        <v>307</v>
      </c>
      <c r="R485" s="27"/>
      <c r="S485" s="27"/>
      <c r="T485" s="143"/>
      <c r="U485" s="27"/>
      <c r="V485" s="27"/>
      <c r="W485" s="27"/>
      <c r="X485" s="27"/>
      <c r="Y485" s="27"/>
      <c r="Z485" s="27"/>
      <c r="AA485" s="27"/>
      <c r="AB485" s="27"/>
      <c r="AC485" s="27"/>
      <c r="AD485" s="72"/>
      <c r="AE485" s="72"/>
    </row>
    <row r="486" spans="1:31" ht="15" customHeight="1">
      <c r="A486" s="27">
        <v>485</v>
      </c>
      <c r="B486" s="74">
        <v>46238</v>
      </c>
      <c r="C486" s="71" t="s">
        <v>2026</v>
      </c>
      <c r="D486" s="71"/>
      <c r="E486" s="27">
        <v>9600640840</v>
      </c>
      <c r="F486" s="27" t="s">
        <v>325</v>
      </c>
      <c r="G486" s="144"/>
      <c r="H486" s="71"/>
      <c r="I486" s="71"/>
      <c r="J486" s="71" t="s">
        <v>2027</v>
      </c>
      <c r="K486" s="72"/>
      <c r="L486" s="72"/>
      <c r="M486" s="72"/>
      <c r="N486" s="27" t="s">
        <v>122</v>
      </c>
      <c r="O486" s="27"/>
      <c r="P486" s="73"/>
      <c r="Q486" s="72" t="s">
        <v>307</v>
      </c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72"/>
      <c r="AE486" s="72"/>
    </row>
    <row r="487" spans="1:31" ht="15" customHeight="1">
      <c r="A487" s="27">
        <v>486</v>
      </c>
      <c r="B487" s="74">
        <v>46238</v>
      </c>
      <c r="C487" s="71" t="s">
        <v>416</v>
      </c>
      <c r="D487" s="71"/>
      <c r="E487" s="27">
        <v>9944925002</v>
      </c>
      <c r="F487" s="27"/>
      <c r="G487" s="27"/>
      <c r="H487" s="71"/>
      <c r="I487" s="71"/>
      <c r="J487" s="71" t="s">
        <v>1022</v>
      </c>
      <c r="K487" s="72"/>
      <c r="L487" s="72"/>
      <c r="M487" s="72"/>
      <c r="N487" s="27" t="s">
        <v>44</v>
      </c>
      <c r="O487" s="27"/>
      <c r="P487" s="73"/>
      <c r="Q487" s="72" t="s">
        <v>307</v>
      </c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72"/>
      <c r="AE487" s="72"/>
    </row>
    <row r="488" spans="1:31" ht="33" customHeight="1">
      <c r="A488" s="27">
        <v>487</v>
      </c>
      <c r="B488" s="74">
        <v>46238</v>
      </c>
      <c r="C488" s="71" t="s">
        <v>2028</v>
      </c>
      <c r="D488" s="71"/>
      <c r="E488" s="27">
        <v>9840069007</v>
      </c>
      <c r="F488" s="27" t="s">
        <v>2029</v>
      </c>
      <c r="G488" s="27"/>
      <c r="H488" s="71"/>
      <c r="I488" s="71"/>
      <c r="J488" s="71" t="s">
        <v>2030</v>
      </c>
      <c r="K488" s="72"/>
      <c r="L488" s="72" t="s">
        <v>2031</v>
      </c>
      <c r="M488" s="72"/>
      <c r="N488" s="27" t="s">
        <v>35</v>
      </c>
      <c r="O488" s="27"/>
      <c r="P488" s="73"/>
      <c r="Q488" s="72" t="s">
        <v>307</v>
      </c>
      <c r="R488" s="27"/>
      <c r="S488" s="27"/>
      <c r="T488" s="27"/>
      <c r="U488" s="27" t="s">
        <v>378</v>
      </c>
      <c r="V488" s="27"/>
      <c r="W488" s="27"/>
      <c r="X488" s="27"/>
      <c r="Y488" s="27"/>
      <c r="Z488" s="27"/>
      <c r="AA488" s="27"/>
      <c r="AB488" s="27"/>
      <c r="AC488" s="27"/>
      <c r="AD488" s="72"/>
      <c r="AE488" s="72"/>
    </row>
    <row r="489" spans="1:31" ht="15" customHeight="1">
      <c r="A489" s="27">
        <v>488</v>
      </c>
      <c r="B489" s="74">
        <v>46238</v>
      </c>
      <c r="C489" s="71" t="s">
        <v>2032</v>
      </c>
      <c r="D489" s="71"/>
      <c r="E489" s="27">
        <v>9344105709</v>
      </c>
      <c r="F489" s="27"/>
      <c r="G489" s="27"/>
      <c r="H489" s="71"/>
      <c r="I489" s="71"/>
      <c r="J489" s="71" t="s">
        <v>1810</v>
      </c>
      <c r="K489" s="72"/>
      <c r="L489" s="72"/>
      <c r="M489" s="72"/>
      <c r="N489" s="27" t="s">
        <v>122</v>
      </c>
      <c r="O489" s="27"/>
      <c r="P489" s="73"/>
      <c r="Q489" s="72" t="s">
        <v>307</v>
      </c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72"/>
      <c r="AE489" s="72"/>
    </row>
    <row r="490" spans="1:31" ht="15" customHeight="1">
      <c r="A490" s="27">
        <v>489</v>
      </c>
      <c r="B490" s="74">
        <v>46238</v>
      </c>
      <c r="C490" s="71" t="s">
        <v>2033</v>
      </c>
      <c r="D490" s="71"/>
      <c r="E490" s="27">
        <v>9940120003</v>
      </c>
      <c r="F490" s="27"/>
      <c r="G490" s="27"/>
      <c r="H490" s="71"/>
      <c r="I490" s="71"/>
      <c r="J490" s="71" t="s">
        <v>186</v>
      </c>
      <c r="K490" s="72"/>
      <c r="L490" s="72"/>
      <c r="M490" s="72"/>
      <c r="N490" s="27" t="s">
        <v>44</v>
      </c>
      <c r="O490" s="27"/>
      <c r="P490" s="73"/>
      <c r="Q490" s="72" t="s">
        <v>307</v>
      </c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72"/>
      <c r="AE490" s="72"/>
    </row>
    <row r="491" spans="1:31" ht="15" customHeight="1">
      <c r="A491" s="27">
        <v>490</v>
      </c>
      <c r="B491" s="74">
        <v>46238</v>
      </c>
      <c r="C491" s="71" t="s">
        <v>416</v>
      </c>
      <c r="D491" s="71"/>
      <c r="E491" s="27">
        <v>8098076774</v>
      </c>
      <c r="F491" s="27"/>
      <c r="G491" s="27"/>
      <c r="H491" s="71"/>
      <c r="I491" s="71"/>
      <c r="J491" s="71" t="s">
        <v>186</v>
      </c>
      <c r="K491" s="72"/>
      <c r="L491" s="72"/>
      <c r="M491" s="72"/>
      <c r="N491" s="27" t="s">
        <v>44</v>
      </c>
      <c r="O491" s="27"/>
      <c r="P491" s="73"/>
      <c r="Q491" s="72" t="s">
        <v>307</v>
      </c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72"/>
      <c r="AE491" s="72"/>
    </row>
    <row r="492" spans="1:31" ht="36.75" customHeight="1">
      <c r="A492" s="27">
        <v>491</v>
      </c>
      <c r="B492" s="74">
        <v>46238</v>
      </c>
      <c r="C492" s="71" t="s">
        <v>2034</v>
      </c>
      <c r="D492" s="71" t="s">
        <v>2035</v>
      </c>
      <c r="E492" s="27">
        <v>9489224379</v>
      </c>
      <c r="F492" s="27" t="s">
        <v>938</v>
      </c>
      <c r="G492" s="27">
        <v>100</v>
      </c>
      <c r="H492" s="71"/>
      <c r="I492" s="71"/>
      <c r="J492" s="71" t="s">
        <v>2036</v>
      </c>
      <c r="K492" s="72"/>
      <c r="L492" s="72"/>
      <c r="M492" s="72"/>
      <c r="N492" s="27" t="s">
        <v>35</v>
      </c>
      <c r="O492" s="27"/>
      <c r="P492" s="73"/>
      <c r="Q492" s="72" t="s">
        <v>1111</v>
      </c>
      <c r="R492" s="27"/>
      <c r="S492" s="27"/>
      <c r="T492" s="27" t="s">
        <v>704</v>
      </c>
      <c r="U492" s="27" t="s">
        <v>38</v>
      </c>
      <c r="V492" s="27"/>
      <c r="W492" s="27"/>
      <c r="X492" s="27"/>
      <c r="Y492" s="27"/>
      <c r="Z492" s="27"/>
      <c r="AA492" s="27"/>
      <c r="AB492" s="27"/>
      <c r="AC492" s="27"/>
      <c r="AD492" s="72"/>
      <c r="AE492" s="72"/>
    </row>
    <row r="493" spans="1:31" ht="15.75" customHeight="1">
      <c r="A493" s="27">
        <v>492</v>
      </c>
      <c r="B493" s="74">
        <v>46238</v>
      </c>
      <c r="C493" s="71" t="s">
        <v>2037</v>
      </c>
      <c r="D493" s="71" t="s">
        <v>2038</v>
      </c>
      <c r="E493" s="27">
        <v>8590595405</v>
      </c>
      <c r="F493" s="27" t="s">
        <v>2039</v>
      </c>
      <c r="G493" s="27">
        <v>10</v>
      </c>
      <c r="H493" s="71"/>
      <c r="I493" s="71" t="s">
        <v>1469</v>
      </c>
      <c r="J493" s="71" t="s">
        <v>2040</v>
      </c>
      <c r="K493" s="72"/>
      <c r="L493" s="72" t="s">
        <v>2041</v>
      </c>
      <c r="M493" s="72"/>
      <c r="N493" s="27" t="s">
        <v>35</v>
      </c>
      <c r="O493" s="27"/>
      <c r="P493" s="73"/>
      <c r="Q493" s="72" t="s">
        <v>1111</v>
      </c>
      <c r="R493" s="27"/>
      <c r="S493" s="27"/>
      <c r="T493" s="27" t="s">
        <v>704</v>
      </c>
      <c r="U493" s="27" t="s">
        <v>38</v>
      </c>
      <c r="V493" s="27"/>
      <c r="W493" s="27"/>
      <c r="X493" s="27"/>
      <c r="Y493" s="27"/>
      <c r="Z493" s="27"/>
      <c r="AA493" s="27"/>
      <c r="AB493" s="27"/>
      <c r="AC493" s="27"/>
      <c r="AD493" s="72"/>
      <c r="AE493" s="72"/>
    </row>
    <row r="494" spans="1:31" ht="15.75" customHeight="1">
      <c r="A494" s="27">
        <v>493</v>
      </c>
      <c r="B494" s="74">
        <v>46238</v>
      </c>
      <c r="C494" s="71" t="s">
        <v>2042</v>
      </c>
      <c r="D494" s="71"/>
      <c r="E494" s="27">
        <v>9443306339</v>
      </c>
      <c r="F494" s="27" t="s">
        <v>87</v>
      </c>
      <c r="G494" s="27">
        <v>6</v>
      </c>
      <c r="H494" s="71"/>
      <c r="I494" s="71"/>
      <c r="J494" s="71" t="s">
        <v>2043</v>
      </c>
      <c r="K494" s="72"/>
      <c r="L494" s="72"/>
      <c r="M494" s="72"/>
      <c r="N494" s="27" t="s">
        <v>122</v>
      </c>
      <c r="O494" s="27"/>
      <c r="P494" s="73"/>
      <c r="Q494" s="72" t="s">
        <v>307</v>
      </c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72"/>
      <c r="AE494" s="72"/>
    </row>
    <row r="495" spans="1:31" ht="15.75" customHeight="1">
      <c r="A495" s="27">
        <v>494</v>
      </c>
      <c r="B495" s="74">
        <v>46238</v>
      </c>
      <c r="C495" s="71" t="s">
        <v>2044</v>
      </c>
      <c r="D495" s="71" t="s">
        <v>2044</v>
      </c>
      <c r="E495" s="27">
        <v>9940588291</v>
      </c>
      <c r="F495" s="27" t="s">
        <v>2045</v>
      </c>
      <c r="G495" s="27">
        <v>36</v>
      </c>
      <c r="H495" s="71"/>
      <c r="I495" s="71"/>
      <c r="J495" s="71" t="s">
        <v>2046</v>
      </c>
      <c r="K495" s="72"/>
      <c r="L495" s="72"/>
      <c r="M495" s="72"/>
      <c r="N495" s="27" t="s">
        <v>35</v>
      </c>
      <c r="O495" s="27"/>
      <c r="P495" s="73"/>
      <c r="Q495" s="72" t="s">
        <v>307</v>
      </c>
      <c r="R495" s="27"/>
      <c r="S495" s="27"/>
      <c r="T495" s="27" t="s">
        <v>2047</v>
      </c>
      <c r="U495" s="27" t="s">
        <v>378</v>
      </c>
      <c r="V495" s="27"/>
      <c r="W495" s="27"/>
      <c r="X495" s="27"/>
      <c r="Y495" s="27"/>
      <c r="Z495" s="27"/>
      <c r="AA495" s="27"/>
      <c r="AB495" s="27"/>
      <c r="AC495" s="27"/>
      <c r="AD495" s="72"/>
      <c r="AE495" s="72"/>
    </row>
    <row r="496" spans="1:31" ht="15.75" customHeight="1">
      <c r="A496" s="27">
        <v>495</v>
      </c>
      <c r="B496" s="74">
        <v>46239</v>
      </c>
      <c r="C496" s="71" t="s">
        <v>2048</v>
      </c>
      <c r="D496" s="71" t="s">
        <v>2049</v>
      </c>
      <c r="E496" s="27">
        <v>9996868155</v>
      </c>
      <c r="F496" s="27" t="s">
        <v>1035</v>
      </c>
      <c r="G496" s="27">
        <v>10</v>
      </c>
      <c r="H496" s="71"/>
      <c r="I496" s="85" t="s">
        <v>1629</v>
      </c>
      <c r="J496" s="71" t="s">
        <v>2050</v>
      </c>
      <c r="K496" s="72"/>
      <c r="L496" s="72"/>
      <c r="M496" s="72"/>
      <c r="N496" s="27" t="s">
        <v>35</v>
      </c>
      <c r="O496" s="27"/>
      <c r="P496" s="73"/>
      <c r="Q496" s="72" t="s">
        <v>1111</v>
      </c>
      <c r="R496" s="27"/>
      <c r="S496" s="27"/>
      <c r="T496" s="27"/>
      <c r="U496" s="27" t="s">
        <v>38</v>
      </c>
      <c r="V496" s="27"/>
      <c r="W496" s="27"/>
      <c r="X496" s="27"/>
      <c r="Y496" s="27"/>
      <c r="Z496" s="27"/>
      <c r="AA496" s="27"/>
      <c r="AB496" s="27"/>
      <c r="AC496" s="27"/>
      <c r="AD496" s="72" t="s">
        <v>2051</v>
      </c>
      <c r="AE496" s="72"/>
    </row>
    <row r="497" spans="1:31" ht="15.75" customHeight="1">
      <c r="A497" s="27">
        <v>496</v>
      </c>
      <c r="B497" s="74">
        <v>46239</v>
      </c>
      <c r="C497" s="71" t="s">
        <v>2052</v>
      </c>
      <c r="D497" s="71"/>
      <c r="E497" s="27">
        <v>7010009330</v>
      </c>
      <c r="F497" s="27" t="s">
        <v>48</v>
      </c>
      <c r="G497" s="27">
        <v>2</v>
      </c>
      <c r="H497" s="71"/>
      <c r="I497" s="71" t="s">
        <v>2053</v>
      </c>
      <c r="J497" s="71" t="s">
        <v>2054</v>
      </c>
      <c r="K497" s="72"/>
      <c r="L497" s="72"/>
      <c r="M497" s="72"/>
      <c r="N497" s="27" t="s">
        <v>122</v>
      </c>
      <c r="O497" s="27"/>
      <c r="P497" s="73"/>
      <c r="Q497" s="72" t="s">
        <v>1111</v>
      </c>
      <c r="R497" s="27"/>
      <c r="S497" s="27"/>
      <c r="T497" s="27"/>
      <c r="U497" s="27" t="s">
        <v>38</v>
      </c>
      <c r="V497" s="27"/>
      <c r="W497" s="27"/>
      <c r="X497" s="27"/>
      <c r="Y497" s="27"/>
      <c r="Z497" s="27"/>
      <c r="AA497" s="27"/>
      <c r="AB497" s="27"/>
      <c r="AC497" s="27"/>
      <c r="AD497" s="72" t="s">
        <v>2055</v>
      </c>
      <c r="AE497" s="72"/>
    </row>
    <row r="498" spans="1:31" ht="15.75" customHeight="1">
      <c r="A498" s="27">
        <v>497</v>
      </c>
      <c r="B498" s="74">
        <v>46239</v>
      </c>
      <c r="C498" s="71" t="s">
        <v>2056</v>
      </c>
      <c r="D498" s="71" t="s">
        <v>2057</v>
      </c>
      <c r="E498" s="145">
        <v>8757777748</v>
      </c>
      <c r="F498" s="27" t="s">
        <v>287</v>
      </c>
      <c r="G498" s="27">
        <v>10</v>
      </c>
      <c r="H498" s="71"/>
      <c r="I498" s="71" t="s">
        <v>1629</v>
      </c>
      <c r="J498" s="71" t="s">
        <v>2058</v>
      </c>
      <c r="K498" s="72"/>
      <c r="L498" s="72"/>
      <c r="M498" s="72"/>
      <c r="N498" s="27" t="s">
        <v>35</v>
      </c>
      <c r="O498" s="27" t="str">
        <f ca="1">IFERROR(__xludf.DUMMYFUNCTION("AI(""Fill an appropriate value for this cell based on the table context"")"),"")</f>
        <v/>
      </c>
      <c r="P498" s="73"/>
      <c r="Q498" s="72" t="s">
        <v>1539</v>
      </c>
      <c r="R498" s="27"/>
      <c r="S498" s="27"/>
      <c r="T498" s="27"/>
      <c r="U498" s="27" t="s">
        <v>38</v>
      </c>
      <c r="V498" s="27"/>
      <c r="W498" s="27"/>
      <c r="X498" s="27"/>
      <c r="Y498" s="27"/>
      <c r="Z498" s="27"/>
      <c r="AA498" s="27"/>
      <c r="AB498" s="27"/>
      <c r="AC498" s="27"/>
      <c r="AD498" s="72"/>
      <c r="AE498" s="72"/>
    </row>
    <row r="499" spans="1:31" ht="36.75" customHeight="1">
      <c r="A499" s="27">
        <v>498</v>
      </c>
      <c r="B499" s="74">
        <v>46239</v>
      </c>
      <c r="C499" s="77" t="s">
        <v>2059</v>
      </c>
      <c r="D499" s="77" t="s">
        <v>2060</v>
      </c>
      <c r="E499" s="29" t="s">
        <v>2061</v>
      </c>
      <c r="F499" s="29" t="s">
        <v>2062</v>
      </c>
      <c r="G499" s="29" t="s">
        <v>2063</v>
      </c>
      <c r="H499" s="77" t="s">
        <v>1629</v>
      </c>
      <c r="I499" s="77" t="s">
        <v>2064</v>
      </c>
      <c r="J499" s="77" t="s">
        <v>2065</v>
      </c>
      <c r="K499" s="79" t="s">
        <v>2066</v>
      </c>
      <c r="L499" s="79" t="s">
        <v>2067</v>
      </c>
      <c r="M499" s="79" t="s">
        <v>2068</v>
      </c>
      <c r="N499" s="27" t="s">
        <v>329</v>
      </c>
      <c r="O499" s="27"/>
      <c r="P499" s="73"/>
      <c r="Q499" s="72" t="s">
        <v>2069</v>
      </c>
      <c r="R499" s="27"/>
      <c r="S499" s="27"/>
      <c r="T499" s="27" t="s">
        <v>1629</v>
      </c>
      <c r="U499" s="27" t="s">
        <v>38</v>
      </c>
      <c r="V499" s="27"/>
      <c r="W499" s="27"/>
      <c r="X499" s="27"/>
      <c r="Y499" s="27"/>
      <c r="Z499" s="27"/>
      <c r="AA499" s="27"/>
      <c r="AB499" s="27"/>
      <c r="AC499" s="27"/>
      <c r="AD499" s="72"/>
      <c r="AE499" s="72"/>
    </row>
    <row r="500" spans="1:31" ht="15.75" customHeight="1">
      <c r="A500" s="27">
        <v>499</v>
      </c>
      <c r="B500" s="74">
        <v>46240</v>
      </c>
      <c r="C500" s="83" t="s">
        <v>2070</v>
      </c>
      <c r="D500" s="71" t="s">
        <v>2071</v>
      </c>
      <c r="E500" s="84"/>
      <c r="F500" s="27" t="s">
        <v>48</v>
      </c>
      <c r="G500" s="27"/>
      <c r="H500" s="71"/>
      <c r="I500" s="71" t="s">
        <v>2064</v>
      </c>
      <c r="J500" s="71" t="s">
        <v>2072</v>
      </c>
      <c r="K500" s="72"/>
      <c r="L500" s="72"/>
      <c r="M500" s="72"/>
      <c r="N500" s="27" t="s">
        <v>35</v>
      </c>
      <c r="O500" s="27"/>
      <c r="P500" s="73"/>
      <c r="Q500" s="72" t="s">
        <v>479</v>
      </c>
      <c r="R500" s="27"/>
      <c r="S500" s="27"/>
      <c r="T500" s="27"/>
      <c r="U500" s="27" t="s">
        <v>378</v>
      </c>
      <c r="V500" s="27"/>
      <c r="W500" s="27" t="s">
        <v>173</v>
      </c>
      <c r="X500" s="27"/>
      <c r="Y500" s="27"/>
      <c r="Z500" s="27"/>
      <c r="AA500" s="27"/>
      <c r="AB500" s="27"/>
      <c r="AC500" s="27"/>
      <c r="AD500" s="72"/>
      <c r="AE500" s="72"/>
    </row>
    <row r="501" spans="1:31" ht="15.75" customHeight="1">
      <c r="A501" s="27">
        <v>500</v>
      </c>
      <c r="B501" s="74">
        <v>46241</v>
      </c>
      <c r="C501" s="71" t="s">
        <v>2073</v>
      </c>
      <c r="D501" s="71" t="s">
        <v>2074</v>
      </c>
      <c r="E501" s="27">
        <v>9952333912</v>
      </c>
      <c r="F501" s="27" t="s">
        <v>2075</v>
      </c>
      <c r="G501" s="27"/>
      <c r="H501" s="71"/>
      <c r="I501" s="71" t="s">
        <v>1629</v>
      </c>
      <c r="J501" s="71" t="s">
        <v>2076</v>
      </c>
      <c r="K501" s="72"/>
      <c r="L501" s="72"/>
      <c r="M501" s="72"/>
      <c r="N501" s="27" t="s">
        <v>35</v>
      </c>
      <c r="O501" s="27"/>
      <c r="P501" s="73"/>
      <c r="Q501" s="72" t="s">
        <v>307</v>
      </c>
      <c r="R501" s="27"/>
      <c r="S501" s="27"/>
      <c r="T501" s="27"/>
      <c r="U501" s="27" t="s">
        <v>378</v>
      </c>
      <c r="V501" s="27"/>
      <c r="W501" s="27"/>
      <c r="X501" s="27"/>
      <c r="Y501" s="27"/>
      <c r="Z501" s="27"/>
      <c r="AA501" s="27"/>
      <c r="AB501" s="27"/>
      <c r="AC501" s="27"/>
      <c r="AD501" s="72"/>
      <c r="AE501" s="72"/>
    </row>
    <row r="502" spans="1:31" ht="15.75" customHeight="1">
      <c r="A502" s="27">
        <v>501</v>
      </c>
      <c r="B502" s="74">
        <v>46241</v>
      </c>
      <c r="C502" s="71" t="s">
        <v>2033</v>
      </c>
      <c r="D502" s="71" t="s">
        <v>2077</v>
      </c>
      <c r="E502" s="27">
        <v>9442411868</v>
      </c>
      <c r="F502" s="27" t="s">
        <v>947</v>
      </c>
      <c r="G502" s="27">
        <v>10</v>
      </c>
      <c r="H502" s="71" t="s">
        <v>694</v>
      </c>
      <c r="I502" s="71" t="s">
        <v>736</v>
      </c>
      <c r="J502" s="71" t="s">
        <v>2078</v>
      </c>
      <c r="K502" s="72"/>
      <c r="L502" s="72"/>
      <c r="M502" s="72"/>
      <c r="N502" s="27" t="s">
        <v>35</v>
      </c>
      <c r="O502" s="27"/>
      <c r="P502" s="73"/>
      <c r="Q502" s="72" t="s">
        <v>36</v>
      </c>
      <c r="R502" s="27"/>
      <c r="S502" s="27"/>
      <c r="T502" s="27" t="s">
        <v>736</v>
      </c>
      <c r="U502" s="27"/>
      <c r="V502" s="27"/>
      <c r="W502" s="27"/>
      <c r="X502" s="27"/>
      <c r="Y502" s="27"/>
      <c r="Z502" s="27"/>
      <c r="AA502" s="27"/>
      <c r="AB502" s="27"/>
      <c r="AC502" s="27"/>
      <c r="AD502" s="72"/>
      <c r="AE502" s="72"/>
    </row>
    <row r="503" spans="1:31" ht="15.75" customHeight="1">
      <c r="A503" s="27">
        <v>502</v>
      </c>
      <c r="B503" s="74">
        <v>46241</v>
      </c>
      <c r="C503" s="71" t="s">
        <v>2079</v>
      </c>
      <c r="D503" s="71" t="s">
        <v>2080</v>
      </c>
      <c r="E503" s="27">
        <v>9042840128</v>
      </c>
      <c r="F503" s="27" t="s">
        <v>184</v>
      </c>
      <c r="G503" s="27">
        <v>25</v>
      </c>
      <c r="H503" s="71" t="s">
        <v>772</v>
      </c>
      <c r="I503" s="71" t="s">
        <v>736</v>
      </c>
      <c r="J503" s="71" t="s">
        <v>2081</v>
      </c>
      <c r="K503" s="72"/>
      <c r="L503" s="72"/>
      <c r="M503" s="72"/>
      <c r="N503" s="27" t="s">
        <v>35</v>
      </c>
      <c r="O503" s="27"/>
      <c r="P503" s="73"/>
      <c r="Q503" s="72" t="s">
        <v>36</v>
      </c>
      <c r="R503" s="27"/>
      <c r="S503" s="27"/>
      <c r="T503" s="135" t="s">
        <v>712</v>
      </c>
      <c r="U503" s="27"/>
      <c r="V503" s="27"/>
      <c r="W503" s="27"/>
      <c r="X503" s="27"/>
      <c r="Y503" s="27"/>
      <c r="Z503" s="27"/>
      <c r="AA503" s="27"/>
      <c r="AB503" s="27"/>
      <c r="AC503" s="27"/>
      <c r="AD503" s="72"/>
      <c r="AE503" s="72"/>
    </row>
    <row r="504" spans="1:31" ht="15.75" customHeight="1">
      <c r="A504" s="27">
        <v>503</v>
      </c>
      <c r="B504" s="74">
        <v>46241</v>
      </c>
      <c r="C504" s="71" t="s">
        <v>2082</v>
      </c>
      <c r="D504" s="71" t="s">
        <v>2083</v>
      </c>
      <c r="E504" s="27">
        <v>9842171043</v>
      </c>
      <c r="F504" s="27" t="s">
        <v>48</v>
      </c>
      <c r="G504" s="27">
        <v>50</v>
      </c>
      <c r="H504" s="71" t="s">
        <v>981</v>
      </c>
      <c r="I504" s="71" t="s">
        <v>736</v>
      </c>
      <c r="J504" s="71" t="s">
        <v>2084</v>
      </c>
      <c r="K504" s="72"/>
      <c r="L504" s="72"/>
      <c r="M504" s="72"/>
      <c r="N504" s="27" t="s">
        <v>35</v>
      </c>
      <c r="O504" s="27"/>
      <c r="P504" s="73"/>
      <c r="Q504" s="72" t="s">
        <v>36</v>
      </c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72"/>
      <c r="AE504" s="72"/>
    </row>
    <row r="505" spans="1:31" ht="15.75" customHeight="1">
      <c r="A505" s="27">
        <v>504</v>
      </c>
      <c r="B505" s="74">
        <v>46241</v>
      </c>
      <c r="C505" s="71" t="s">
        <v>2085</v>
      </c>
      <c r="D505" s="71"/>
      <c r="E505" s="27">
        <v>9849559495</v>
      </c>
      <c r="F505" s="27" t="s">
        <v>316</v>
      </c>
      <c r="G505" s="27">
        <v>20</v>
      </c>
      <c r="H505" s="71"/>
      <c r="I505" s="71" t="s">
        <v>2086</v>
      </c>
      <c r="J505" s="71" t="s">
        <v>2087</v>
      </c>
      <c r="K505" s="72"/>
      <c r="L505" s="72"/>
      <c r="M505" s="72"/>
      <c r="N505" s="27" t="s">
        <v>35</v>
      </c>
      <c r="O505" s="27"/>
      <c r="P505" s="73"/>
      <c r="Q505" s="72" t="s">
        <v>307</v>
      </c>
      <c r="R505" s="27"/>
      <c r="S505" s="27"/>
      <c r="T505" s="27"/>
      <c r="U505" s="27" t="s">
        <v>173</v>
      </c>
      <c r="V505" s="27"/>
      <c r="W505" s="27" t="s">
        <v>63</v>
      </c>
      <c r="X505" s="27"/>
      <c r="Y505" s="27"/>
      <c r="Z505" s="27"/>
      <c r="AA505" s="27"/>
      <c r="AB505" s="27"/>
      <c r="AC505" s="27"/>
      <c r="AD505" s="72"/>
      <c r="AE505" s="72"/>
    </row>
    <row r="506" spans="1:31" ht="15.75" customHeight="1">
      <c r="A506" s="27">
        <v>505</v>
      </c>
      <c r="B506" s="74">
        <v>46242</v>
      </c>
      <c r="C506" s="71" t="s">
        <v>2088</v>
      </c>
      <c r="D506" s="71" t="s">
        <v>2089</v>
      </c>
      <c r="E506" s="27">
        <v>918593076595</v>
      </c>
      <c r="F506" s="27" t="s">
        <v>2090</v>
      </c>
      <c r="G506" s="27">
        <v>100</v>
      </c>
      <c r="H506" s="71" t="s">
        <v>887</v>
      </c>
      <c r="I506" s="71" t="s">
        <v>700</v>
      </c>
      <c r="J506" s="71" t="s">
        <v>2091</v>
      </c>
      <c r="K506" s="72"/>
      <c r="L506" s="72"/>
      <c r="M506" s="72"/>
      <c r="N506" s="27" t="s">
        <v>35</v>
      </c>
      <c r="O506" s="27"/>
      <c r="P506" s="73"/>
      <c r="Q506" s="72" t="s">
        <v>36</v>
      </c>
      <c r="R506" s="27"/>
      <c r="S506" s="27"/>
      <c r="T506" s="27"/>
      <c r="U506" s="27" t="s">
        <v>38</v>
      </c>
      <c r="V506" s="27"/>
      <c r="W506" s="27"/>
      <c r="X506" s="27"/>
      <c r="Y506" s="27"/>
      <c r="Z506" s="27"/>
      <c r="AA506" s="27"/>
      <c r="AB506" s="27"/>
      <c r="AC506" s="27"/>
      <c r="AD506" s="72"/>
      <c r="AE506" s="72"/>
    </row>
    <row r="507" spans="1:31" ht="63" customHeight="1">
      <c r="A507" s="27">
        <v>506</v>
      </c>
      <c r="B507" s="74">
        <v>46242</v>
      </c>
      <c r="C507" s="77" t="s">
        <v>2092</v>
      </c>
      <c r="D507" s="77" t="s">
        <v>2093</v>
      </c>
      <c r="E507" s="29" t="s">
        <v>2094</v>
      </c>
      <c r="F507" s="29" t="s">
        <v>2095</v>
      </c>
      <c r="G507" s="29">
        <v>32</v>
      </c>
      <c r="H507" s="77" t="s">
        <v>887</v>
      </c>
      <c r="I507" s="77" t="s">
        <v>700</v>
      </c>
      <c r="J507" s="77" t="s">
        <v>2096</v>
      </c>
      <c r="K507" s="79"/>
      <c r="L507" s="79" t="s">
        <v>2097</v>
      </c>
      <c r="M507" s="72"/>
      <c r="N507" s="27" t="s">
        <v>35</v>
      </c>
      <c r="O507" s="27"/>
      <c r="P507" s="73"/>
      <c r="Q507" s="72" t="s">
        <v>36</v>
      </c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72"/>
      <c r="AE507" s="72"/>
    </row>
    <row r="508" spans="1:31" ht="15.75" customHeight="1">
      <c r="A508" s="86">
        <v>507</v>
      </c>
      <c r="B508" s="74">
        <v>46242</v>
      </c>
      <c r="C508" s="71" t="s">
        <v>2098</v>
      </c>
      <c r="D508" s="71" t="s">
        <v>2099</v>
      </c>
      <c r="E508" s="27">
        <v>917708437460</v>
      </c>
      <c r="F508" s="27" t="s">
        <v>938</v>
      </c>
      <c r="G508" s="27"/>
      <c r="H508" s="71" t="s">
        <v>887</v>
      </c>
      <c r="I508" s="71" t="s">
        <v>2100</v>
      </c>
      <c r="J508" s="71" t="s">
        <v>2101</v>
      </c>
      <c r="K508" s="72"/>
      <c r="L508" s="72" t="s">
        <v>2102</v>
      </c>
      <c r="M508" s="72"/>
      <c r="N508" s="27" t="s">
        <v>35</v>
      </c>
      <c r="O508" s="27"/>
      <c r="P508" s="73"/>
      <c r="Q508" s="72" t="s">
        <v>36</v>
      </c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72"/>
      <c r="AE508" s="72"/>
    </row>
    <row r="509" spans="1:31" ht="15.75" customHeight="1">
      <c r="A509" s="27">
        <v>508</v>
      </c>
      <c r="B509" s="74">
        <v>46242</v>
      </c>
      <c r="C509" s="71" t="s">
        <v>2103</v>
      </c>
      <c r="D509" s="71" t="s">
        <v>2104</v>
      </c>
      <c r="E509" s="27">
        <v>919443018123</v>
      </c>
      <c r="F509" s="27" t="s">
        <v>2105</v>
      </c>
      <c r="G509" s="27">
        <v>100</v>
      </c>
      <c r="H509" s="71" t="s">
        <v>887</v>
      </c>
      <c r="I509" s="71" t="s">
        <v>700</v>
      </c>
      <c r="J509" s="71" t="s">
        <v>2101</v>
      </c>
      <c r="K509" s="72"/>
      <c r="L509" s="72" t="s">
        <v>2102</v>
      </c>
      <c r="M509" s="72"/>
      <c r="N509" s="27" t="s">
        <v>35</v>
      </c>
      <c r="O509" s="27"/>
      <c r="P509" s="73"/>
      <c r="Q509" s="72" t="s">
        <v>36</v>
      </c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72"/>
      <c r="AE509" s="72"/>
    </row>
    <row r="510" spans="1:31" ht="15.75" customHeight="1">
      <c r="A510" s="27">
        <v>509</v>
      </c>
      <c r="B510" s="74">
        <v>46242</v>
      </c>
      <c r="C510" s="71" t="s">
        <v>2106</v>
      </c>
      <c r="D510" s="71" t="s">
        <v>2107</v>
      </c>
      <c r="E510" s="27">
        <v>919447537137</v>
      </c>
      <c r="F510" s="27" t="s">
        <v>834</v>
      </c>
      <c r="G510" s="27">
        <v>10</v>
      </c>
      <c r="H510" s="71" t="s">
        <v>2108</v>
      </c>
      <c r="I510" s="71" t="s">
        <v>2086</v>
      </c>
      <c r="J510" s="71" t="s">
        <v>2101</v>
      </c>
      <c r="K510" s="72"/>
      <c r="L510" s="72" t="s">
        <v>2102</v>
      </c>
      <c r="M510" s="72"/>
      <c r="N510" s="27" t="s">
        <v>35</v>
      </c>
      <c r="O510" s="27"/>
      <c r="P510" s="73"/>
      <c r="Q510" s="72" t="s">
        <v>36</v>
      </c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72"/>
      <c r="AE510" s="72"/>
    </row>
    <row r="511" spans="1:31" ht="15.75" customHeight="1">
      <c r="A511" s="27">
        <v>510</v>
      </c>
      <c r="B511" s="74">
        <v>46242</v>
      </c>
      <c r="C511" s="71" t="s">
        <v>2109</v>
      </c>
      <c r="D511" s="71" t="s">
        <v>731</v>
      </c>
      <c r="E511" s="27">
        <v>919443044733</v>
      </c>
      <c r="F511" s="27" t="s">
        <v>2110</v>
      </c>
      <c r="G511" s="27">
        <v>100</v>
      </c>
      <c r="H511" s="71" t="s">
        <v>703</v>
      </c>
      <c r="I511" s="71" t="s">
        <v>736</v>
      </c>
      <c r="J511" s="71" t="s">
        <v>2101</v>
      </c>
      <c r="K511" s="72"/>
      <c r="L511" s="72" t="s">
        <v>2102</v>
      </c>
      <c r="M511" s="72"/>
      <c r="N511" s="27" t="s">
        <v>35</v>
      </c>
      <c r="O511" s="27"/>
      <c r="P511" s="73"/>
      <c r="Q511" s="72" t="s">
        <v>36</v>
      </c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72"/>
      <c r="AE511" s="72"/>
    </row>
    <row r="512" spans="1:31" ht="36" customHeight="1">
      <c r="A512" s="27">
        <v>511</v>
      </c>
      <c r="B512" s="74">
        <v>46242</v>
      </c>
      <c r="C512" s="71" t="s">
        <v>2111</v>
      </c>
      <c r="D512" s="71" t="s">
        <v>2112</v>
      </c>
      <c r="E512" s="27">
        <v>919844800534</v>
      </c>
      <c r="F512" s="27" t="s">
        <v>110</v>
      </c>
      <c r="G512" s="27">
        <v>200</v>
      </c>
      <c r="H512" s="71" t="s">
        <v>694</v>
      </c>
      <c r="I512" s="71" t="s">
        <v>2086</v>
      </c>
      <c r="J512" s="71" t="s">
        <v>2113</v>
      </c>
      <c r="K512" s="72"/>
      <c r="L512" s="72"/>
      <c r="M512" s="72"/>
      <c r="N512" s="27" t="s">
        <v>35</v>
      </c>
      <c r="O512" s="27"/>
      <c r="P512" s="73"/>
      <c r="Q512" s="72" t="s">
        <v>36</v>
      </c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72"/>
      <c r="AE512" s="72"/>
    </row>
    <row r="513" spans="1:31" ht="15.75" customHeight="1">
      <c r="A513" s="27">
        <v>512</v>
      </c>
      <c r="B513" s="74">
        <v>46242</v>
      </c>
      <c r="C513" s="71" t="s">
        <v>2114</v>
      </c>
      <c r="D513" s="71"/>
      <c r="E513" s="27">
        <v>919843666267</v>
      </c>
      <c r="F513" s="27" t="s">
        <v>2115</v>
      </c>
      <c r="G513" s="27">
        <v>20</v>
      </c>
      <c r="H513" s="71" t="s">
        <v>2108</v>
      </c>
      <c r="I513" s="71" t="s">
        <v>2086</v>
      </c>
      <c r="J513" s="71" t="s">
        <v>186</v>
      </c>
      <c r="K513" s="72"/>
      <c r="L513" s="72"/>
      <c r="M513" s="72"/>
      <c r="N513" s="27" t="s">
        <v>44</v>
      </c>
      <c r="O513" s="27"/>
      <c r="P513" s="73"/>
      <c r="Q513" s="72" t="s">
        <v>36</v>
      </c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72"/>
      <c r="AE513" s="72"/>
    </row>
    <row r="514" spans="1:31" ht="15.75" customHeight="1">
      <c r="A514" s="27">
        <v>513</v>
      </c>
      <c r="B514" s="74">
        <v>46242</v>
      </c>
      <c r="C514" s="71" t="s">
        <v>2116</v>
      </c>
      <c r="D514" s="71" t="s">
        <v>2117</v>
      </c>
      <c r="E514" s="27">
        <v>919500000688</v>
      </c>
      <c r="F514" s="27" t="s">
        <v>48</v>
      </c>
      <c r="G514" s="27">
        <v>2</v>
      </c>
      <c r="H514" s="71" t="s">
        <v>2108</v>
      </c>
      <c r="I514" s="71" t="s">
        <v>2086</v>
      </c>
      <c r="J514" s="71" t="s">
        <v>186</v>
      </c>
      <c r="K514" s="72"/>
      <c r="L514" s="72"/>
      <c r="M514" s="72"/>
      <c r="N514" s="27" t="s">
        <v>44</v>
      </c>
      <c r="O514" s="27"/>
      <c r="P514" s="73"/>
      <c r="Q514" s="72" t="s">
        <v>36</v>
      </c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72"/>
      <c r="AE514" s="72"/>
    </row>
    <row r="515" spans="1:31" ht="54" customHeight="1">
      <c r="A515" s="27">
        <v>514</v>
      </c>
      <c r="B515" s="74">
        <v>46242</v>
      </c>
      <c r="C515" s="71" t="s">
        <v>2118</v>
      </c>
      <c r="D515" s="71" t="s">
        <v>2119</v>
      </c>
      <c r="E515" s="27">
        <v>919087782155</v>
      </c>
      <c r="F515" s="27" t="s">
        <v>2115</v>
      </c>
      <c r="G515" s="27">
        <v>10</v>
      </c>
      <c r="H515" s="71" t="s">
        <v>887</v>
      </c>
      <c r="I515" s="71" t="s">
        <v>736</v>
      </c>
      <c r="J515" s="71" t="s">
        <v>2120</v>
      </c>
      <c r="K515" s="72"/>
      <c r="L515" s="72"/>
      <c r="M515" s="72"/>
      <c r="N515" s="27" t="s">
        <v>35</v>
      </c>
      <c r="O515" s="27"/>
      <c r="P515" s="73"/>
      <c r="Q515" s="72" t="s">
        <v>36</v>
      </c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72"/>
      <c r="AE515" s="72"/>
    </row>
    <row r="516" spans="1:31" ht="19.5" customHeight="1">
      <c r="A516" s="27">
        <v>515</v>
      </c>
      <c r="B516" s="74">
        <v>46242</v>
      </c>
      <c r="C516" s="71" t="s">
        <v>2121</v>
      </c>
      <c r="D516" s="71"/>
      <c r="E516" s="27">
        <v>9360415978</v>
      </c>
      <c r="F516" s="27"/>
      <c r="G516" s="27"/>
      <c r="H516" s="71"/>
      <c r="I516" s="71"/>
      <c r="J516" s="71" t="s">
        <v>970</v>
      </c>
      <c r="K516" s="72"/>
      <c r="L516" s="72"/>
      <c r="M516" s="72"/>
      <c r="N516" s="27" t="s">
        <v>35</v>
      </c>
      <c r="O516" s="27"/>
      <c r="P516" s="73"/>
      <c r="Q516" s="72" t="s">
        <v>307</v>
      </c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72"/>
      <c r="AE516" s="72"/>
    </row>
    <row r="517" spans="1:31" ht="19.5" customHeight="1">
      <c r="A517" s="27">
        <v>516</v>
      </c>
      <c r="B517" s="74">
        <v>46242</v>
      </c>
      <c r="C517" s="71" t="s">
        <v>1880</v>
      </c>
      <c r="D517" s="71"/>
      <c r="E517" s="27">
        <v>9843875620</v>
      </c>
      <c r="F517" s="27"/>
      <c r="G517" s="27"/>
      <c r="H517" s="71"/>
      <c r="I517" s="146"/>
      <c r="J517" s="71" t="s">
        <v>2122</v>
      </c>
      <c r="K517" s="72"/>
      <c r="L517" s="72"/>
      <c r="M517" s="72"/>
      <c r="N517" s="27" t="s">
        <v>35</v>
      </c>
      <c r="O517" s="27"/>
      <c r="P517" s="73"/>
      <c r="Q517" s="72" t="s">
        <v>307</v>
      </c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72"/>
      <c r="AE517" s="72"/>
    </row>
    <row r="518" spans="1:31" ht="44.25" customHeight="1">
      <c r="A518" s="105">
        <v>517</v>
      </c>
      <c r="B518" s="74">
        <v>46244</v>
      </c>
      <c r="C518" s="71" t="s">
        <v>2123</v>
      </c>
      <c r="D518" s="71" t="s">
        <v>1337</v>
      </c>
      <c r="E518" s="27">
        <v>9788550207</v>
      </c>
      <c r="F518" s="27" t="s">
        <v>2124</v>
      </c>
      <c r="G518" s="27" t="s">
        <v>2125</v>
      </c>
      <c r="H518" s="71" t="s">
        <v>1551</v>
      </c>
      <c r="I518" s="71" t="s">
        <v>2126</v>
      </c>
      <c r="J518" s="71" t="s">
        <v>2127</v>
      </c>
      <c r="K518" s="72"/>
      <c r="L518" s="72"/>
      <c r="M518" s="72"/>
      <c r="N518" s="27" t="s">
        <v>35</v>
      </c>
      <c r="O518" s="27"/>
      <c r="P518" s="73"/>
      <c r="Q518" s="72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72"/>
      <c r="AE518" s="72"/>
    </row>
    <row r="519" spans="1:31" ht="19.5" customHeight="1">
      <c r="A519" s="27">
        <v>518</v>
      </c>
      <c r="B519" s="74">
        <v>46244</v>
      </c>
      <c r="C519" s="71" t="s">
        <v>2128</v>
      </c>
      <c r="D519" s="71" t="s">
        <v>2129</v>
      </c>
      <c r="E519" s="27" t="s">
        <v>2130</v>
      </c>
      <c r="F519" s="27" t="s">
        <v>2131</v>
      </c>
      <c r="G519" s="27" t="s">
        <v>1406</v>
      </c>
      <c r="H519" s="71"/>
      <c r="I519" s="71" t="s">
        <v>1162</v>
      </c>
      <c r="J519" s="71" t="s">
        <v>970</v>
      </c>
      <c r="K519" s="72"/>
      <c r="L519" s="72"/>
      <c r="M519" s="72"/>
      <c r="N519" s="27" t="s">
        <v>35</v>
      </c>
      <c r="O519" s="27"/>
      <c r="P519" s="73"/>
      <c r="Q519" s="72" t="s">
        <v>36</v>
      </c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72"/>
      <c r="AE519" s="72"/>
    </row>
    <row r="520" spans="1:31" ht="19.5" customHeight="1">
      <c r="A520" s="27">
        <v>519</v>
      </c>
      <c r="B520" s="74">
        <v>46244</v>
      </c>
      <c r="C520" s="71" t="s">
        <v>2132</v>
      </c>
      <c r="D520" s="71" t="s">
        <v>2133</v>
      </c>
      <c r="E520" s="27" t="s">
        <v>2134</v>
      </c>
      <c r="F520" s="27" t="s">
        <v>48</v>
      </c>
      <c r="G520" s="27" t="s">
        <v>2135</v>
      </c>
      <c r="H520" s="71"/>
      <c r="I520" s="71" t="s">
        <v>1186</v>
      </c>
      <c r="J520" s="71" t="s">
        <v>970</v>
      </c>
      <c r="K520" s="72"/>
      <c r="L520" s="72"/>
      <c r="M520" s="72"/>
      <c r="N520" s="27" t="s">
        <v>35</v>
      </c>
      <c r="O520" s="27"/>
      <c r="P520" s="73"/>
      <c r="Q520" s="72" t="s">
        <v>36</v>
      </c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72"/>
      <c r="AE520" s="72"/>
    </row>
    <row r="521" spans="1:31" ht="19.5" customHeight="1">
      <c r="A521" s="27">
        <v>520</v>
      </c>
      <c r="B521" s="74">
        <v>46244</v>
      </c>
      <c r="C521" s="71" t="s">
        <v>1808</v>
      </c>
      <c r="D521" s="71" t="s">
        <v>2136</v>
      </c>
      <c r="E521" s="27" t="s">
        <v>2137</v>
      </c>
      <c r="F521" s="27" t="s">
        <v>2138</v>
      </c>
      <c r="G521" s="27" t="s">
        <v>2139</v>
      </c>
      <c r="H521" s="71"/>
      <c r="I521" s="71" t="s">
        <v>1186</v>
      </c>
      <c r="J521" s="71" t="s">
        <v>970</v>
      </c>
      <c r="K521" s="72"/>
      <c r="L521" s="72"/>
      <c r="M521" s="72"/>
      <c r="N521" s="27" t="s">
        <v>35</v>
      </c>
      <c r="O521" s="27"/>
      <c r="P521" s="73"/>
      <c r="Q521" s="72" t="s">
        <v>36</v>
      </c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72"/>
      <c r="AE521" s="72"/>
    </row>
    <row r="522" spans="1:31" ht="19.5" customHeight="1">
      <c r="A522" s="27">
        <v>521</v>
      </c>
      <c r="B522" s="74">
        <v>46244</v>
      </c>
      <c r="C522" s="71" t="s">
        <v>2140</v>
      </c>
      <c r="D522" s="71" t="s">
        <v>2141</v>
      </c>
      <c r="E522" s="27" t="s">
        <v>2142</v>
      </c>
      <c r="F522" s="27" t="s">
        <v>2143</v>
      </c>
      <c r="G522" s="27" t="s">
        <v>2144</v>
      </c>
      <c r="H522" s="71"/>
      <c r="I522" s="71" t="s">
        <v>1162</v>
      </c>
      <c r="J522" s="71" t="s">
        <v>970</v>
      </c>
      <c r="K522" s="72"/>
      <c r="L522" s="72"/>
      <c r="M522" s="72"/>
      <c r="N522" s="27" t="s">
        <v>35</v>
      </c>
      <c r="O522" s="27"/>
      <c r="P522" s="73"/>
      <c r="Q522" s="72" t="s">
        <v>36</v>
      </c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72"/>
      <c r="AE522" s="72"/>
    </row>
    <row r="523" spans="1:31" ht="19.5" customHeight="1">
      <c r="A523" s="27">
        <v>522</v>
      </c>
      <c r="B523" s="74">
        <v>46244</v>
      </c>
      <c r="C523" s="71" t="s">
        <v>2145</v>
      </c>
      <c r="D523" s="71" t="s">
        <v>2146</v>
      </c>
      <c r="E523" s="27" t="s">
        <v>2147</v>
      </c>
      <c r="F523" s="27" t="s">
        <v>142</v>
      </c>
      <c r="G523" s="27" t="s">
        <v>1406</v>
      </c>
      <c r="H523" s="71"/>
      <c r="I523" s="71" t="s">
        <v>1186</v>
      </c>
      <c r="J523" s="71" t="s">
        <v>970</v>
      </c>
      <c r="K523" s="72"/>
      <c r="L523" s="72"/>
      <c r="M523" s="72"/>
      <c r="N523" s="27" t="s">
        <v>35</v>
      </c>
      <c r="O523" s="27"/>
      <c r="P523" s="73"/>
      <c r="Q523" s="72" t="s">
        <v>36</v>
      </c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72"/>
      <c r="AE523" s="72"/>
    </row>
    <row r="524" spans="1:31" ht="19.5" customHeight="1">
      <c r="A524" s="27">
        <v>523</v>
      </c>
      <c r="B524" s="74">
        <v>46244</v>
      </c>
      <c r="C524" s="71" t="s">
        <v>2148</v>
      </c>
      <c r="D524" s="71" t="s">
        <v>2149</v>
      </c>
      <c r="E524" s="27" t="s">
        <v>2150</v>
      </c>
      <c r="F524" s="27" t="s">
        <v>2151</v>
      </c>
      <c r="G524" s="27" t="s">
        <v>2152</v>
      </c>
      <c r="H524" s="71"/>
      <c r="I524" s="71" t="s">
        <v>1175</v>
      </c>
      <c r="J524" s="71" t="s">
        <v>970</v>
      </c>
      <c r="K524" s="72"/>
      <c r="L524" s="72"/>
      <c r="M524" s="72"/>
      <c r="N524" s="27" t="s">
        <v>35</v>
      </c>
      <c r="O524" s="27"/>
      <c r="P524" s="73"/>
      <c r="Q524" s="72" t="s">
        <v>36</v>
      </c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72"/>
      <c r="AE524" s="72"/>
    </row>
    <row r="525" spans="1:31" ht="19.5" customHeight="1">
      <c r="A525" s="27">
        <v>524</v>
      </c>
      <c r="B525" s="74">
        <v>46245</v>
      </c>
      <c r="C525" s="71" t="s">
        <v>2153</v>
      </c>
      <c r="D525" s="71" t="s">
        <v>2154</v>
      </c>
      <c r="E525" s="27" t="s">
        <v>2155</v>
      </c>
      <c r="F525" s="27" t="s">
        <v>60</v>
      </c>
      <c r="G525" s="27">
        <v>14</v>
      </c>
      <c r="H525" s="71"/>
      <c r="I525" s="71" t="s">
        <v>1186</v>
      </c>
      <c r="J525" s="71" t="s">
        <v>970</v>
      </c>
      <c r="K525" s="72"/>
      <c r="L525" s="72"/>
      <c r="M525" s="72"/>
      <c r="N525" s="27" t="s">
        <v>35</v>
      </c>
      <c r="O525" s="27"/>
      <c r="P525" s="73"/>
      <c r="Q525" s="72" t="s">
        <v>36</v>
      </c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72"/>
      <c r="AE525" s="72"/>
    </row>
    <row r="526" spans="1:31" ht="19.5" customHeight="1">
      <c r="A526" s="27">
        <v>525</v>
      </c>
      <c r="B526" s="74">
        <v>46245</v>
      </c>
      <c r="C526" s="71" t="s">
        <v>2156</v>
      </c>
      <c r="D526" s="71" t="s">
        <v>2157</v>
      </c>
      <c r="E526" s="27" t="s">
        <v>2158</v>
      </c>
      <c r="F526" s="27" t="s">
        <v>427</v>
      </c>
      <c r="G526" s="27" t="s">
        <v>2159</v>
      </c>
      <c r="H526" s="71"/>
      <c r="I526" s="71" t="s">
        <v>1147</v>
      </c>
      <c r="J526" s="71" t="s">
        <v>970</v>
      </c>
      <c r="K526" s="72"/>
      <c r="L526" s="72"/>
      <c r="M526" s="72"/>
      <c r="N526" s="27" t="s">
        <v>35</v>
      </c>
      <c r="O526" s="27"/>
      <c r="P526" s="73"/>
      <c r="Q526" s="72" t="s">
        <v>36</v>
      </c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72"/>
      <c r="AE526" s="72"/>
    </row>
    <row r="527" spans="1:31" ht="19.5" customHeight="1">
      <c r="A527" s="27">
        <v>526</v>
      </c>
      <c r="B527" s="74">
        <v>46245</v>
      </c>
      <c r="C527" s="71" t="s">
        <v>2160</v>
      </c>
      <c r="D527" s="71" t="s">
        <v>2161</v>
      </c>
      <c r="E527" s="27" t="s">
        <v>2162</v>
      </c>
      <c r="F527" s="27" t="s">
        <v>1499</v>
      </c>
      <c r="G527" s="27" t="s">
        <v>1173</v>
      </c>
      <c r="H527" s="71" t="s">
        <v>2163</v>
      </c>
      <c r="I527" s="71" t="s">
        <v>1147</v>
      </c>
      <c r="J527" s="71" t="s">
        <v>2164</v>
      </c>
      <c r="K527" s="72"/>
      <c r="L527" s="72"/>
      <c r="M527" s="72"/>
      <c r="N527" s="27" t="s">
        <v>35</v>
      </c>
      <c r="O527" s="27"/>
      <c r="P527" s="73"/>
      <c r="Q527" s="72" t="s">
        <v>36</v>
      </c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72"/>
      <c r="AE527" s="72"/>
    </row>
    <row r="528" spans="1:31" ht="19.5" customHeight="1">
      <c r="A528" s="27">
        <v>527</v>
      </c>
      <c r="B528" s="74">
        <v>46245</v>
      </c>
      <c r="C528" s="71" t="s">
        <v>2165</v>
      </c>
      <c r="D528" s="82" t="s">
        <v>2166</v>
      </c>
      <c r="E528" s="27" t="s">
        <v>2167</v>
      </c>
      <c r="F528" s="27" t="s">
        <v>2168</v>
      </c>
      <c r="G528" s="27" t="s">
        <v>2152</v>
      </c>
      <c r="H528" s="71"/>
      <c r="I528" s="71" t="s">
        <v>1147</v>
      </c>
      <c r="J528" s="71" t="s">
        <v>970</v>
      </c>
      <c r="K528" s="72"/>
      <c r="L528" s="72"/>
      <c r="M528" s="72"/>
      <c r="N528" s="27" t="s">
        <v>35</v>
      </c>
      <c r="O528" s="27"/>
      <c r="P528" s="73"/>
      <c r="Q528" s="72" t="s">
        <v>36</v>
      </c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72"/>
      <c r="AE528" s="72"/>
    </row>
    <row r="529" spans="1:31" ht="19.5" customHeight="1">
      <c r="A529" s="27">
        <v>528</v>
      </c>
      <c r="B529" s="74">
        <v>46245</v>
      </c>
      <c r="C529" s="71" t="s">
        <v>2169</v>
      </c>
      <c r="D529" s="71" t="s">
        <v>2170</v>
      </c>
      <c r="E529" s="27" t="s">
        <v>2171</v>
      </c>
      <c r="F529" s="27" t="s">
        <v>2172</v>
      </c>
      <c r="G529" s="27" t="s">
        <v>1445</v>
      </c>
      <c r="H529" s="71"/>
      <c r="I529" s="71" t="s">
        <v>1186</v>
      </c>
      <c r="J529" s="71" t="s">
        <v>970</v>
      </c>
      <c r="K529" s="72"/>
      <c r="L529" s="72"/>
      <c r="M529" s="72"/>
      <c r="N529" s="27" t="s">
        <v>35</v>
      </c>
      <c r="O529" s="27"/>
      <c r="P529" s="73"/>
      <c r="Q529" s="72" t="s">
        <v>36</v>
      </c>
      <c r="R529" s="27"/>
      <c r="S529" s="27"/>
      <c r="T529" s="71"/>
      <c r="U529" s="27"/>
      <c r="V529" s="27"/>
      <c r="W529" s="27"/>
      <c r="X529" s="27"/>
      <c r="Y529" s="27"/>
      <c r="Z529" s="27"/>
      <c r="AA529" s="27"/>
      <c r="AB529" s="27"/>
      <c r="AC529" s="27"/>
      <c r="AD529" s="72"/>
      <c r="AE529" s="72"/>
    </row>
    <row r="530" spans="1:31" ht="19.5" customHeight="1">
      <c r="A530" s="27">
        <v>529</v>
      </c>
      <c r="B530" s="74">
        <v>46245</v>
      </c>
      <c r="C530" s="71" t="s">
        <v>2173</v>
      </c>
      <c r="D530" s="71" t="s">
        <v>2174</v>
      </c>
      <c r="E530" s="27" t="s">
        <v>2175</v>
      </c>
      <c r="F530" s="27" t="s">
        <v>2176</v>
      </c>
      <c r="G530" s="27">
        <v>15</v>
      </c>
      <c r="H530" s="71"/>
      <c r="I530" s="71" t="s">
        <v>1162</v>
      </c>
      <c r="J530" s="71" t="s">
        <v>970</v>
      </c>
      <c r="K530" s="72"/>
      <c r="L530" s="72"/>
      <c r="M530" s="72"/>
      <c r="N530" s="27" t="s">
        <v>35</v>
      </c>
      <c r="O530" s="27"/>
      <c r="P530" s="73"/>
      <c r="Q530" s="72" t="s">
        <v>36</v>
      </c>
      <c r="R530" s="27"/>
      <c r="S530" s="27"/>
      <c r="T530" s="71"/>
      <c r="U530" s="27"/>
      <c r="V530" s="27"/>
      <c r="W530" s="27"/>
      <c r="X530" s="27"/>
      <c r="Y530" s="27"/>
      <c r="Z530" s="27"/>
      <c r="AA530" s="27"/>
      <c r="AB530" s="27"/>
      <c r="AC530" s="27"/>
      <c r="AD530" s="72"/>
      <c r="AE530" s="72"/>
    </row>
    <row r="531" spans="1:31" ht="48" customHeight="1">
      <c r="A531" s="27">
        <v>530</v>
      </c>
      <c r="B531" s="74">
        <v>46245</v>
      </c>
      <c r="C531" s="71" t="s">
        <v>2177</v>
      </c>
      <c r="D531" s="71"/>
      <c r="E531" s="27">
        <v>9446651420</v>
      </c>
      <c r="F531" s="27" t="s">
        <v>2178</v>
      </c>
      <c r="G531" s="27">
        <v>20</v>
      </c>
      <c r="H531" s="71" t="s">
        <v>2179</v>
      </c>
      <c r="I531" s="71" t="s">
        <v>1469</v>
      </c>
      <c r="J531" s="71" t="s">
        <v>2180</v>
      </c>
      <c r="K531" s="72"/>
      <c r="L531" s="72"/>
      <c r="M531" s="72"/>
      <c r="N531" s="27" t="s">
        <v>35</v>
      </c>
      <c r="O531" s="27"/>
      <c r="P531" s="73"/>
      <c r="Q531" s="72" t="s">
        <v>307</v>
      </c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72"/>
      <c r="AE531" s="72"/>
    </row>
    <row r="532" spans="1:31" ht="26.25" customHeight="1">
      <c r="A532" s="27">
        <v>531</v>
      </c>
      <c r="B532" s="74">
        <v>46246</v>
      </c>
      <c r="C532" s="77" t="s">
        <v>2181</v>
      </c>
      <c r="D532" s="77" t="s">
        <v>2182</v>
      </c>
      <c r="E532" s="29">
        <v>9629962472</v>
      </c>
      <c r="F532" s="29" t="s">
        <v>2183</v>
      </c>
      <c r="G532" s="29">
        <v>12</v>
      </c>
      <c r="H532" s="77"/>
      <c r="I532" s="77" t="s">
        <v>1186</v>
      </c>
      <c r="J532" s="77" t="s">
        <v>2184</v>
      </c>
      <c r="K532" s="72"/>
      <c r="L532" s="72"/>
      <c r="M532" s="72"/>
      <c r="N532" s="27" t="s">
        <v>35</v>
      </c>
      <c r="O532" s="27"/>
      <c r="P532" s="73"/>
      <c r="Q532" s="72" t="s">
        <v>307</v>
      </c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72"/>
      <c r="AE532" s="72"/>
    </row>
    <row r="533" spans="1:31" ht="57" customHeight="1">
      <c r="A533" s="27">
        <v>532</v>
      </c>
      <c r="B533" s="74" t="s">
        <v>2185</v>
      </c>
      <c r="C533" s="77" t="s">
        <v>2186</v>
      </c>
      <c r="D533" s="77" t="s">
        <v>1519</v>
      </c>
      <c r="E533" s="29">
        <v>9790445594</v>
      </c>
      <c r="F533" s="29" t="s">
        <v>2187</v>
      </c>
      <c r="G533" s="29">
        <v>50</v>
      </c>
      <c r="H533" s="77"/>
      <c r="I533" s="77" t="s">
        <v>2188</v>
      </c>
      <c r="J533" s="77" t="s">
        <v>2189</v>
      </c>
      <c r="K533" s="72"/>
      <c r="L533" s="72"/>
      <c r="M533" s="72"/>
      <c r="N533" s="27" t="s">
        <v>35</v>
      </c>
      <c r="O533" s="27"/>
      <c r="P533" s="73"/>
      <c r="Q533" s="72" t="s">
        <v>36</v>
      </c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72"/>
      <c r="AE533" s="72"/>
    </row>
    <row r="534" spans="1:31" ht="26.25" customHeight="1">
      <c r="A534" s="27">
        <v>533</v>
      </c>
      <c r="B534" s="27" t="s">
        <v>2185</v>
      </c>
      <c r="C534" s="77" t="s">
        <v>2190</v>
      </c>
      <c r="D534" s="77"/>
      <c r="E534" s="29">
        <v>9940018617</v>
      </c>
      <c r="F534" s="29" t="s">
        <v>2191</v>
      </c>
      <c r="G534" s="29">
        <v>2</v>
      </c>
      <c r="H534" s="77"/>
      <c r="I534" s="77" t="s">
        <v>2086</v>
      </c>
      <c r="J534" s="77" t="s">
        <v>2192</v>
      </c>
      <c r="K534" s="72"/>
      <c r="L534" s="72"/>
      <c r="M534" s="72"/>
      <c r="N534" s="27" t="s">
        <v>35</v>
      </c>
      <c r="O534" s="27"/>
      <c r="P534" s="73"/>
      <c r="Q534" s="72" t="s">
        <v>2069</v>
      </c>
      <c r="R534" s="27" t="s">
        <v>63</v>
      </c>
      <c r="S534" s="27"/>
      <c r="T534" s="27"/>
      <c r="U534" s="27" t="s">
        <v>249</v>
      </c>
      <c r="V534" s="27"/>
      <c r="W534" s="27" t="s">
        <v>63</v>
      </c>
      <c r="X534" s="27"/>
      <c r="Y534" s="27"/>
      <c r="Z534" s="27"/>
      <c r="AA534" s="27"/>
      <c r="AB534" s="27"/>
      <c r="AC534" s="27"/>
      <c r="AD534" s="72"/>
      <c r="AE534" s="72"/>
    </row>
    <row r="535" spans="1:31" ht="39" customHeight="1">
      <c r="A535" s="144">
        <v>534</v>
      </c>
      <c r="B535" s="27" t="s">
        <v>2193</v>
      </c>
      <c r="C535" s="147" t="s">
        <v>2194</v>
      </c>
      <c r="D535" s="147" t="s">
        <v>2195</v>
      </c>
      <c r="E535" s="148" t="s">
        <v>2196</v>
      </c>
      <c r="F535" s="148" t="s">
        <v>2197</v>
      </c>
      <c r="G535" s="148">
        <v>6</v>
      </c>
      <c r="H535" s="147"/>
      <c r="I535" s="147" t="s">
        <v>1551</v>
      </c>
      <c r="J535" s="147" t="s">
        <v>2198</v>
      </c>
      <c r="K535" s="149"/>
      <c r="L535" s="149" t="s">
        <v>2199</v>
      </c>
      <c r="M535" s="133"/>
      <c r="N535" s="144" t="s">
        <v>35</v>
      </c>
      <c r="O535" s="133"/>
      <c r="P535" s="150"/>
      <c r="Q535" s="133" t="s">
        <v>71</v>
      </c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</row>
    <row r="536" spans="1:31" ht="26.25" customHeight="1">
      <c r="A536" s="151">
        <v>535</v>
      </c>
      <c r="B536" s="84" t="s">
        <v>2193</v>
      </c>
      <c r="C536" s="152" t="s">
        <v>2200</v>
      </c>
      <c r="D536" s="152" t="s">
        <v>2201</v>
      </c>
      <c r="E536" s="151" t="s">
        <v>2202</v>
      </c>
      <c r="F536" s="144" t="s">
        <v>48</v>
      </c>
      <c r="G536" s="144"/>
      <c r="H536" s="152"/>
      <c r="I536" s="149" t="s">
        <v>970</v>
      </c>
      <c r="J536" s="149"/>
      <c r="K536" s="133"/>
      <c r="L536" s="133"/>
      <c r="M536" s="133"/>
      <c r="N536" s="151" t="s">
        <v>35</v>
      </c>
      <c r="O536" s="132"/>
      <c r="P536" s="150"/>
      <c r="Q536" s="132" t="s">
        <v>71</v>
      </c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</row>
    <row r="537" spans="1:31" ht="39" customHeight="1">
      <c r="A537" s="151">
        <v>536</v>
      </c>
      <c r="B537" s="84" t="s">
        <v>2193</v>
      </c>
      <c r="C537" s="152" t="s">
        <v>2203</v>
      </c>
      <c r="D537" s="152" t="s">
        <v>2204</v>
      </c>
      <c r="E537" s="151" t="s">
        <v>2205</v>
      </c>
      <c r="F537" s="144" t="s">
        <v>2206</v>
      </c>
      <c r="G537" s="144">
        <v>200</v>
      </c>
      <c r="H537" s="146" t="s">
        <v>2179</v>
      </c>
      <c r="I537" s="152" t="s">
        <v>2207</v>
      </c>
      <c r="J537" s="149" t="s">
        <v>2208</v>
      </c>
      <c r="K537" s="133"/>
      <c r="L537" s="133"/>
      <c r="M537" s="133"/>
      <c r="N537" s="151" t="s">
        <v>35</v>
      </c>
      <c r="O537" s="132"/>
      <c r="P537" s="150"/>
      <c r="Q537" s="132" t="s">
        <v>71</v>
      </c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</row>
    <row r="538" spans="1:31" ht="26.25" customHeight="1">
      <c r="A538" s="151">
        <v>537</v>
      </c>
      <c r="B538" s="84" t="s">
        <v>2193</v>
      </c>
      <c r="C538" s="152" t="s">
        <v>2209</v>
      </c>
      <c r="D538" s="152"/>
      <c r="E538" s="151">
        <v>9611117608</v>
      </c>
      <c r="F538" s="144" t="s">
        <v>325</v>
      </c>
      <c r="G538" s="144">
        <v>2</v>
      </c>
      <c r="H538" s="152"/>
      <c r="I538" s="71" t="s">
        <v>2086</v>
      </c>
      <c r="J538" s="149" t="s">
        <v>2210</v>
      </c>
      <c r="K538" s="133"/>
      <c r="L538" s="133"/>
      <c r="M538" s="133"/>
      <c r="N538" s="151" t="s">
        <v>35</v>
      </c>
      <c r="O538" s="132"/>
      <c r="P538" s="150"/>
      <c r="Q538" s="132" t="s">
        <v>307</v>
      </c>
      <c r="R538" s="132"/>
      <c r="S538" s="132"/>
      <c r="T538" s="132"/>
      <c r="U538" s="132" t="s">
        <v>249</v>
      </c>
      <c r="V538" s="132"/>
      <c r="W538" s="132" t="s">
        <v>63</v>
      </c>
      <c r="X538" s="132"/>
      <c r="Y538" s="132"/>
      <c r="Z538" s="132"/>
      <c r="AA538" s="132"/>
      <c r="AB538" s="132"/>
      <c r="AC538" s="132"/>
      <c r="AD538" s="132"/>
      <c r="AE538" s="132"/>
    </row>
    <row r="539" spans="1:31" ht="26.25" customHeight="1">
      <c r="A539" s="27">
        <v>538</v>
      </c>
      <c r="B539" s="84" t="s">
        <v>2211</v>
      </c>
      <c r="C539" s="153" t="s">
        <v>2212</v>
      </c>
      <c r="D539" s="153" t="s">
        <v>2213</v>
      </c>
      <c r="E539" s="154">
        <v>9884098864</v>
      </c>
      <c r="F539" s="154" t="s">
        <v>48</v>
      </c>
      <c r="G539" s="155"/>
      <c r="H539" s="152"/>
      <c r="I539" s="149"/>
      <c r="J539" s="149" t="s">
        <v>846</v>
      </c>
      <c r="K539" s="133"/>
      <c r="L539" s="133"/>
      <c r="M539" s="133"/>
      <c r="N539" s="151" t="s">
        <v>35</v>
      </c>
      <c r="O539" s="132"/>
      <c r="P539" s="150"/>
      <c r="Q539" s="132" t="s">
        <v>36</v>
      </c>
      <c r="R539" s="132"/>
      <c r="S539" s="132"/>
      <c r="T539" s="15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</row>
    <row r="540" spans="1:31" ht="26.25" customHeight="1">
      <c r="A540" s="151">
        <v>539</v>
      </c>
      <c r="B540" s="84" t="s">
        <v>2211</v>
      </c>
      <c r="C540" s="153" t="s">
        <v>2214</v>
      </c>
      <c r="D540" s="153" t="s">
        <v>2215</v>
      </c>
      <c r="E540" s="154">
        <v>9842265384</v>
      </c>
      <c r="F540" s="154" t="s">
        <v>1876</v>
      </c>
      <c r="G540" s="155" t="s">
        <v>1406</v>
      </c>
      <c r="H540" s="152"/>
      <c r="I540" s="149" t="s">
        <v>2216</v>
      </c>
      <c r="J540" s="149"/>
      <c r="K540" s="133"/>
      <c r="L540" s="133"/>
      <c r="M540" s="133"/>
      <c r="N540" s="151" t="s">
        <v>596</v>
      </c>
      <c r="O540" s="132"/>
      <c r="P540" s="150"/>
      <c r="Q540" s="132" t="s">
        <v>36</v>
      </c>
      <c r="R540" s="132"/>
      <c r="S540" s="132"/>
      <c r="T540" s="15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</row>
    <row r="541" spans="1:31" ht="26.25" customHeight="1">
      <c r="A541" s="151">
        <v>540</v>
      </c>
      <c r="B541" s="84" t="s">
        <v>2211</v>
      </c>
      <c r="C541" s="153" t="s">
        <v>2217</v>
      </c>
      <c r="D541" s="153" t="s">
        <v>2218</v>
      </c>
      <c r="E541" s="154">
        <v>9930987674</v>
      </c>
      <c r="F541" s="154" t="s">
        <v>101</v>
      </c>
      <c r="G541" s="155" t="s">
        <v>2152</v>
      </c>
      <c r="H541" s="152"/>
      <c r="I541" s="149"/>
      <c r="J541" s="149"/>
      <c r="K541" s="133"/>
      <c r="L541" s="133"/>
      <c r="M541" s="133"/>
      <c r="N541" s="151" t="s">
        <v>70</v>
      </c>
      <c r="O541" s="132"/>
      <c r="P541" s="150"/>
      <c r="Q541" s="132" t="s">
        <v>36</v>
      </c>
      <c r="R541" s="132"/>
      <c r="S541" s="132"/>
      <c r="T541" s="15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</row>
    <row r="542" spans="1:31" ht="26.25" customHeight="1">
      <c r="A542" s="151">
        <v>541</v>
      </c>
      <c r="B542" s="84" t="s">
        <v>2211</v>
      </c>
      <c r="C542" s="153" t="s">
        <v>2219</v>
      </c>
      <c r="D542" s="153" t="s">
        <v>2220</v>
      </c>
      <c r="E542" s="154">
        <v>8680018833</v>
      </c>
      <c r="F542" s="154" t="s">
        <v>48</v>
      </c>
      <c r="G542" s="155" t="s">
        <v>2221</v>
      </c>
      <c r="H542" s="152"/>
      <c r="I542" s="149"/>
      <c r="J542" s="149" t="s">
        <v>440</v>
      </c>
      <c r="K542" s="133"/>
      <c r="L542" s="133"/>
      <c r="M542" s="133"/>
      <c r="N542" s="151" t="s">
        <v>35</v>
      </c>
      <c r="O542" s="132"/>
      <c r="P542" s="150"/>
      <c r="Q542" s="132" t="s">
        <v>36</v>
      </c>
      <c r="R542" s="132"/>
      <c r="S542" s="132"/>
      <c r="T542" s="15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</row>
    <row r="543" spans="1:31" ht="26.25" customHeight="1">
      <c r="A543" s="151">
        <v>542</v>
      </c>
      <c r="B543" s="84" t="s">
        <v>2211</v>
      </c>
      <c r="C543" s="153" t="s">
        <v>2222</v>
      </c>
      <c r="D543" s="153" t="s">
        <v>2223</v>
      </c>
      <c r="E543" s="154">
        <v>9666994611</v>
      </c>
      <c r="F543" s="154" t="s">
        <v>2224</v>
      </c>
      <c r="G543" s="155" t="s">
        <v>1173</v>
      </c>
      <c r="H543" s="152"/>
      <c r="I543" s="149" t="s">
        <v>2225</v>
      </c>
      <c r="J543" s="149"/>
      <c r="K543" s="133"/>
      <c r="L543" s="133"/>
      <c r="M543" s="133"/>
      <c r="N543" s="151" t="s">
        <v>180</v>
      </c>
      <c r="O543" s="132"/>
      <c r="P543" s="150"/>
      <c r="Q543" s="132" t="s">
        <v>36</v>
      </c>
      <c r="R543" s="132"/>
      <c r="S543" s="132"/>
      <c r="T543" s="15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</row>
    <row r="544" spans="1:31" ht="26.25" customHeight="1">
      <c r="A544" s="151">
        <v>543</v>
      </c>
      <c r="B544" s="84" t="s">
        <v>2226</v>
      </c>
      <c r="C544" s="153" t="s">
        <v>2227</v>
      </c>
      <c r="D544" s="153" t="s">
        <v>2228</v>
      </c>
      <c r="E544" s="154">
        <v>8939123987</v>
      </c>
      <c r="F544" s="154" t="s">
        <v>325</v>
      </c>
      <c r="G544" s="155" t="s">
        <v>2229</v>
      </c>
      <c r="H544" s="152"/>
      <c r="I544" s="146" t="s">
        <v>1152</v>
      </c>
      <c r="J544" s="149"/>
      <c r="K544" s="133"/>
      <c r="L544" s="133"/>
      <c r="M544" s="133"/>
      <c r="N544" s="151" t="s">
        <v>35</v>
      </c>
      <c r="O544" s="132" t="s">
        <v>2230</v>
      </c>
      <c r="P544" s="150"/>
      <c r="Q544" s="132" t="s">
        <v>36</v>
      </c>
      <c r="R544" s="132"/>
      <c r="S544" s="132"/>
      <c r="T544" s="132"/>
      <c r="U544" s="132" t="s">
        <v>63</v>
      </c>
      <c r="V544" s="132"/>
      <c r="W544" s="132" t="s">
        <v>63</v>
      </c>
      <c r="X544" s="132"/>
      <c r="Y544" s="132"/>
      <c r="Z544" s="132"/>
      <c r="AA544" s="132"/>
      <c r="AB544" s="132"/>
      <c r="AC544" s="132"/>
      <c r="AD544" s="132"/>
      <c r="AE544" s="132"/>
    </row>
    <row r="545" spans="1:31" ht="26.25" customHeight="1">
      <c r="A545" s="151">
        <v>544</v>
      </c>
      <c r="B545" s="84" t="s">
        <v>2226</v>
      </c>
      <c r="C545" s="153" t="s">
        <v>2231</v>
      </c>
      <c r="D545" s="153" t="s">
        <v>697</v>
      </c>
      <c r="E545" s="154">
        <v>8903143267</v>
      </c>
      <c r="F545" s="154" t="s">
        <v>1876</v>
      </c>
      <c r="G545" s="155">
        <v>20</v>
      </c>
      <c r="H545" s="152"/>
      <c r="I545" s="146" t="s">
        <v>710</v>
      </c>
      <c r="J545" s="149" t="s">
        <v>2232</v>
      </c>
      <c r="K545" s="133"/>
      <c r="L545" s="133"/>
      <c r="M545" s="133"/>
      <c r="N545" s="151" t="s">
        <v>35</v>
      </c>
      <c r="O545" s="146"/>
      <c r="P545" s="150"/>
      <c r="Q545" s="132" t="s">
        <v>36</v>
      </c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</row>
    <row r="546" spans="1:31" ht="26.25" customHeight="1">
      <c r="A546" s="151">
        <v>545</v>
      </c>
      <c r="B546" s="84" t="s">
        <v>2226</v>
      </c>
      <c r="C546" s="153" t="s">
        <v>2233</v>
      </c>
      <c r="D546" s="153" t="s">
        <v>2234</v>
      </c>
      <c r="E546" s="154">
        <v>9566186670</v>
      </c>
      <c r="F546" s="154" t="s">
        <v>48</v>
      </c>
      <c r="G546" s="155" t="s">
        <v>2235</v>
      </c>
      <c r="H546" s="152"/>
      <c r="I546" s="146" t="s">
        <v>1168</v>
      </c>
      <c r="J546" s="149"/>
      <c r="K546" s="133"/>
      <c r="L546" s="133"/>
      <c r="M546" s="133"/>
      <c r="N546" s="151" t="s">
        <v>35</v>
      </c>
      <c r="O546" s="132"/>
      <c r="P546" s="150"/>
      <c r="Q546" s="132" t="s">
        <v>36</v>
      </c>
      <c r="R546" s="132"/>
      <c r="S546" s="132"/>
      <c r="T546" s="132"/>
      <c r="U546" s="132" t="s">
        <v>378</v>
      </c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</row>
    <row r="547" spans="1:31" ht="40.5" customHeight="1">
      <c r="A547" s="151">
        <v>546</v>
      </c>
      <c r="B547" s="84" t="s">
        <v>2226</v>
      </c>
      <c r="C547" s="156" t="s">
        <v>2236</v>
      </c>
      <c r="D547" s="156" t="s">
        <v>2237</v>
      </c>
      <c r="E547" s="157">
        <v>9003750763</v>
      </c>
      <c r="F547" s="157" t="s">
        <v>2238</v>
      </c>
      <c r="G547" s="158" t="s">
        <v>2239</v>
      </c>
      <c r="H547" s="159"/>
      <c r="I547" s="160" t="s">
        <v>710</v>
      </c>
      <c r="J547" s="147" t="s">
        <v>2240</v>
      </c>
      <c r="K547" s="133"/>
      <c r="L547" s="133"/>
      <c r="M547" s="133"/>
      <c r="N547" s="151" t="s">
        <v>35</v>
      </c>
      <c r="O547" s="132"/>
      <c r="P547" s="150"/>
      <c r="Q547" s="132" t="s">
        <v>36</v>
      </c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</row>
    <row r="548" spans="1:31" ht="26.25" customHeight="1">
      <c r="A548" s="144">
        <v>547</v>
      </c>
      <c r="B548" s="27" t="s">
        <v>2226</v>
      </c>
      <c r="C548" s="161" t="s">
        <v>2241</v>
      </c>
      <c r="D548" s="161" t="s">
        <v>697</v>
      </c>
      <c r="E548" s="155">
        <v>9444004767</v>
      </c>
      <c r="F548" s="155" t="s">
        <v>48</v>
      </c>
      <c r="G548" s="155"/>
      <c r="H548" s="149" t="s">
        <v>1629</v>
      </c>
      <c r="I548" s="31" t="s">
        <v>1159</v>
      </c>
      <c r="J548" s="149" t="s">
        <v>2232</v>
      </c>
      <c r="K548" s="133"/>
      <c r="L548" s="133" t="s">
        <v>2242</v>
      </c>
      <c r="M548" s="133"/>
      <c r="N548" s="144" t="s">
        <v>180</v>
      </c>
      <c r="O548" s="133"/>
      <c r="P548" s="150"/>
      <c r="Q548" s="133" t="s">
        <v>36</v>
      </c>
      <c r="R548" s="133"/>
      <c r="S548" s="133"/>
      <c r="T548" s="133"/>
      <c r="U548" s="133" t="s">
        <v>38</v>
      </c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</row>
    <row r="549" spans="1:31" ht="34.5" customHeight="1">
      <c r="A549" s="151">
        <v>548</v>
      </c>
      <c r="B549" s="84" t="s">
        <v>2226</v>
      </c>
      <c r="C549" s="153" t="s">
        <v>2243</v>
      </c>
      <c r="D549" s="153" t="s">
        <v>2244</v>
      </c>
      <c r="E549" s="154">
        <v>9677373761</v>
      </c>
      <c r="F549" s="154" t="s">
        <v>272</v>
      </c>
      <c r="G549" s="155" t="s">
        <v>1180</v>
      </c>
      <c r="H549" s="152"/>
      <c r="I549" s="146" t="s">
        <v>1159</v>
      </c>
      <c r="J549" s="149" t="s">
        <v>2245</v>
      </c>
      <c r="K549" s="133"/>
      <c r="L549" s="133"/>
      <c r="M549" s="133"/>
      <c r="N549" s="151" t="s">
        <v>35</v>
      </c>
      <c r="O549" s="132"/>
      <c r="P549" s="150"/>
      <c r="Q549" s="132" t="s">
        <v>36</v>
      </c>
      <c r="R549" s="132"/>
      <c r="S549" s="132"/>
      <c r="T549" s="132"/>
      <c r="U549" s="132" t="s">
        <v>378</v>
      </c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</row>
    <row r="550" spans="1:31" ht="51.75" customHeight="1">
      <c r="A550" s="144">
        <v>549</v>
      </c>
      <c r="B550" s="27" t="s">
        <v>2226</v>
      </c>
      <c r="C550" s="162" t="s">
        <v>2246</v>
      </c>
      <c r="D550" s="161" t="s">
        <v>2247</v>
      </c>
      <c r="E550" s="163">
        <v>7358787168</v>
      </c>
      <c r="F550" s="155" t="s">
        <v>1250</v>
      </c>
      <c r="G550" s="155">
        <v>2</v>
      </c>
      <c r="H550" s="149"/>
      <c r="I550" s="127" t="s">
        <v>423</v>
      </c>
      <c r="J550" s="149" t="s">
        <v>2248</v>
      </c>
      <c r="K550" s="133"/>
      <c r="L550" s="133" t="s">
        <v>2249</v>
      </c>
      <c r="M550" s="133"/>
      <c r="N550" s="144" t="s">
        <v>106</v>
      </c>
      <c r="O550" s="133"/>
      <c r="P550" s="150"/>
      <c r="Q550" s="133" t="s">
        <v>1111</v>
      </c>
      <c r="R550" s="133"/>
      <c r="S550" s="133"/>
      <c r="T550" s="133"/>
      <c r="U550" s="133" t="s">
        <v>38</v>
      </c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</row>
    <row r="551" spans="1:31" ht="26.25" customHeight="1">
      <c r="A551" s="151">
        <v>550</v>
      </c>
      <c r="B551" s="84" t="s">
        <v>2226</v>
      </c>
      <c r="C551" s="153" t="s">
        <v>2250</v>
      </c>
      <c r="D551" s="153" t="s">
        <v>2251</v>
      </c>
      <c r="E551" s="154">
        <v>7397411287</v>
      </c>
      <c r="F551" s="154" t="s">
        <v>48</v>
      </c>
      <c r="G551" s="155"/>
      <c r="H551" s="152"/>
      <c r="I551" s="146" t="s">
        <v>1168</v>
      </c>
      <c r="J551" s="149" t="s">
        <v>2252</v>
      </c>
      <c r="K551" s="133"/>
      <c r="L551" s="133"/>
      <c r="M551" s="133"/>
      <c r="N551" s="151" t="s">
        <v>35</v>
      </c>
      <c r="O551" s="132"/>
      <c r="P551" s="150"/>
      <c r="Q551" s="132" t="s">
        <v>36</v>
      </c>
      <c r="R551" s="132"/>
      <c r="S551" s="132"/>
      <c r="T551" s="15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</row>
    <row r="552" spans="1:31" ht="26.25" customHeight="1">
      <c r="A552" s="151">
        <v>551</v>
      </c>
      <c r="B552" s="84" t="s">
        <v>2253</v>
      </c>
      <c r="C552" s="153" t="s">
        <v>2254</v>
      </c>
      <c r="D552" s="153" t="s">
        <v>2255</v>
      </c>
      <c r="E552" s="154">
        <v>9715021128</v>
      </c>
      <c r="F552" s="154" t="s">
        <v>169</v>
      </c>
      <c r="G552" s="155" t="s">
        <v>1191</v>
      </c>
      <c r="H552" s="152"/>
      <c r="I552" s="146" t="s">
        <v>710</v>
      </c>
      <c r="J552" s="149" t="s">
        <v>1351</v>
      </c>
      <c r="K552" s="133"/>
      <c r="L552" s="133"/>
      <c r="M552" s="133"/>
      <c r="N552" s="151" t="s">
        <v>35</v>
      </c>
      <c r="O552" s="132"/>
      <c r="P552" s="150"/>
      <c r="Q552" s="132" t="s">
        <v>36</v>
      </c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</row>
    <row r="553" spans="1:31" ht="26.25" customHeight="1">
      <c r="A553" s="151">
        <v>552</v>
      </c>
      <c r="B553" s="84" t="s">
        <v>2253</v>
      </c>
      <c r="C553" s="153" t="s">
        <v>2256</v>
      </c>
      <c r="D553" s="153" t="s">
        <v>2257</v>
      </c>
      <c r="E553" s="154">
        <v>6382683711</v>
      </c>
      <c r="F553" s="154" t="s">
        <v>48</v>
      </c>
      <c r="G553" s="155" t="s">
        <v>1406</v>
      </c>
      <c r="H553" s="152"/>
      <c r="I553" s="146" t="s">
        <v>1192</v>
      </c>
      <c r="J553" s="149" t="s">
        <v>2258</v>
      </c>
      <c r="K553" s="133"/>
      <c r="L553" s="133"/>
      <c r="M553" s="133"/>
      <c r="N553" s="151" t="s">
        <v>35</v>
      </c>
      <c r="O553" s="132"/>
      <c r="P553" s="150"/>
      <c r="Q553" s="132" t="s">
        <v>36</v>
      </c>
      <c r="R553" s="132"/>
      <c r="S553" s="132"/>
      <c r="T553" s="132"/>
      <c r="U553" s="132" t="s">
        <v>38</v>
      </c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</row>
    <row r="554" spans="1:31" ht="26.25" customHeight="1">
      <c r="A554" s="151">
        <v>553</v>
      </c>
      <c r="B554" s="84" t="s">
        <v>2253</v>
      </c>
      <c r="C554" s="153" t="s">
        <v>2259</v>
      </c>
      <c r="D554" s="153" t="s">
        <v>2260</v>
      </c>
      <c r="E554" s="154">
        <v>8946078558</v>
      </c>
      <c r="F554" s="154" t="s">
        <v>2261</v>
      </c>
      <c r="G554" s="155" t="s">
        <v>2229</v>
      </c>
      <c r="H554" s="152"/>
      <c r="I554" s="146" t="s">
        <v>710</v>
      </c>
      <c r="J554" s="149" t="s">
        <v>2225</v>
      </c>
      <c r="K554" s="133"/>
      <c r="L554" s="133"/>
      <c r="M554" s="133"/>
      <c r="N554" s="151" t="s">
        <v>122</v>
      </c>
      <c r="O554" s="132"/>
      <c r="P554" s="150"/>
      <c r="Q554" s="132" t="s">
        <v>36</v>
      </c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</row>
    <row r="555" spans="1:31" ht="26.25" customHeight="1">
      <c r="A555" s="151">
        <v>554</v>
      </c>
      <c r="B555" s="84" t="s">
        <v>2253</v>
      </c>
      <c r="C555" s="153" t="s">
        <v>2262</v>
      </c>
      <c r="D555" s="153" t="s">
        <v>2263</v>
      </c>
      <c r="E555" s="154">
        <v>9443686339</v>
      </c>
      <c r="F555" s="154" t="s">
        <v>169</v>
      </c>
      <c r="G555" s="155" t="s">
        <v>1180</v>
      </c>
      <c r="H555" s="152"/>
      <c r="I555" s="146"/>
      <c r="J555" s="149" t="s">
        <v>2264</v>
      </c>
      <c r="K555" s="133"/>
      <c r="L555" s="133"/>
      <c r="M555" s="133"/>
      <c r="N555" s="151" t="s">
        <v>35</v>
      </c>
      <c r="O555" s="132"/>
      <c r="P555" s="150"/>
      <c r="Q555" s="132" t="s">
        <v>36</v>
      </c>
      <c r="R555" s="132"/>
      <c r="S555" s="132"/>
      <c r="T555" s="132"/>
      <c r="U555" s="132" t="s">
        <v>38</v>
      </c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</row>
    <row r="556" spans="1:31" ht="47.25" customHeight="1">
      <c r="A556" s="151">
        <v>555</v>
      </c>
      <c r="B556" s="84" t="s">
        <v>2253</v>
      </c>
      <c r="C556" s="153" t="s">
        <v>2265</v>
      </c>
      <c r="D556" s="153" t="s">
        <v>2266</v>
      </c>
      <c r="E556" s="154">
        <v>9786656965</v>
      </c>
      <c r="F556" s="154" t="s">
        <v>2176</v>
      </c>
      <c r="G556" s="155" t="s">
        <v>2267</v>
      </c>
      <c r="H556" s="152"/>
      <c r="I556" s="146" t="s">
        <v>710</v>
      </c>
      <c r="J556" s="149" t="s">
        <v>2268</v>
      </c>
      <c r="K556" s="133" t="s">
        <v>2269</v>
      </c>
      <c r="L556" s="133"/>
      <c r="M556" s="133"/>
      <c r="N556" s="151" t="s">
        <v>35</v>
      </c>
      <c r="O556" s="132"/>
      <c r="P556" s="150"/>
      <c r="Q556" s="132" t="s">
        <v>36</v>
      </c>
      <c r="R556" s="132"/>
      <c r="S556" s="132"/>
      <c r="T556" s="132"/>
      <c r="U556" s="132" t="s">
        <v>38</v>
      </c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</row>
    <row r="557" spans="1:31" ht="26.25" customHeight="1">
      <c r="A557" s="151">
        <v>556</v>
      </c>
      <c r="B557" s="84" t="s">
        <v>2253</v>
      </c>
      <c r="C557" s="153" t="s">
        <v>2270</v>
      </c>
      <c r="D557" s="153" t="s">
        <v>2271</v>
      </c>
      <c r="E557" s="154">
        <v>9840126006</v>
      </c>
      <c r="F557" s="155" t="s">
        <v>2272</v>
      </c>
      <c r="G557" s="155" t="s">
        <v>2273</v>
      </c>
      <c r="H557" s="152"/>
      <c r="I557" s="146" t="s">
        <v>1168</v>
      </c>
      <c r="J557" s="149" t="s">
        <v>2274</v>
      </c>
      <c r="K557" s="133" t="s">
        <v>2275</v>
      </c>
      <c r="L557" s="133"/>
      <c r="M557" s="133"/>
      <c r="N557" s="151" t="s">
        <v>35</v>
      </c>
      <c r="O557" s="132"/>
      <c r="P557" s="150"/>
      <c r="Q557" s="132" t="s">
        <v>36</v>
      </c>
      <c r="R557" s="132"/>
      <c r="S557" s="132"/>
      <c r="T557" s="132"/>
      <c r="U557" s="132" t="s">
        <v>38</v>
      </c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</row>
    <row r="558" spans="1:31" ht="26.25" customHeight="1">
      <c r="A558" s="151">
        <v>557</v>
      </c>
      <c r="B558" s="84" t="s">
        <v>2253</v>
      </c>
      <c r="C558" s="153" t="s">
        <v>2276</v>
      </c>
      <c r="D558" s="153" t="s">
        <v>2277</v>
      </c>
      <c r="E558" s="154">
        <v>7845545522</v>
      </c>
      <c r="F558" s="154" t="s">
        <v>2278</v>
      </c>
      <c r="G558" s="155" t="s">
        <v>2279</v>
      </c>
      <c r="H558" s="152"/>
      <c r="I558" s="146" t="s">
        <v>1152</v>
      </c>
      <c r="J558" s="149" t="s">
        <v>2280</v>
      </c>
      <c r="K558" s="133"/>
      <c r="L558" s="133"/>
      <c r="M558" s="133"/>
      <c r="N558" s="151" t="s">
        <v>35</v>
      </c>
      <c r="O558" s="132"/>
      <c r="P558" s="150"/>
      <c r="Q558" s="132" t="s">
        <v>36</v>
      </c>
      <c r="R558" s="132"/>
      <c r="S558" s="132"/>
      <c r="T558" s="132"/>
      <c r="U558" s="132" t="s">
        <v>378</v>
      </c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</row>
    <row r="559" spans="1:31" ht="26.25" customHeight="1">
      <c r="A559" s="151">
        <v>558</v>
      </c>
      <c r="B559" s="84" t="s">
        <v>2281</v>
      </c>
      <c r="C559" s="152" t="s">
        <v>2282</v>
      </c>
      <c r="D559" s="152" t="s">
        <v>2283</v>
      </c>
      <c r="E559" s="151">
        <v>9791532460</v>
      </c>
      <c r="F559" s="154" t="s">
        <v>48</v>
      </c>
      <c r="G559" s="144"/>
      <c r="H559" s="152" t="s">
        <v>1837</v>
      </c>
      <c r="I559" s="149"/>
      <c r="J559" s="149" t="s">
        <v>2284</v>
      </c>
      <c r="K559" s="133"/>
      <c r="L559" s="133"/>
      <c r="M559" s="133"/>
      <c r="N559" s="151" t="s">
        <v>35</v>
      </c>
      <c r="O559" s="132"/>
      <c r="P559" s="150"/>
      <c r="Q559" s="132" t="s">
        <v>307</v>
      </c>
      <c r="R559" s="132"/>
      <c r="S559" s="132"/>
      <c r="T559" s="132"/>
      <c r="U559" s="132" t="s">
        <v>38</v>
      </c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</row>
    <row r="560" spans="1:31" ht="42.75" customHeight="1">
      <c r="A560" s="151">
        <v>559</v>
      </c>
      <c r="B560" s="84" t="s">
        <v>2281</v>
      </c>
      <c r="C560" s="152" t="s">
        <v>2285</v>
      </c>
      <c r="D560" s="152"/>
      <c r="E560" s="151">
        <v>9884070464</v>
      </c>
      <c r="F560" s="144" t="s">
        <v>1250</v>
      </c>
      <c r="G560" s="144">
        <v>6</v>
      </c>
      <c r="H560" s="152" t="s">
        <v>1883</v>
      </c>
      <c r="I560" s="149" t="s">
        <v>2286</v>
      </c>
      <c r="J560" s="149" t="s">
        <v>2287</v>
      </c>
      <c r="K560" s="133"/>
      <c r="L560" s="133"/>
      <c r="M560" s="133"/>
      <c r="N560" s="151" t="s">
        <v>35</v>
      </c>
      <c r="O560" s="132"/>
      <c r="P560" s="150"/>
      <c r="Q560" s="132" t="s">
        <v>307</v>
      </c>
      <c r="R560" s="132"/>
      <c r="S560" s="132"/>
      <c r="T560" s="132"/>
      <c r="U560" s="132" t="s">
        <v>38</v>
      </c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</row>
    <row r="561" spans="1:31" ht="26.25" customHeight="1">
      <c r="A561" s="151">
        <v>560</v>
      </c>
      <c r="B561" s="84" t="s">
        <v>2281</v>
      </c>
      <c r="C561" s="153" t="s">
        <v>2288</v>
      </c>
      <c r="D561" s="153"/>
      <c r="E561" s="154">
        <v>8124044917</v>
      </c>
      <c r="F561" s="144" t="s">
        <v>1250</v>
      </c>
      <c r="G561" s="144"/>
      <c r="H561" s="152"/>
      <c r="I561" s="146" t="s">
        <v>2289</v>
      </c>
      <c r="J561" s="149" t="s">
        <v>2290</v>
      </c>
      <c r="K561" s="133"/>
      <c r="L561" s="133"/>
      <c r="M561" s="133"/>
      <c r="N561" s="151" t="s">
        <v>35</v>
      </c>
      <c r="O561" s="132"/>
      <c r="P561" s="150"/>
      <c r="Q561" s="132" t="s">
        <v>36</v>
      </c>
      <c r="R561" s="132"/>
      <c r="S561" s="132"/>
      <c r="T561" s="132"/>
      <c r="U561" s="132" t="s">
        <v>38</v>
      </c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</row>
    <row r="562" spans="1:31" ht="60.75" customHeight="1">
      <c r="A562" s="151">
        <v>561</v>
      </c>
      <c r="B562" s="84" t="s">
        <v>2281</v>
      </c>
      <c r="C562" s="153" t="s">
        <v>2291</v>
      </c>
      <c r="D562" s="153"/>
      <c r="E562" s="154">
        <v>9790954433</v>
      </c>
      <c r="F562" s="144" t="s">
        <v>1250</v>
      </c>
      <c r="G562" s="144"/>
      <c r="H562" s="152"/>
      <c r="I562" s="146" t="s">
        <v>2292</v>
      </c>
      <c r="J562" s="149" t="s">
        <v>2293</v>
      </c>
      <c r="K562" s="133"/>
      <c r="L562" s="133"/>
      <c r="M562" s="133"/>
      <c r="N562" s="151" t="s">
        <v>35</v>
      </c>
      <c r="O562" s="132"/>
      <c r="P562" s="150"/>
      <c r="Q562" s="132" t="s">
        <v>1377</v>
      </c>
      <c r="R562" s="132"/>
      <c r="S562" s="132"/>
      <c r="T562" s="132"/>
      <c r="U562" s="132" t="s">
        <v>378</v>
      </c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</row>
    <row r="563" spans="1:31" ht="44.25" customHeight="1">
      <c r="A563" s="164">
        <v>562</v>
      </c>
      <c r="B563" s="122" t="s">
        <v>2281</v>
      </c>
      <c r="C563" s="159" t="s">
        <v>2294</v>
      </c>
      <c r="D563" s="159" t="s">
        <v>2295</v>
      </c>
      <c r="E563" s="164">
        <v>8870191391</v>
      </c>
      <c r="F563" s="148" t="s">
        <v>1250</v>
      </c>
      <c r="G563" s="148">
        <v>120</v>
      </c>
      <c r="H563" s="159"/>
      <c r="I563" s="147" t="s">
        <v>2296</v>
      </c>
      <c r="J563" s="147" t="s">
        <v>2297</v>
      </c>
      <c r="K563" s="165"/>
      <c r="L563" s="165"/>
      <c r="M563" s="165"/>
      <c r="N563" s="164" t="s">
        <v>35</v>
      </c>
      <c r="O563" s="166"/>
      <c r="P563" s="167"/>
      <c r="Q563" s="166" t="s">
        <v>1377</v>
      </c>
      <c r="R563" s="166"/>
      <c r="S563" s="166"/>
      <c r="T563" s="166"/>
      <c r="U563" s="166" t="s">
        <v>173</v>
      </c>
      <c r="V563" s="166"/>
      <c r="W563" s="166" t="s">
        <v>378</v>
      </c>
      <c r="X563" s="166"/>
      <c r="Y563" s="166"/>
      <c r="Z563" s="166"/>
      <c r="AA563" s="166"/>
      <c r="AB563" s="166"/>
      <c r="AC563" s="166"/>
      <c r="AD563" s="166"/>
      <c r="AE563" s="166"/>
    </row>
    <row r="564" spans="1:31" ht="26.25" customHeight="1">
      <c r="A564" s="151">
        <v>563</v>
      </c>
      <c r="B564" s="84" t="s">
        <v>2298</v>
      </c>
      <c r="C564" s="153" t="s">
        <v>2299</v>
      </c>
      <c r="D564" s="153" t="s">
        <v>2300</v>
      </c>
      <c r="E564" s="154">
        <v>9840033520</v>
      </c>
      <c r="F564" s="144" t="s">
        <v>1250</v>
      </c>
      <c r="G564" s="144">
        <v>1</v>
      </c>
      <c r="H564" s="152"/>
      <c r="I564" s="149" t="s">
        <v>2301</v>
      </c>
      <c r="J564" s="168" t="s">
        <v>2302</v>
      </c>
      <c r="K564" s="133"/>
      <c r="L564" s="133"/>
      <c r="M564" s="133"/>
      <c r="N564" s="151" t="s">
        <v>35</v>
      </c>
      <c r="O564" s="132"/>
      <c r="P564" s="150"/>
      <c r="Q564" s="132" t="s">
        <v>36</v>
      </c>
      <c r="R564" s="132"/>
      <c r="S564" s="132"/>
      <c r="T564" s="132"/>
      <c r="U564" s="132" t="s">
        <v>378</v>
      </c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</row>
    <row r="565" spans="1:31" ht="47.25" customHeight="1">
      <c r="A565" s="151">
        <v>564</v>
      </c>
      <c r="B565" s="84" t="s">
        <v>2298</v>
      </c>
      <c r="C565" s="153" t="s">
        <v>2303</v>
      </c>
      <c r="D565" s="153" t="s">
        <v>2304</v>
      </c>
      <c r="E565" s="154">
        <v>9841033011</v>
      </c>
      <c r="F565" s="144" t="s">
        <v>1250</v>
      </c>
      <c r="G565" s="144">
        <v>100</v>
      </c>
      <c r="H565" s="151" t="s">
        <v>2305</v>
      </c>
      <c r="I565" s="144"/>
      <c r="J565" s="144" t="s">
        <v>2306</v>
      </c>
      <c r="K565" s="144"/>
      <c r="L565" s="144"/>
      <c r="M565" s="144"/>
      <c r="N565" s="151" t="s">
        <v>35</v>
      </c>
      <c r="O565" s="151"/>
      <c r="P565" s="144"/>
      <c r="Q565" s="132" t="s">
        <v>36</v>
      </c>
      <c r="R565" s="151"/>
      <c r="S565" s="151"/>
      <c r="T565" s="151"/>
      <c r="U565" s="151" t="s">
        <v>378</v>
      </c>
      <c r="V565" s="151"/>
      <c r="W565" s="151"/>
      <c r="X565" s="151"/>
      <c r="Y565" s="151"/>
      <c r="Z565" s="151"/>
      <c r="AA565" s="151"/>
      <c r="AB565" s="151"/>
      <c r="AC565" s="151"/>
      <c r="AD565" s="151" t="s">
        <v>2307</v>
      </c>
      <c r="AE565" s="151"/>
    </row>
    <row r="566" spans="1:31" ht="26.25" customHeight="1">
      <c r="A566" s="151">
        <v>565</v>
      </c>
      <c r="B566" s="84" t="s">
        <v>2298</v>
      </c>
      <c r="C566" s="152" t="s">
        <v>2308</v>
      </c>
      <c r="D566" s="152"/>
      <c r="E566" s="151"/>
      <c r="F566" s="144" t="s">
        <v>2309</v>
      </c>
      <c r="G566" s="144">
        <v>36</v>
      </c>
      <c r="H566" s="152" t="s">
        <v>1913</v>
      </c>
      <c r="I566" s="149" t="s">
        <v>2310</v>
      </c>
      <c r="J566" s="149"/>
      <c r="K566" s="133"/>
      <c r="L566" s="133"/>
      <c r="M566" s="133"/>
      <c r="N566" s="151" t="s">
        <v>35</v>
      </c>
      <c r="O566" s="132"/>
      <c r="P566" s="150"/>
      <c r="Q566" s="132" t="s">
        <v>71</v>
      </c>
      <c r="R566" s="132"/>
      <c r="S566" s="132"/>
      <c r="T566" s="132"/>
      <c r="U566" s="132" t="s">
        <v>249</v>
      </c>
      <c r="V566" s="132"/>
      <c r="W566" s="132" t="s">
        <v>249</v>
      </c>
      <c r="X566" s="132"/>
      <c r="Y566" s="132"/>
      <c r="Z566" s="132"/>
      <c r="AA566" s="132"/>
      <c r="AB566" s="132"/>
      <c r="AC566" s="132"/>
      <c r="AD566" s="132"/>
      <c r="AE566" s="132"/>
    </row>
    <row r="567" spans="1:31" ht="26.25" customHeight="1">
      <c r="A567" s="151">
        <v>566</v>
      </c>
      <c r="B567" s="84" t="s">
        <v>2298</v>
      </c>
      <c r="C567" s="152" t="s">
        <v>2311</v>
      </c>
      <c r="D567" s="152" t="s">
        <v>2312</v>
      </c>
      <c r="E567" s="151">
        <v>9910007456</v>
      </c>
      <c r="F567" s="144" t="s">
        <v>2313</v>
      </c>
      <c r="G567" s="144">
        <v>60</v>
      </c>
      <c r="H567" s="152" t="s">
        <v>2314</v>
      </c>
      <c r="I567" s="149" t="s">
        <v>2315</v>
      </c>
      <c r="J567" s="149" t="s">
        <v>2316</v>
      </c>
      <c r="K567" s="133"/>
      <c r="L567" s="133"/>
      <c r="M567" s="133"/>
      <c r="N567" s="151" t="s">
        <v>35</v>
      </c>
      <c r="O567" s="132"/>
      <c r="P567" s="150"/>
      <c r="Q567" s="132" t="s">
        <v>1377</v>
      </c>
      <c r="R567" s="132"/>
      <c r="S567" s="132"/>
      <c r="T567" s="132"/>
      <c r="U567" s="132" t="s">
        <v>378</v>
      </c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</row>
    <row r="568" spans="1:31" ht="40.5" customHeight="1">
      <c r="A568" s="151">
        <v>567</v>
      </c>
      <c r="B568" s="84" t="s">
        <v>2298</v>
      </c>
      <c r="C568" s="152" t="s">
        <v>2317</v>
      </c>
      <c r="D568" s="152"/>
      <c r="E568" s="151">
        <v>9790725258</v>
      </c>
      <c r="F568" s="144" t="s">
        <v>2318</v>
      </c>
      <c r="G568" s="144">
        <v>12</v>
      </c>
      <c r="H568" s="152" t="s">
        <v>2319</v>
      </c>
      <c r="I568" s="149" t="s">
        <v>2320</v>
      </c>
      <c r="J568" s="149"/>
      <c r="K568" s="133"/>
      <c r="L568" s="133"/>
      <c r="M568" s="133"/>
      <c r="N568" s="151" t="s">
        <v>35</v>
      </c>
      <c r="O568" s="132"/>
      <c r="P568" s="150"/>
      <c r="Q568" s="132" t="s">
        <v>307</v>
      </c>
      <c r="R568" s="132"/>
      <c r="S568" s="132"/>
      <c r="T568" s="132"/>
      <c r="U568" s="132" t="s">
        <v>173</v>
      </c>
      <c r="V568" s="132"/>
      <c r="W568" s="132" t="s">
        <v>249</v>
      </c>
      <c r="X568" s="132"/>
      <c r="Y568" s="132"/>
      <c r="Z568" s="132"/>
      <c r="AA568" s="132"/>
      <c r="AB568" s="132"/>
      <c r="AC568" s="132"/>
      <c r="AD568" s="132"/>
      <c r="AE568" s="132"/>
    </row>
    <row r="569" spans="1:31" ht="42.75" customHeight="1">
      <c r="A569" s="151">
        <v>568</v>
      </c>
      <c r="B569" s="84" t="s">
        <v>2321</v>
      </c>
      <c r="C569" s="152" t="s">
        <v>2322</v>
      </c>
      <c r="D569" s="152" t="s">
        <v>2323</v>
      </c>
      <c r="E569" s="151">
        <v>8668099952</v>
      </c>
      <c r="F569" s="144" t="s">
        <v>48</v>
      </c>
      <c r="G569" s="144" t="s">
        <v>1145</v>
      </c>
      <c r="H569" s="152" t="s">
        <v>2324</v>
      </c>
      <c r="I569" s="149" t="s">
        <v>1168</v>
      </c>
      <c r="J569" s="149" t="s">
        <v>2325</v>
      </c>
      <c r="K569" s="133"/>
      <c r="L569" s="133"/>
      <c r="M569" s="133"/>
      <c r="N569" s="151" t="s">
        <v>35</v>
      </c>
      <c r="O569" s="132"/>
      <c r="P569" s="150"/>
      <c r="Q569" s="132" t="s">
        <v>36</v>
      </c>
      <c r="R569" s="132"/>
      <c r="S569" s="132"/>
      <c r="T569" s="132"/>
      <c r="U569" s="132" t="s">
        <v>38</v>
      </c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</row>
    <row r="570" spans="1:31" ht="26.25" customHeight="1">
      <c r="A570" s="151">
        <v>569</v>
      </c>
      <c r="B570" s="84" t="s">
        <v>2321</v>
      </c>
      <c r="C570" s="152" t="s">
        <v>2128</v>
      </c>
      <c r="D570" s="152" t="s">
        <v>2129</v>
      </c>
      <c r="E570" s="151">
        <v>9842846123</v>
      </c>
      <c r="F570" s="144" t="s">
        <v>2131</v>
      </c>
      <c r="G570" s="144" t="s">
        <v>1406</v>
      </c>
      <c r="H570" s="152" t="s">
        <v>2324</v>
      </c>
      <c r="I570" s="149" t="s">
        <v>710</v>
      </c>
      <c r="J570" s="149"/>
      <c r="K570" s="133"/>
      <c r="L570" s="133"/>
      <c r="M570" s="133"/>
      <c r="N570" s="151" t="s">
        <v>1238</v>
      </c>
      <c r="O570" s="132"/>
      <c r="P570" s="150"/>
      <c r="Q570" s="132" t="s">
        <v>36</v>
      </c>
      <c r="R570" s="132"/>
      <c r="S570" s="132"/>
      <c r="T570" s="132"/>
      <c r="U570" s="132" t="s">
        <v>38</v>
      </c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</row>
    <row r="571" spans="1:31" ht="26.25" customHeight="1">
      <c r="A571" s="151">
        <v>570</v>
      </c>
      <c r="B571" s="84" t="s">
        <v>2321</v>
      </c>
      <c r="C571" s="152" t="s">
        <v>2326</v>
      </c>
      <c r="D571" s="152" t="s">
        <v>2327</v>
      </c>
      <c r="E571" s="151">
        <v>7299367999</v>
      </c>
      <c r="F571" s="144" t="s">
        <v>48</v>
      </c>
      <c r="G571" s="144" t="s">
        <v>2328</v>
      </c>
      <c r="H571" s="152" t="s">
        <v>2324</v>
      </c>
      <c r="I571" s="149" t="s">
        <v>710</v>
      </c>
      <c r="J571" s="149" t="s">
        <v>2329</v>
      </c>
      <c r="K571" s="133"/>
      <c r="L571" s="133"/>
      <c r="M571" s="133"/>
      <c r="N571" s="151" t="s">
        <v>35</v>
      </c>
      <c r="O571" s="132"/>
      <c r="P571" s="150"/>
      <c r="Q571" s="132" t="s">
        <v>36</v>
      </c>
      <c r="R571" s="132"/>
      <c r="S571" s="132"/>
      <c r="T571" s="132"/>
      <c r="U571" s="132" t="s">
        <v>38</v>
      </c>
      <c r="V571" s="132"/>
      <c r="W571" s="132" t="s">
        <v>63</v>
      </c>
      <c r="X571" s="132"/>
      <c r="Y571" s="132"/>
      <c r="Z571" s="132"/>
      <c r="AA571" s="132"/>
      <c r="AB571" s="132"/>
      <c r="AC571" s="132"/>
      <c r="AD571" s="132"/>
      <c r="AE571" s="132"/>
    </row>
    <row r="572" spans="1:31" ht="26.25" customHeight="1">
      <c r="A572" s="151">
        <v>571</v>
      </c>
      <c r="B572" s="84" t="s">
        <v>2321</v>
      </c>
      <c r="C572" s="152" t="s">
        <v>2330</v>
      </c>
      <c r="D572" s="152"/>
      <c r="E572" s="151"/>
      <c r="F572" s="144" t="s">
        <v>545</v>
      </c>
      <c r="G572" s="144" t="s">
        <v>259</v>
      </c>
      <c r="H572" s="152"/>
      <c r="I572" s="149" t="s">
        <v>2310</v>
      </c>
      <c r="J572" s="149" t="s">
        <v>1746</v>
      </c>
      <c r="K572" s="133"/>
      <c r="L572" s="133"/>
      <c r="M572" s="133"/>
      <c r="N572" s="151" t="s">
        <v>35</v>
      </c>
      <c r="O572" s="132"/>
      <c r="P572" s="150"/>
      <c r="Q572" s="132" t="s">
        <v>1478</v>
      </c>
      <c r="R572" s="132"/>
      <c r="S572" s="132"/>
      <c r="T572" s="132"/>
      <c r="U572" s="132" t="s">
        <v>134</v>
      </c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</row>
    <row r="573" spans="1:31" ht="60" customHeight="1">
      <c r="A573" s="151">
        <v>572</v>
      </c>
      <c r="B573" s="84" t="s">
        <v>2321</v>
      </c>
      <c r="C573" s="152" t="s">
        <v>2331</v>
      </c>
      <c r="D573" s="152" t="s">
        <v>2332</v>
      </c>
      <c r="E573" s="151">
        <v>9750803968</v>
      </c>
      <c r="F573" s="144" t="s">
        <v>2333</v>
      </c>
      <c r="G573" s="144">
        <v>31</v>
      </c>
      <c r="H573" s="152"/>
      <c r="I573" s="149" t="s">
        <v>1168</v>
      </c>
      <c r="J573" s="149" t="s">
        <v>2334</v>
      </c>
      <c r="K573" s="133"/>
      <c r="L573" s="133"/>
      <c r="M573" s="133"/>
      <c r="N573" s="151" t="s">
        <v>35</v>
      </c>
      <c r="O573" s="132"/>
      <c r="P573" s="150"/>
      <c r="Q573" s="132" t="s">
        <v>307</v>
      </c>
      <c r="R573" s="132"/>
      <c r="S573" s="132"/>
      <c r="T573" s="132"/>
      <c r="U573" s="132" t="s">
        <v>38</v>
      </c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</row>
    <row r="574" spans="1:31" ht="26.25" customHeight="1">
      <c r="A574" s="151">
        <v>573</v>
      </c>
      <c r="B574" s="84" t="s">
        <v>2321</v>
      </c>
      <c r="C574" s="152" t="s">
        <v>2335</v>
      </c>
      <c r="D574" s="152" t="s">
        <v>2336</v>
      </c>
      <c r="E574" s="151">
        <v>9881056350</v>
      </c>
      <c r="F574" s="144" t="s">
        <v>2337</v>
      </c>
      <c r="G574" s="144">
        <v>30</v>
      </c>
      <c r="H574" s="152"/>
      <c r="I574" s="149"/>
      <c r="J574" s="149"/>
      <c r="K574" s="133"/>
      <c r="L574" s="133"/>
      <c r="M574" s="133"/>
      <c r="N574" s="151" t="s">
        <v>35</v>
      </c>
      <c r="O574" s="132"/>
      <c r="P574" s="150"/>
      <c r="Q574" s="132" t="s">
        <v>479</v>
      </c>
      <c r="R574" s="132"/>
      <c r="S574" s="132"/>
      <c r="T574" s="132"/>
      <c r="U574" s="132" t="s">
        <v>38</v>
      </c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</row>
    <row r="575" spans="1:31" ht="26.25" customHeight="1">
      <c r="A575" s="151">
        <v>574</v>
      </c>
      <c r="B575" s="84" t="s">
        <v>2321</v>
      </c>
      <c r="C575" s="152" t="s">
        <v>2338</v>
      </c>
      <c r="D575" s="152" t="s">
        <v>2339</v>
      </c>
      <c r="E575" s="151"/>
      <c r="F575" s="144" t="s">
        <v>1046</v>
      </c>
      <c r="G575" s="144">
        <v>16</v>
      </c>
      <c r="H575" s="152"/>
      <c r="I575" s="149"/>
      <c r="J575" s="149" t="s">
        <v>2340</v>
      </c>
      <c r="K575" s="133"/>
      <c r="L575" s="133"/>
      <c r="M575" s="133"/>
      <c r="N575" s="151" t="s">
        <v>35</v>
      </c>
      <c r="O575" s="132"/>
      <c r="P575" s="150"/>
      <c r="Q575" s="132" t="s">
        <v>1478</v>
      </c>
      <c r="R575" s="132"/>
      <c r="S575" s="132"/>
      <c r="T575" s="132"/>
      <c r="U575" s="132" t="s">
        <v>2341</v>
      </c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</row>
    <row r="576" spans="1:31" ht="26.25" customHeight="1">
      <c r="A576" s="151">
        <v>575</v>
      </c>
      <c r="B576" s="84" t="s">
        <v>2321</v>
      </c>
      <c r="C576" s="152" t="s">
        <v>2342</v>
      </c>
      <c r="D576" s="152" t="s">
        <v>2343</v>
      </c>
      <c r="E576" s="151">
        <v>8610258773</v>
      </c>
      <c r="F576" s="144" t="s">
        <v>2344</v>
      </c>
      <c r="G576" s="144">
        <v>80</v>
      </c>
      <c r="H576" s="152" t="s">
        <v>2345</v>
      </c>
      <c r="I576" s="149"/>
      <c r="J576" s="149" t="s">
        <v>2346</v>
      </c>
      <c r="K576" s="133"/>
      <c r="L576" s="133"/>
      <c r="M576" s="133"/>
      <c r="N576" s="151" t="s">
        <v>35</v>
      </c>
      <c r="O576" s="132"/>
      <c r="P576" s="150"/>
      <c r="Q576" s="132" t="s">
        <v>1111</v>
      </c>
      <c r="R576" s="132"/>
      <c r="S576" s="132"/>
      <c r="T576" s="132"/>
      <c r="U576" s="132" t="s">
        <v>38</v>
      </c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</row>
    <row r="577" spans="1:31" ht="26.25" customHeight="1">
      <c r="A577" s="151">
        <v>576</v>
      </c>
      <c r="B577" s="84" t="s">
        <v>2321</v>
      </c>
      <c r="C577" s="152" t="s">
        <v>2347</v>
      </c>
      <c r="D577" s="152" t="s">
        <v>2348</v>
      </c>
      <c r="E577" s="151">
        <v>8675555855</v>
      </c>
      <c r="F577" s="144" t="s">
        <v>325</v>
      </c>
      <c r="G577" s="144"/>
      <c r="H577" s="152" t="s">
        <v>2349</v>
      </c>
      <c r="I577" s="149" t="s">
        <v>694</v>
      </c>
      <c r="J577" s="149" t="s">
        <v>2350</v>
      </c>
      <c r="K577" s="133"/>
      <c r="L577" s="133"/>
      <c r="M577" s="133"/>
      <c r="N577" s="151" t="s">
        <v>35</v>
      </c>
      <c r="O577" s="132"/>
      <c r="P577" s="150"/>
      <c r="Q577" s="132" t="s">
        <v>36</v>
      </c>
      <c r="R577" s="132"/>
      <c r="S577" s="132"/>
      <c r="T577" s="132"/>
      <c r="U577" s="132" t="s">
        <v>378</v>
      </c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</row>
    <row r="578" spans="1:31" ht="26.25" customHeight="1">
      <c r="A578" s="151">
        <v>577</v>
      </c>
      <c r="B578" s="84" t="s">
        <v>2351</v>
      </c>
      <c r="C578" s="153" t="s">
        <v>2352</v>
      </c>
      <c r="D578" s="153" t="s">
        <v>2353</v>
      </c>
      <c r="E578" s="154">
        <v>9848143588</v>
      </c>
      <c r="F578" s="154" t="s">
        <v>1006</v>
      </c>
      <c r="G578" s="154" t="s">
        <v>2354</v>
      </c>
      <c r="H578" s="146" t="s">
        <v>2355</v>
      </c>
      <c r="I578" s="146" t="s">
        <v>1192</v>
      </c>
      <c r="J578" s="149" t="s">
        <v>186</v>
      </c>
      <c r="K578" s="133"/>
      <c r="L578" s="133"/>
      <c r="M578" s="133"/>
      <c r="N578" s="151" t="s">
        <v>35</v>
      </c>
      <c r="O578" s="132"/>
      <c r="P578" s="150"/>
      <c r="Q578" s="132" t="s">
        <v>36</v>
      </c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</row>
    <row r="579" spans="1:31" ht="26.25" customHeight="1">
      <c r="A579" s="151">
        <v>578</v>
      </c>
      <c r="B579" s="84" t="s">
        <v>2351</v>
      </c>
      <c r="C579" s="153" t="s">
        <v>2356</v>
      </c>
      <c r="D579" s="153" t="s">
        <v>2357</v>
      </c>
      <c r="E579" s="154">
        <v>8056013249</v>
      </c>
      <c r="F579" s="154" t="s">
        <v>2358</v>
      </c>
      <c r="G579" s="154" t="s">
        <v>2359</v>
      </c>
      <c r="H579" s="146" t="s">
        <v>2360</v>
      </c>
      <c r="I579" s="146" t="s">
        <v>710</v>
      </c>
      <c r="J579" s="149" t="s">
        <v>2361</v>
      </c>
      <c r="K579" s="133"/>
      <c r="L579" s="133"/>
      <c r="M579" s="133"/>
      <c r="N579" s="151" t="s">
        <v>35</v>
      </c>
      <c r="O579" s="132"/>
      <c r="P579" s="150"/>
      <c r="Q579" s="132" t="s">
        <v>36</v>
      </c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</row>
    <row r="580" spans="1:31" ht="26.25" customHeight="1">
      <c r="A580" s="151">
        <v>579</v>
      </c>
      <c r="B580" s="84" t="s">
        <v>2351</v>
      </c>
      <c r="C580" s="153" t="s">
        <v>2362</v>
      </c>
      <c r="D580" s="153" t="s">
        <v>2363</v>
      </c>
      <c r="E580" s="154">
        <v>9840273991</v>
      </c>
      <c r="F580" s="154" t="s">
        <v>48</v>
      </c>
      <c r="G580" s="154">
        <v>1</v>
      </c>
      <c r="H580" s="146" t="s">
        <v>2355</v>
      </c>
      <c r="I580" s="146" t="s">
        <v>1152</v>
      </c>
      <c r="J580" s="149" t="s">
        <v>186</v>
      </c>
      <c r="K580" s="133"/>
      <c r="L580" s="133"/>
      <c r="M580" s="133"/>
      <c r="N580" s="151" t="s">
        <v>35</v>
      </c>
      <c r="O580" s="132"/>
      <c r="P580" s="150"/>
      <c r="Q580" s="132" t="s">
        <v>36</v>
      </c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</row>
    <row r="581" spans="1:31" ht="119.25" customHeight="1">
      <c r="A581" s="151">
        <v>580</v>
      </c>
      <c r="B581" s="84" t="s">
        <v>2351</v>
      </c>
      <c r="C581" s="169" t="s">
        <v>2364</v>
      </c>
      <c r="D581" s="152"/>
      <c r="E581" s="169">
        <v>9940565886</v>
      </c>
      <c r="F581" s="144" t="s">
        <v>545</v>
      </c>
      <c r="G581" s="144">
        <v>12</v>
      </c>
      <c r="H581" s="152"/>
      <c r="I581" s="149" t="s">
        <v>2365</v>
      </c>
      <c r="J581" s="170" t="s">
        <v>2366</v>
      </c>
      <c r="K581" s="133" t="s">
        <v>2367</v>
      </c>
      <c r="L581" s="133"/>
      <c r="M581" s="133"/>
      <c r="N581" s="151" t="s">
        <v>35</v>
      </c>
      <c r="O581" s="132"/>
      <c r="P581" s="150"/>
      <c r="Q581" s="132" t="s">
        <v>1111</v>
      </c>
      <c r="R581" s="132"/>
      <c r="S581" s="132"/>
      <c r="T581" s="132"/>
      <c r="U581" s="132" t="s">
        <v>378</v>
      </c>
      <c r="V581" s="132"/>
      <c r="W581" s="132"/>
      <c r="X581" s="132"/>
      <c r="Y581" s="132"/>
      <c r="Z581" s="132"/>
      <c r="AA581" s="132"/>
      <c r="AB581" s="132"/>
      <c r="AC581" s="132"/>
      <c r="AD581" s="171" t="s">
        <v>2368</v>
      </c>
      <c r="AE581" s="132"/>
    </row>
    <row r="582" spans="1:31" ht="26.25" customHeight="1">
      <c r="A582" s="151">
        <v>581</v>
      </c>
      <c r="B582" s="84" t="s">
        <v>2351</v>
      </c>
      <c r="C582" s="152" t="s">
        <v>2369</v>
      </c>
      <c r="D582" s="152"/>
      <c r="E582" s="151">
        <v>7550227287</v>
      </c>
      <c r="F582" s="144" t="s">
        <v>142</v>
      </c>
      <c r="G582" s="144">
        <v>20</v>
      </c>
      <c r="H582" s="152" t="s">
        <v>2370</v>
      </c>
      <c r="I582" s="149"/>
      <c r="J582" s="172" t="s">
        <v>2371</v>
      </c>
      <c r="K582" s="133"/>
      <c r="L582" s="133"/>
      <c r="M582" s="133"/>
      <c r="N582" s="151" t="s">
        <v>35</v>
      </c>
      <c r="O582" s="132"/>
      <c r="P582" s="150"/>
      <c r="Q582" s="132" t="s">
        <v>307</v>
      </c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</row>
    <row r="583" spans="1:31" ht="26.25" customHeight="1">
      <c r="A583" s="151">
        <v>582</v>
      </c>
      <c r="B583" s="84" t="s">
        <v>2351</v>
      </c>
      <c r="C583" s="152" t="s">
        <v>2372</v>
      </c>
      <c r="D583" s="152"/>
      <c r="E583" s="151">
        <v>9825132503</v>
      </c>
      <c r="F583" s="144" t="s">
        <v>259</v>
      </c>
      <c r="G583" s="144"/>
      <c r="H583" s="152"/>
      <c r="I583" s="149"/>
      <c r="J583" s="172"/>
      <c r="K583" s="133"/>
      <c r="L583" s="133"/>
      <c r="M583" s="133"/>
      <c r="N583" s="151" t="s">
        <v>44</v>
      </c>
      <c r="O583" s="132"/>
      <c r="P583" s="150"/>
      <c r="Q583" s="132" t="s">
        <v>1995</v>
      </c>
      <c r="R583" s="132"/>
      <c r="S583" s="132"/>
      <c r="T583" s="15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</row>
    <row r="584" spans="1:31" ht="26.25" customHeight="1">
      <c r="A584" s="151">
        <v>583</v>
      </c>
      <c r="B584" s="84" t="s">
        <v>2351</v>
      </c>
      <c r="C584" s="152" t="s">
        <v>2373</v>
      </c>
      <c r="D584" s="152"/>
      <c r="E584" s="151">
        <v>9511255741</v>
      </c>
      <c r="F584" s="144"/>
      <c r="G584" s="144"/>
      <c r="H584" s="152"/>
      <c r="I584" s="149"/>
      <c r="J584" s="172"/>
      <c r="K584" s="133"/>
      <c r="L584" s="133"/>
      <c r="M584" s="133"/>
      <c r="N584" s="151" t="s">
        <v>44</v>
      </c>
      <c r="O584" s="132"/>
      <c r="P584" s="150"/>
      <c r="Q584" s="132" t="s">
        <v>1995</v>
      </c>
      <c r="R584" s="132"/>
      <c r="S584" s="132"/>
      <c r="T584" s="15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</row>
    <row r="585" spans="1:31" ht="44.25" customHeight="1">
      <c r="A585" s="151">
        <v>584</v>
      </c>
      <c r="B585" s="84" t="s">
        <v>2351</v>
      </c>
      <c r="C585" s="152" t="s">
        <v>2374</v>
      </c>
      <c r="D585" s="152" t="s">
        <v>2375</v>
      </c>
      <c r="E585" s="151">
        <v>9890005348</v>
      </c>
      <c r="F585" s="144" t="s">
        <v>268</v>
      </c>
      <c r="G585" s="144">
        <v>12</v>
      </c>
      <c r="H585" s="152"/>
      <c r="I585" s="149" t="s">
        <v>2376</v>
      </c>
      <c r="J585" s="172"/>
      <c r="K585" s="133"/>
      <c r="L585" s="133"/>
      <c r="M585" s="133"/>
      <c r="N585" s="151" t="s">
        <v>35</v>
      </c>
      <c r="O585" s="132"/>
      <c r="P585" s="150"/>
      <c r="Q585" s="132" t="s">
        <v>1995</v>
      </c>
      <c r="R585" s="132"/>
      <c r="S585" s="132"/>
      <c r="T585" s="132" t="s">
        <v>2377</v>
      </c>
      <c r="U585" s="132" t="s">
        <v>378</v>
      </c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</row>
    <row r="586" spans="1:31" ht="26.25" customHeight="1">
      <c r="A586" s="151">
        <v>585</v>
      </c>
      <c r="B586" s="84" t="s">
        <v>2351</v>
      </c>
      <c r="C586" s="152" t="s">
        <v>2378</v>
      </c>
      <c r="D586" s="152"/>
      <c r="E586" s="151">
        <v>9421535249</v>
      </c>
      <c r="F586" s="144" t="s">
        <v>1256</v>
      </c>
      <c r="G586" s="144">
        <v>20</v>
      </c>
      <c r="H586" s="152"/>
      <c r="I586" s="149" t="s">
        <v>2379</v>
      </c>
      <c r="L586" s="133"/>
      <c r="M586" s="133"/>
      <c r="N586" s="151" t="s">
        <v>35</v>
      </c>
      <c r="O586" s="132"/>
      <c r="P586" s="150"/>
      <c r="Q586" s="132" t="s">
        <v>1995</v>
      </c>
      <c r="R586" s="132"/>
      <c r="S586" s="132"/>
      <c r="T586" s="15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</row>
    <row r="587" spans="1:31" ht="26.25" customHeight="1">
      <c r="A587" s="151">
        <v>586</v>
      </c>
      <c r="B587" s="84" t="s">
        <v>2380</v>
      </c>
      <c r="C587" s="152" t="s">
        <v>2381</v>
      </c>
      <c r="D587" s="152"/>
      <c r="E587" s="151">
        <v>9842106877</v>
      </c>
      <c r="F587" s="144"/>
      <c r="G587" s="144"/>
      <c r="H587" s="152"/>
      <c r="I587" s="149"/>
      <c r="J587" s="172"/>
      <c r="K587" s="133"/>
      <c r="L587" s="133"/>
      <c r="M587" s="133"/>
      <c r="N587" s="151" t="s">
        <v>35</v>
      </c>
      <c r="O587" s="132"/>
      <c r="P587" s="150"/>
      <c r="Q587" s="132" t="s">
        <v>307</v>
      </c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</row>
    <row r="588" spans="1:31" ht="26.25" customHeight="1">
      <c r="A588" s="151">
        <v>587</v>
      </c>
      <c r="B588" s="84" t="s">
        <v>2382</v>
      </c>
      <c r="C588" s="152" t="s">
        <v>2383</v>
      </c>
      <c r="D588" s="152" t="s">
        <v>2384</v>
      </c>
      <c r="E588" s="151">
        <v>9600602330</v>
      </c>
      <c r="F588" s="144"/>
      <c r="G588" s="144">
        <v>30</v>
      </c>
      <c r="H588" s="152"/>
      <c r="I588" s="173" t="s">
        <v>2385</v>
      </c>
      <c r="J588" s="172" t="s">
        <v>2386</v>
      </c>
      <c r="K588" s="133"/>
      <c r="L588" s="133"/>
      <c r="M588" s="133"/>
      <c r="N588" s="151" t="s">
        <v>35</v>
      </c>
      <c r="O588" s="132"/>
      <c r="P588" s="150"/>
      <c r="Q588" s="132" t="s">
        <v>1377</v>
      </c>
      <c r="R588" s="132"/>
      <c r="S588" s="132"/>
      <c r="T588" s="132"/>
      <c r="U588" s="132" t="s">
        <v>378</v>
      </c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</row>
    <row r="589" spans="1:31" ht="26.25" customHeight="1">
      <c r="A589" s="151">
        <v>588</v>
      </c>
      <c r="B589" s="84" t="s">
        <v>2387</v>
      </c>
      <c r="C589" s="152" t="s">
        <v>2388</v>
      </c>
      <c r="D589" s="152" t="s">
        <v>2389</v>
      </c>
      <c r="E589" s="151">
        <v>9962520540</v>
      </c>
      <c r="F589" s="144" t="s">
        <v>48</v>
      </c>
      <c r="G589" s="144"/>
      <c r="H589" s="152"/>
      <c r="I589" s="149"/>
      <c r="J589" s="149"/>
      <c r="K589" s="133"/>
      <c r="L589" s="133"/>
      <c r="M589" s="133"/>
      <c r="N589" s="151" t="s">
        <v>35</v>
      </c>
      <c r="O589" s="132"/>
      <c r="P589" s="150"/>
      <c r="Q589" s="132" t="s">
        <v>1478</v>
      </c>
      <c r="R589" s="132"/>
      <c r="S589" s="132"/>
      <c r="T589" s="132"/>
      <c r="U589" s="132" t="s">
        <v>38</v>
      </c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</row>
    <row r="590" spans="1:31" ht="45" customHeight="1">
      <c r="A590" s="151">
        <v>589</v>
      </c>
      <c r="B590" s="84" t="s">
        <v>2390</v>
      </c>
      <c r="C590" s="152" t="s">
        <v>2391</v>
      </c>
      <c r="D590" s="152" t="s">
        <v>2392</v>
      </c>
      <c r="E590" s="151">
        <v>7598270327</v>
      </c>
      <c r="F590" s="144" t="s">
        <v>48</v>
      </c>
      <c r="G590" s="144">
        <v>8</v>
      </c>
      <c r="H590" s="152"/>
      <c r="I590" s="149" t="s">
        <v>2393</v>
      </c>
      <c r="J590" s="149"/>
      <c r="K590" s="133"/>
      <c r="L590" s="133"/>
      <c r="M590" s="133"/>
      <c r="N590" s="151" t="s">
        <v>35</v>
      </c>
      <c r="O590" s="132"/>
      <c r="P590" s="150"/>
      <c r="Q590" s="132" t="s">
        <v>1111</v>
      </c>
      <c r="R590" s="132"/>
      <c r="S590" s="132"/>
      <c r="T590" s="132"/>
      <c r="U590" s="132" t="s">
        <v>134</v>
      </c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</row>
    <row r="591" spans="1:31" ht="26.25" customHeight="1">
      <c r="A591" s="151">
        <v>590</v>
      </c>
      <c r="B591" s="84" t="s">
        <v>2390</v>
      </c>
      <c r="C591" s="152" t="s">
        <v>2394</v>
      </c>
      <c r="D591" s="152"/>
      <c r="E591" s="151"/>
      <c r="F591" s="144" t="s">
        <v>1256</v>
      </c>
      <c r="G591" s="144">
        <v>300</v>
      </c>
      <c r="H591" s="152"/>
      <c r="I591" s="149" t="s">
        <v>1826</v>
      </c>
      <c r="J591" s="149"/>
      <c r="K591" s="133"/>
      <c r="L591" s="133"/>
      <c r="M591" s="133"/>
      <c r="N591" s="151" t="s">
        <v>35</v>
      </c>
      <c r="O591" s="132"/>
      <c r="P591" s="150"/>
      <c r="Q591" s="132" t="s">
        <v>1478</v>
      </c>
      <c r="R591" s="132"/>
      <c r="S591" s="132"/>
      <c r="T591" s="132"/>
      <c r="U591" s="132" t="s">
        <v>134</v>
      </c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</row>
    <row r="592" spans="1:31" ht="26.25" customHeight="1">
      <c r="A592" s="151">
        <v>591</v>
      </c>
      <c r="B592" s="84" t="s">
        <v>2395</v>
      </c>
      <c r="C592" s="152" t="s">
        <v>2396</v>
      </c>
      <c r="D592" s="152"/>
      <c r="E592" s="151"/>
      <c r="F592" s="144" t="s">
        <v>2397</v>
      </c>
      <c r="G592" s="144">
        <v>6</v>
      </c>
      <c r="H592" s="152"/>
      <c r="I592" s="149" t="s">
        <v>2398</v>
      </c>
      <c r="J592" s="149"/>
      <c r="K592" s="133"/>
      <c r="L592" s="133"/>
      <c r="M592" s="133"/>
      <c r="N592" s="151" t="s">
        <v>35</v>
      </c>
      <c r="O592" s="132"/>
      <c r="P592" s="150"/>
      <c r="Q592" s="132" t="s">
        <v>71</v>
      </c>
      <c r="R592" s="132"/>
      <c r="S592" s="132"/>
      <c r="T592" s="132"/>
      <c r="U592" s="132" t="s">
        <v>134</v>
      </c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</row>
    <row r="593" spans="1:31" ht="26.25" customHeight="1">
      <c r="A593" s="151">
        <v>592</v>
      </c>
      <c r="B593" s="84" t="s">
        <v>2395</v>
      </c>
      <c r="C593" s="152" t="s">
        <v>2399</v>
      </c>
      <c r="D593" s="152" t="s">
        <v>2400</v>
      </c>
      <c r="E593" s="151"/>
      <c r="F593" s="144" t="s">
        <v>142</v>
      </c>
      <c r="G593" s="144">
        <v>1000</v>
      </c>
      <c r="H593" s="138"/>
      <c r="I593" s="138" t="s">
        <v>2401</v>
      </c>
      <c r="J593" s="149"/>
      <c r="K593" s="133"/>
      <c r="L593" s="133"/>
      <c r="M593" s="133"/>
      <c r="N593" s="151" t="s">
        <v>35</v>
      </c>
      <c r="O593" s="132"/>
      <c r="P593" s="150"/>
      <c r="Q593" s="132" t="s">
        <v>1111</v>
      </c>
      <c r="R593" s="132"/>
      <c r="S593" s="132"/>
      <c r="T593" s="132"/>
      <c r="U593" s="132" t="s">
        <v>249</v>
      </c>
      <c r="V593" s="132"/>
      <c r="W593" s="132"/>
      <c r="X593" s="132"/>
      <c r="Y593" s="132"/>
      <c r="Z593" s="132"/>
      <c r="AA593" s="132"/>
      <c r="AB593" s="132"/>
      <c r="AC593" s="132"/>
      <c r="AD593" s="132" t="s">
        <v>2402</v>
      </c>
      <c r="AE593" s="132"/>
    </row>
    <row r="594" spans="1:31" ht="26.25" customHeight="1">
      <c r="A594" s="151">
        <v>593</v>
      </c>
      <c r="B594" s="84" t="s">
        <v>2403</v>
      </c>
      <c r="C594" s="152" t="s">
        <v>2404</v>
      </c>
      <c r="D594" s="152" t="s">
        <v>2405</v>
      </c>
      <c r="E594" s="151">
        <v>9789086698</v>
      </c>
      <c r="F594" s="144" t="s">
        <v>48</v>
      </c>
      <c r="G594" s="144"/>
      <c r="H594" s="152"/>
      <c r="I594" s="149"/>
      <c r="J594" s="149"/>
      <c r="K594" s="133"/>
      <c r="L594" s="133"/>
      <c r="M594" s="133"/>
      <c r="N594" s="151" t="s">
        <v>35</v>
      </c>
      <c r="O594" s="132"/>
      <c r="P594" s="150"/>
      <c r="Q594" s="132" t="s">
        <v>1377</v>
      </c>
      <c r="R594" s="132"/>
      <c r="S594" s="132"/>
      <c r="T594" s="132"/>
      <c r="U594" s="132" t="s">
        <v>173</v>
      </c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</row>
    <row r="595" spans="1:31" ht="26.25" customHeight="1">
      <c r="A595" s="151">
        <v>595</v>
      </c>
      <c r="B595" s="84" t="s">
        <v>2403</v>
      </c>
      <c r="C595" s="152" t="s">
        <v>2406</v>
      </c>
      <c r="D595" s="152" t="s">
        <v>2400</v>
      </c>
      <c r="E595" s="151">
        <v>9524057272</v>
      </c>
      <c r="F595" s="144" t="s">
        <v>142</v>
      </c>
      <c r="G595" s="144">
        <v>1000</v>
      </c>
      <c r="H595" s="152"/>
      <c r="I595" s="149"/>
      <c r="J595" s="149"/>
      <c r="K595" s="133"/>
      <c r="L595" s="133"/>
      <c r="M595" s="133"/>
      <c r="N595" s="151" t="s">
        <v>596</v>
      </c>
      <c r="O595" s="132"/>
      <c r="P595" s="150"/>
      <c r="Q595" s="132" t="s">
        <v>1111</v>
      </c>
      <c r="R595" s="132"/>
      <c r="S595" s="132"/>
      <c r="T595" s="132"/>
      <c r="U595" s="132" t="s">
        <v>378</v>
      </c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</row>
    <row r="596" spans="1:31" ht="26.25" customHeight="1">
      <c r="A596" s="151">
        <v>596</v>
      </c>
      <c r="B596" s="84" t="s">
        <v>2407</v>
      </c>
      <c r="C596" s="152" t="s">
        <v>2408</v>
      </c>
      <c r="D596" s="152" t="s">
        <v>2409</v>
      </c>
      <c r="E596" s="151">
        <v>9361467270</v>
      </c>
      <c r="F596" s="144" t="s">
        <v>2410</v>
      </c>
      <c r="G596" s="144">
        <v>36</v>
      </c>
      <c r="H596" s="152" t="s">
        <v>1242</v>
      </c>
      <c r="I596" s="149" t="s">
        <v>2411</v>
      </c>
      <c r="J596" s="149"/>
      <c r="K596" s="133"/>
      <c r="L596" s="133"/>
      <c r="M596" s="133"/>
      <c r="N596" s="151" t="s">
        <v>35</v>
      </c>
      <c r="O596" s="132"/>
      <c r="P596" s="150"/>
      <c r="Q596" s="132" t="s">
        <v>1377</v>
      </c>
      <c r="R596" s="132"/>
      <c r="S596" s="132"/>
      <c r="T596" s="132"/>
      <c r="U596" s="132" t="s">
        <v>173</v>
      </c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</row>
    <row r="597" spans="1:31" ht="26.25" customHeight="1">
      <c r="A597" s="174">
        <v>599</v>
      </c>
      <c r="B597" s="175" t="s">
        <v>2407</v>
      </c>
      <c r="C597" s="176" t="s">
        <v>2412</v>
      </c>
      <c r="D597" s="176" t="s">
        <v>528</v>
      </c>
      <c r="E597" s="174">
        <v>9381341442</v>
      </c>
      <c r="F597" s="177" t="s">
        <v>2413</v>
      </c>
      <c r="G597" s="177">
        <v>1</v>
      </c>
      <c r="H597" s="176"/>
      <c r="I597" s="178"/>
      <c r="J597" s="178"/>
      <c r="K597" s="179"/>
      <c r="L597" s="179"/>
      <c r="M597" s="179"/>
      <c r="N597" s="174" t="s">
        <v>568</v>
      </c>
      <c r="O597" s="180"/>
      <c r="P597" s="181"/>
      <c r="Q597" s="180" t="s">
        <v>1377</v>
      </c>
      <c r="R597" s="180"/>
      <c r="S597" s="180"/>
      <c r="T597" s="180"/>
      <c r="U597" s="180" t="s">
        <v>144</v>
      </c>
      <c r="V597" s="180"/>
      <c r="W597" s="180" t="s">
        <v>63</v>
      </c>
      <c r="X597" s="180"/>
      <c r="Y597" s="180"/>
      <c r="Z597" s="180"/>
      <c r="AA597" s="180"/>
      <c r="AB597" s="180"/>
      <c r="AC597" s="180"/>
      <c r="AD597" s="180"/>
      <c r="AE597" s="180"/>
    </row>
    <row r="598" spans="1:31" ht="26.25" customHeight="1">
      <c r="A598" s="151">
        <v>600</v>
      </c>
      <c r="B598" s="84" t="s">
        <v>2407</v>
      </c>
      <c r="C598" s="152" t="s">
        <v>2414</v>
      </c>
      <c r="D598" s="152" t="s">
        <v>2415</v>
      </c>
      <c r="E598" s="151">
        <v>8144772567</v>
      </c>
      <c r="F598" s="144" t="s">
        <v>2410</v>
      </c>
      <c r="G598" s="144">
        <v>36</v>
      </c>
      <c r="H598" s="152"/>
      <c r="I598" s="149" t="s">
        <v>2416</v>
      </c>
      <c r="J598" s="149" t="s">
        <v>2417</v>
      </c>
      <c r="K598" s="133"/>
      <c r="L598" s="133"/>
      <c r="M598" s="133"/>
      <c r="N598" s="151" t="s">
        <v>35</v>
      </c>
      <c r="O598" s="132"/>
      <c r="P598" s="150"/>
      <c r="Q598" s="132" t="s">
        <v>1377</v>
      </c>
      <c r="R598" s="132"/>
      <c r="S598" s="132"/>
      <c r="T598" s="132"/>
      <c r="U598" s="132" t="s">
        <v>144</v>
      </c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</row>
    <row r="599" spans="1:31" ht="26.25" customHeight="1">
      <c r="A599" s="151">
        <v>601</v>
      </c>
      <c r="B599" s="84" t="s">
        <v>2418</v>
      </c>
      <c r="C599" s="152" t="s">
        <v>2419</v>
      </c>
      <c r="D599" s="152"/>
      <c r="E599" s="151"/>
      <c r="F599" s="144"/>
      <c r="G599" s="144">
        <v>7</v>
      </c>
      <c r="H599" s="152"/>
      <c r="I599" s="149"/>
      <c r="J599" s="149"/>
      <c r="K599" s="133"/>
      <c r="L599" s="133"/>
      <c r="M599" s="133"/>
      <c r="N599" s="151" t="s">
        <v>35</v>
      </c>
      <c r="O599" s="132"/>
      <c r="P599" s="150"/>
      <c r="Q599" s="132" t="s">
        <v>71</v>
      </c>
      <c r="R599" s="132"/>
      <c r="S599" s="132"/>
      <c r="T599" s="132"/>
      <c r="U599" s="132" t="s">
        <v>249</v>
      </c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</row>
    <row r="600" spans="1:31" ht="26.25" customHeight="1">
      <c r="A600" s="151">
        <v>602</v>
      </c>
      <c r="B600" s="84" t="s">
        <v>2418</v>
      </c>
      <c r="C600" s="152" t="s">
        <v>2420</v>
      </c>
      <c r="D600" s="152"/>
      <c r="E600" s="151">
        <v>7055007152</v>
      </c>
      <c r="F600" s="144" t="s">
        <v>2421</v>
      </c>
      <c r="G600" s="144">
        <v>100</v>
      </c>
      <c r="H600" s="152"/>
      <c r="I600" s="149" t="s">
        <v>2422</v>
      </c>
      <c r="J600" s="149"/>
      <c r="K600" s="133"/>
      <c r="L600" s="133"/>
      <c r="M600" s="133"/>
      <c r="N600" s="151" t="s">
        <v>35</v>
      </c>
      <c r="O600" s="132"/>
      <c r="P600" s="150"/>
      <c r="Q600" s="132" t="s">
        <v>307</v>
      </c>
      <c r="R600" s="132"/>
      <c r="S600" s="132"/>
      <c r="T600" s="132"/>
      <c r="U600" s="132" t="s">
        <v>173</v>
      </c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</row>
    <row r="601" spans="1:31" ht="26.25" customHeight="1">
      <c r="A601" s="151">
        <v>603</v>
      </c>
      <c r="B601" s="84" t="s">
        <v>2418</v>
      </c>
      <c r="C601" s="152" t="s">
        <v>2423</v>
      </c>
      <c r="D601" s="152"/>
      <c r="E601" s="151">
        <v>9717832810</v>
      </c>
      <c r="F601" s="144" t="s">
        <v>581</v>
      </c>
      <c r="G601" s="144"/>
      <c r="H601" s="152"/>
      <c r="I601" s="149" t="s">
        <v>2424</v>
      </c>
      <c r="J601" s="149"/>
      <c r="K601" s="133"/>
      <c r="L601" s="133"/>
      <c r="M601" s="133"/>
      <c r="N601" s="151" t="s">
        <v>35</v>
      </c>
      <c r="O601" s="132"/>
      <c r="P601" s="150"/>
      <c r="Q601" s="132" t="s">
        <v>307</v>
      </c>
      <c r="R601" s="132"/>
      <c r="S601" s="132"/>
      <c r="T601" s="132"/>
      <c r="U601" s="132" t="s">
        <v>144</v>
      </c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</row>
    <row r="602" spans="1:31" ht="26.25" customHeight="1">
      <c r="A602" s="151">
        <v>604</v>
      </c>
      <c r="B602" s="84" t="s">
        <v>2418</v>
      </c>
      <c r="C602" s="152" t="s">
        <v>2425</v>
      </c>
      <c r="D602" s="152"/>
      <c r="E602" s="151"/>
      <c r="F602" s="144" t="s">
        <v>457</v>
      </c>
      <c r="G602" s="144">
        <v>3</v>
      </c>
      <c r="H602" s="152"/>
      <c r="I602" s="149" t="s">
        <v>2426</v>
      </c>
      <c r="J602" s="149"/>
      <c r="K602" s="133"/>
      <c r="L602" s="133"/>
      <c r="M602" s="133"/>
      <c r="N602" s="151" t="s">
        <v>35</v>
      </c>
      <c r="O602" s="132"/>
      <c r="P602" s="150"/>
      <c r="Q602" s="132" t="s">
        <v>71</v>
      </c>
      <c r="R602" s="132"/>
      <c r="S602" s="132"/>
      <c r="T602" s="132"/>
      <c r="U602" s="132" t="s">
        <v>249</v>
      </c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</row>
    <row r="603" spans="1:31" ht="26.25" customHeight="1">
      <c r="A603" s="151">
        <v>605</v>
      </c>
      <c r="B603" s="84" t="s">
        <v>2418</v>
      </c>
      <c r="C603" s="152" t="s">
        <v>2427</v>
      </c>
      <c r="D603" s="152" t="s">
        <v>2428</v>
      </c>
      <c r="E603" s="151">
        <v>9307819815</v>
      </c>
      <c r="F603" s="144" t="s">
        <v>2429</v>
      </c>
      <c r="G603" s="144">
        <v>20</v>
      </c>
      <c r="H603" s="152"/>
      <c r="I603" s="149" t="s">
        <v>736</v>
      </c>
      <c r="J603" s="172" t="s">
        <v>2430</v>
      </c>
      <c r="K603" s="133" t="s">
        <v>2431</v>
      </c>
      <c r="L603" s="133"/>
      <c r="M603" s="133"/>
      <c r="N603" s="151" t="s">
        <v>35</v>
      </c>
      <c r="O603" s="132"/>
      <c r="P603" s="150"/>
      <c r="Q603" s="132" t="s">
        <v>1111</v>
      </c>
      <c r="R603" s="132"/>
      <c r="S603" s="132"/>
      <c r="T603" s="15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</row>
    <row r="604" spans="1:31" ht="26.25" customHeight="1">
      <c r="A604" s="151">
        <v>606</v>
      </c>
      <c r="B604" s="84" t="s">
        <v>2418</v>
      </c>
      <c r="C604" s="152" t="s">
        <v>2432</v>
      </c>
      <c r="D604" s="152" t="s">
        <v>528</v>
      </c>
      <c r="E604" s="151">
        <v>9444163673</v>
      </c>
      <c r="F604" s="144" t="s">
        <v>325</v>
      </c>
      <c r="G604" s="144">
        <v>10</v>
      </c>
      <c r="H604" s="152"/>
      <c r="I604" s="149" t="s">
        <v>2433</v>
      </c>
      <c r="J604" s="149"/>
      <c r="K604" s="133"/>
      <c r="L604" s="133"/>
      <c r="M604" s="133"/>
      <c r="N604" s="151" t="s">
        <v>35</v>
      </c>
      <c r="O604" s="132"/>
      <c r="P604" s="150"/>
      <c r="Q604" s="132" t="s">
        <v>1111</v>
      </c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</row>
    <row r="605" spans="1:31" ht="26.25" customHeight="1">
      <c r="A605" s="151">
        <v>607</v>
      </c>
      <c r="B605" s="84" t="s">
        <v>2434</v>
      </c>
      <c r="C605" s="152" t="s">
        <v>2435</v>
      </c>
      <c r="D605" s="152"/>
      <c r="E605" s="151">
        <v>9840330273</v>
      </c>
      <c r="F605" s="144" t="s">
        <v>2436</v>
      </c>
      <c r="G605" s="144">
        <v>8</v>
      </c>
      <c r="H605" s="152"/>
      <c r="I605" s="149" t="s">
        <v>2437</v>
      </c>
      <c r="J605" s="149"/>
      <c r="K605" s="133"/>
      <c r="L605" s="133"/>
      <c r="M605" s="133"/>
      <c r="N605" s="151" t="s">
        <v>35</v>
      </c>
      <c r="O605" s="132"/>
      <c r="P605" s="150"/>
      <c r="Q605" s="132" t="s">
        <v>1478</v>
      </c>
      <c r="R605" s="132"/>
      <c r="S605" s="132"/>
      <c r="T605" s="132"/>
      <c r="U605" s="132" t="s">
        <v>378</v>
      </c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</row>
    <row r="606" spans="1:31" ht="34.5" customHeight="1">
      <c r="A606" s="151">
        <v>608</v>
      </c>
      <c r="B606" s="84" t="s">
        <v>2418</v>
      </c>
      <c r="C606" s="152" t="s">
        <v>2438</v>
      </c>
      <c r="D606" s="152"/>
      <c r="E606" s="151">
        <v>9411449394</v>
      </c>
      <c r="F606" s="144" t="s">
        <v>2439</v>
      </c>
      <c r="G606" s="144">
        <v>98</v>
      </c>
      <c r="H606" s="152"/>
      <c r="I606" s="149" t="s">
        <v>186</v>
      </c>
      <c r="J606" s="149"/>
      <c r="K606" s="133"/>
      <c r="L606" s="133"/>
      <c r="M606" s="133"/>
      <c r="N606" s="151" t="s">
        <v>44</v>
      </c>
      <c r="O606" s="132"/>
      <c r="P606" s="150"/>
      <c r="Q606" s="132" t="s">
        <v>307</v>
      </c>
      <c r="R606" s="132"/>
      <c r="S606" s="132"/>
      <c r="T606" s="132"/>
      <c r="U606" s="132" t="s">
        <v>38</v>
      </c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</row>
    <row r="607" spans="1:31" ht="18.75" customHeight="1">
      <c r="A607" s="151">
        <v>609</v>
      </c>
      <c r="B607" s="84" t="s">
        <v>2440</v>
      </c>
      <c r="C607" s="182" t="s">
        <v>2441</v>
      </c>
      <c r="D607" s="182" t="s">
        <v>2442</v>
      </c>
      <c r="E607" s="183" t="s">
        <v>2443</v>
      </c>
      <c r="F607" s="182" t="s">
        <v>2444</v>
      </c>
      <c r="G607" s="183">
        <v>1</v>
      </c>
      <c r="H607" s="182" t="s">
        <v>1629</v>
      </c>
      <c r="I607" s="182" t="s">
        <v>2445</v>
      </c>
      <c r="J607" s="149" t="s">
        <v>2446</v>
      </c>
      <c r="K607" s="133"/>
      <c r="L607" s="133"/>
      <c r="M607" s="133"/>
      <c r="N607" s="151" t="s">
        <v>106</v>
      </c>
      <c r="O607" s="132"/>
      <c r="P607" s="150"/>
      <c r="Q607" s="132" t="s">
        <v>1478</v>
      </c>
      <c r="R607" s="132"/>
      <c r="S607" s="132"/>
      <c r="T607" s="132"/>
      <c r="U607" s="132" t="s">
        <v>38</v>
      </c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</row>
    <row r="608" spans="1:31" ht="18.75" customHeight="1">
      <c r="A608" s="151">
        <v>610</v>
      </c>
      <c r="B608" s="84" t="s">
        <v>2440</v>
      </c>
      <c r="C608" s="152" t="s">
        <v>2447</v>
      </c>
      <c r="D608" s="152" t="s">
        <v>2448</v>
      </c>
      <c r="E608" s="151">
        <v>9884313749</v>
      </c>
      <c r="F608" s="144" t="s">
        <v>2449</v>
      </c>
      <c r="G608" s="144">
        <v>3</v>
      </c>
      <c r="H608" s="152" t="s">
        <v>1629</v>
      </c>
      <c r="I608" s="149" t="s">
        <v>2450</v>
      </c>
      <c r="J608" s="149"/>
      <c r="K608" s="133"/>
      <c r="L608" s="133"/>
      <c r="M608" s="133"/>
      <c r="N608" s="151" t="s">
        <v>35</v>
      </c>
      <c r="O608" s="132"/>
      <c r="P608" s="150"/>
      <c r="Q608" s="132" t="s">
        <v>71</v>
      </c>
      <c r="R608" s="132"/>
      <c r="S608" s="132"/>
      <c r="T608" s="132"/>
      <c r="U608" s="132" t="s">
        <v>38</v>
      </c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</row>
    <row r="609" spans="1:31" ht="102" customHeight="1">
      <c r="A609" s="151">
        <v>611</v>
      </c>
      <c r="B609" s="84" t="s">
        <v>2440</v>
      </c>
      <c r="C609" s="152" t="s">
        <v>2451</v>
      </c>
      <c r="D609" s="152" t="s">
        <v>2057</v>
      </c>
      <c r="E609" s="151">
        <v>9790896349</v>
      </c>
      <c r="F609" s="144" t="s">
        <v>2452</v>
      </c>
      <c r="G609" s="144" t="s">
        <v>2453</v>
      </c>
      <c r="H609" s="152" t="s">
        <v>1629</v>
      </c>
      <c r="I609" s="149" t="s">
        <v>2454</v>
      </c>
      <c r="J609" s="149"/>
      <c r="K609" s="133"/>
      <c r="L609" s="133"/>
      <c r="M609" s="133"/>
      <c r="N609" s="151" t="s">
        <v>35</v>
      </c>
      <c r="O609" s="132"/>
      <c r="P609" s="150"/>
      <c r="Q609" s="132" t="s">
        <v>71</v>
      </c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</row>
    <row r="610" spans="1:31" ht="34.5" customHeight="1">
      <c r="A610" s="151">
        <v>612</v>
      </c>
      <c r="B610" s="84" t="s">
        <v>2440</v>
      </c>
      <c r="C610" s="152" t="s">
        <v>2455</v>
      </c>
      <c r="D610" s="152"/>
      <c r="E610" s="151">
        <v>8981444113</v>
      </c>
      <c r="F610" s="144" t="s">
        <v>2456</v>
      </c>
      <c r="G610" s="144"/>
      <c r="H610" s="152"/>
      <c r="I610" s="149"/>
      <c r="J610" s="149"/>
      <c r="K610" s="133"/>
      <c r="L610" s="133"/>
      <c r="M610" s="133"/>
      <c r="N610" s="151"/>
      <c r="O610" s="132"/>
      <c r="P610" s="150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</row>
    <row r="611" spans="1:31" ht="34.5" customHeight="1">
      <c r="A611" s="151">
        <v>613</v>
      </c>
      <c r="B611" s="84" t="s">
        <v>2440</v>
      </c>
      <c r="C611" s="152" t="s">
        <v>2457</v>
      </c>
      <c r="D611" s="152" t="s">
        <v>2458</v>
      </c>
      <c r="E611" s="151">
        <v>8610753433</v>
      </c>
      <c r="F611" s="144" t="s">
        <v>325</v>
      </c>
      <c r="G611" s="144"/>
      <c r="H611" s="152"/>
      <c r="I611" s="149"/>
      <c r="J611" s="149"/>
      <c r="K611" s="133"/>
      <c r="L611" s="133"/>
      <c r="M611" s="133"/>
      <c r="N611" s="151" t="s">
        <v>35</v>
      </c>
      <c r="O611" s="132"/>
      <c r="P611" s="150"/>
      <c r="Q611" s="132"/>
      <c r="R611" s="132"/>
      <c r="S611" s="132"/>
      <c r="T611" s="132"/>
      <c r="U611" s="132" t="s">
        <v>38</v>
      </c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</row>
    <row r="612" spans="1:31" ht="34.5" customHeight="1">
      <c r="A612" s="151">
        <v>614</v>
      </c>
      <c r="B612" s="84" t="s">
        <v>2440</v>
      </c>
      <c r="C612" s="152" t="s">
        <v>2459</v>
      </c>
      <c r="D612" s="152" t="s">
        <v>2460</v>
      </c>
      <c r="E612" s="151"/>
      <c r="F612" s="144" t="s">
        <v>325</v>
      </c>
      <c r="G612" s="144"/>
      <c r="H612" s="152"/>
      <c r="I612" s="149"/>
      <c r="J612" s="149"/>
      <c r="K612" s="133"/>
      <c r="L612" s="133"/>
      <c r="M612" s="133"/>
      <c r="N612" s="151" t="s">
        <v>35</v>
      </c>
      <c r="O612" s="132"/>
      <c r="P612" s="150"/>
      <c r="Q612" s="132" t="s">
        <v>1478</v>
      </c>
      <c r="R612" s="132"/>
      <c r="S612" s="132"/>
      <c r="T612" s="132"/>
      <c r="U612" s="132" t="s">
        <v>134</v>
      </c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</row>
    <row r="613" spans="1:31" ht="34.5" customHeight="1">
      <c r="A613" s="151">
        <v>615</v>
      </c>
      <c r="B613" s="84" t="s">
        <v>2461</v>
      </c>
      <c r="C613" s="152" t="s">
        <v>2462</v>
      </c>
      <c r="D613" s="152" t="s">
        <v>2463</v>
      </c>
      <c r="E613" s="151" t="s">
        <v>2464</v>
      </c>
      <c r="F613" s="144" t="s">
        <v>48</v>
      </c>
      <c r="G613" s="144">
        <v>3</v>
      </c>
      <c r="H613" s="152" t="s">
        <v>1629</v>
      </c>
      <c r="I613" s="149" t="s">
        <v>2465</v>
      </c>
      <c r="J613" s="149" t="s">
        <v>2466</v>
      </c>
      <c r="K613" s="133" t="s">
        <v>2467</v>
      </c>
      <c r="L613" s="133"/>
      <c r="M613" s="133"/>
      <c r="N613" s="151" t="s">
        <v>106</v>
      </c>
      <c r="O613" s="132"/>
      <c r="P613" s="150"/>
      <c r="Q613" s="132" t="s">
        <v>307</v>
      </c>
      <c r="R613" s="132"/>
      <c r="S613" s="132"/>
      <c r="T613" s="132"/>
      <c r="U613" s="132" t="s">
        <v>38</v>
      </c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</row>
    <row r="614" spans="1:31" ht="18.75" customHeight="1">
      <c r="A614" s="151">
        <v>616</v>
      </c>
      <c r="B614" s="84" t="s">
        <v>2461</v>
      </c>
      <c r="C614" s="152" t="s">
        <v>2468</v>
      </c>
      <c r="D614" s="152" t="s">
        <v>2469</v>
      </c>
      <c r="E614" s="151">
        <v>9886165795</v>
      </c>
      <c r="F614" s="144"/>
      <c r="G614" s="144"/>
      <c r="H614" s="152"/>
      <c r="I614" s="149"/>
      <c r="J614" s="149"/>
      <c r="K614" s="133"/>
      <c r="L614" s="133"/>
      <c r="M614" s="133"/>
      <c r="N614" s="151" t="s">
        <v>35</v>
      </c>
      <c r="O614" s="132"/>
      <c r="P614" s="150"/>
      <c r="Q614" s="132" t="s">
        <v>307</v>
      </c>
      <c r="R614" s="132"/>
      <c r="S614" s="132"/>
      <c r="T614" s="132"/>
      <c r="U614" s="132" t="s">
        <v>173</v>
      </c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</row>
    <row r="615" spans="1:31" ht="18.75" customHeight="1">
      <c r="A615" s="151">
        <v>617</v>
      </c>
      <c r="B615" s="84" t="s">
        <v>2470</v>
      </c>
      <c r="C615" s="152" t="s">
        <v>2471</v>
      </c>
      <c r="D615" s="152" t="s">
        <v>1337</v>
      </c>
      <c r="E615" s="151">
        <v>9129840908178</v>
      </c>
      <c r="F615" s="144" t="s">
        <v>48</v>
      </c>
      <c r="G615" s="144">
        <v>1</v>
      </c>
      <c r="H615" s="152" t="s">
        <v>1265</v>
      </c>
      <c r="I615" s="149" t="s">
        <v>2472</v>
      </c>
      <c r="J615" s="149" t="s">
        <v>2473</v>
      </c>
      <c r="K615" s="133"/>
      <c r="L615" s="133"/>
      <c r="M615" s="133"/>
      <c r="N615" s="151" t="s">
        <v>329</v>
      </c>
      <c r="O615" s="132"/>
      <c r="P615" s="150"/>
      <c r="Q615" s="132" t="s">
        <v>1377</v>
      </c>
      <c r="R615" s="132"/>
      <c r="S615" s="132"/>
      <c r="T615" s="132"/>
      <c r="U615" s="132" t="s">
        <v>38</v>
      </c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</row>
    <row r="616" spans="1:31" ht="18.75" customHeight="1">
      <c r="A616" s="151">
        <v>618</v>
      </c>
      <c r="B616" s="84" t="s">
        <v>2470</v>
      </c>
      <c r="C616" s="152" t="s">
        <v>2474</v>
      </c>
      <c r="D616" s="152"/>
      <c r="E616" s="151"/>
      <c r="F616" s="144" t="s">
        <v>910</v>
      </c>
      <c r="G616" s="144">
        <v>36</v>
      </c>
      <c r="H616" s="152" t="s">
        <v>1818</v>
      </c>
      <c r="I616" s="149" t="s">
        <v>2475</v>
      </c>
      <c r="J616" s="149" t="s">
        <v>2476</v>
      </c>
      <c r="K616" s="133"/>
      <c r="L616" s="133"/>
      <c r="M616" s="133"/>
      <c r="N616" s="151" t="s">
        <v>35</v>
      </c>
      <c r="O616" s="132"/>
      <c r="P616" s="150"/>
      <c r="Q616" s="132" t="s">
        <v>1111</v>
      </c>
      <c r="R616" s="132"/>
      <c r="S616" s="132"/>
      <c r="T616" s="132"/>
      <c r="U616" s="132" t="s">
        <v>173</v>
      </c>
      <c r="V616" s="132"/>
      <c r="W616" s="132" t="s">
        <v>38</v>
      </c>
      <c r="X616" s="132"/>
      <c r="Y616" s="132"/>
      <c r="Z616" s="132"/>
      <c r="AA616" s="132"/>
      <c r="AB616" s="132"/>
      <c r="AC616" s="132"/>
      <c r="AD616" s="132"/>
      <c r="AE616" s="132"/>
    </row>
    <row r="617" spans="1:31" ht="18.75" customHeight="1">
      <c r="A617" s="151">
        <v>619</v>
      </c>
      <c r="B617" s="84" t="s">
        <v>2470</v>
      </c>
      <c r="C617" s="152" t="s">
        <v>2477</v>
      </c>
      <c r="D617" s="152"/>
      <c r="E617" s="151"/>
      <c r="F617" s="144" t="s">
        <v>48</v>
      </c>
      <c r="G617" s="144">
        <v>8</v>
      </c>
      <c r="H617" s="152"/>
      <c r="I617" s="149" t="s">
        <v>1913</v>
      </c>
      <c r="J617" s="149"/>
      <c r="K617" s="133"/>
      <c r="L617" s="133"/>
      <c r="M617" s="133"/>
      <c r="N617" s="151" t="s">
        <v>35</v>
      </c>
      <c r="O617" s="132"/>
      <c r="P617" s="150"/>
      <c r="Q617" s="132" t="s">
        <v>71</v>
      </c>
      <c r="R617" s="132"/>
      <c r="S617" s="132"/>
      <c r="T617" s="132"/>
      <c r="U617" s="132" t="s">
        <v>249</v>
      </c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</row>
    <row r="618" spans="1:31" ht="18.75" customHeight="1">
      <c r="A618" s="151">
        <v>620</v>
      </c>
      <c r="B618" s="84" t="s">
        <v>2470</v>
      </c>
      <c r="C618" s="152" t="s">
        <v>2478</v>
      </c>
      <c r="D618" s="152"/>
      <c r="E618" s="151">
        <v>9952259180</v>
      </c>
      <c r="F618" s="144" t="s">
        <v>48</v>
      </c>
      <c r="G618" s="144">
        <v>1</v>
      </c>
      <c r="H618" s="152" t="s">
        <v>423</v>
      </c>
      <c r="I618" s="149"/>
      <c r="J618" s="149" t="s">
        <v>2479</v>
      </c>
      <c r="K618" s="133"/>
      <c r="L618" s="133"/>
      <c r="M618" s="133"/>
      <c r="N618" s="151" t="s">
        <v>35</v>
      </c>
      <c r="O618" s="132"/>
      <c r="P618" s="150"/>
      <c r="Q618" s="132" t="s">
        <v>71</v>
      </c>
      <c r="R618" s="132"/>
      <c r="S618" s="132" t="s">
        <v>2480</v>
      </c>
      <c r="T618" s="132" t="s">
        <v>2481</v>
      </c>
      <c r="U618" s="132" t="s">
        <v>38</v>
      </c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</row>
    <row r="619" spans="1:31" ht="18.75" customHeight="1">
      <c r="A619" s="151">
        <v>621</v>
      </c>
      <c r="B619" s="84" t="s">
        <v>2470</v>
      </c>
      <c r="C619" s="152" t="s">
        <v>2482</v>
      </c>
      <c r="D619" s="152"/>
      <c r="E619" s="151">
        <v>9866913419</v>
      </c>
      <c r="F619" s="144" t="s">
        <v>2483</v>
      </c>
      <c r="G619" s="144">
        <v>1</v>
      </c>
      <c r="H619" s="152" t="s">
        <v>2484</v>
      </c>
      <c r="I619" s="149"/>
      <c r="J619" s="149" t="s">
        <v>2485</v>
      </c>
      <c r="K619" s="133"/>
      <c r="L619" s="133"/>
      <c r="M619" s="133"/>
      <c r="N619" s="151" t="s">
        <v>35</v>
      </c>
      <c r="O619" s="132"/>
      <c r="P619" s="150"/>
      <c r="Q619" s="132" t="s">
        <v>71</v>
      </c>
      <c r="R619" s="132"/>
      <c r="S619" s="132"/>
      <c r="T619" s="132"/>
      <c r="U619" s="132" t="s">
        <v>38</v>
      </c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</row>
    <row r="620" spans="1:31" ht="18.75" customHeight="1">
      <c r="A620" s="151">
        <v>622</v>
      </c>
      <c r="B620" s="84" t="s">
        <v>2470</v>
      </c>
      <c r="C620" s="152" t="s">
        <v>2486</v>
      </c>
      <c r="D620" s="152"/>
      <c r="E620" s="151">
        <v>8075827377</v>
      </c>
      <c r="F620" s="144" t="s">
        <v>2487</v>
      </c>
      <c r="G620" s="144">
        <v>20</v>
      </c>
      <c r="H620" s="152" t="s">
        <v>1561</v>
      </c>
      <c r="I620" s="149"/>
      <c r="J620" s="149" t="s">
        <v>2488</v>
      </c>
      <c r="K620" s="133"/>
      <c r="L620" s="133"/>
      <c r="M620" s="133"/>
      <c r="N620" s="151" t="s">
        <v>35</v>
      </c>
      <c r="O620" s="132"/>
      <c r="P620" s="150"/>
      <c r="Q620" s="132" t="s">
        <v>71</v>
      </c>
      <c r="R620" s="132"/>
      <c r="S620" s="132"/>
      <c r="T620" s="132"/>
      <c r="U620" s="132" t="s">
        <v>38</v>
      </c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</row>
    <row r="621" spans="1:31" ht="18.75" customHeight="1">
      <c r="A621" s="151">
        <v>623</v>
      </c>
      <c r="B621" s="84" t="s">
        <v>2470</v>
      </c>
      <c r="C621" s="152" t="s">
        <v>2489</v>
      </c>
      <c r="D621" s="152"/>
      <c r="E621" s="151">
        <v>8848132563</v>
      </c>
      <c r="F621" s="144" t="s">
        <v>2490</v>
      </c>
      <c r="G621" s="144"/>
      <c r="H621" s="152"/>
      <c r="I621" s="149"/>
      <c r="J621" s="149"/>
      <c r="K621" s="133"/>
      <c r="L621" s="133"/>
      <c r="M621" s="133"/>
      <c r="N621" s="151"/>
      <c r="O621" s="132"/>
      <c r="P621" s="150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</row>
    <row r="622" spans="1:31" ht="18.75" customHeight="1">
      <c r="A622" s="151">
        <v>624</v>
      </c>
      <c r="B622" s="84" t="s">
        <v>2491</v>
      </c>
      <c r="C622" s="152" t="s">
        <v>2492</v>
      </c>
      <c r="D622" s="152"/>
      <c r="E622" s="151"/>
      <c r="F622" s="144" t="s">
        <v>2493</v>
      </c>
      <c r="G622" s="144">
        <v>6</v>
      </c>
      <c r="H622" s="152" t="s">
        <v>712</v>
      </c>
      <c r="I622" s="149"/>
      <c r="J622" s="149"/>
      <c r="K622" s="133"/>
      <c r="L622" s="133"/>
      <c r="M622" s="133"/>
      <c r="N622" s="151" t="s">
        <v>35</v>
      </c>
      <c r="O622" s="132"/>
      <c r="P622" s="150"/>
      <c r="Q622" s="132" t="s">
        <v>71</v>
      </c>
      <c r="R622" s="132"/>
      <c r="S622" s="132"/>
      <c r="T622" s="132"/>
      <c r="U622" s="132" t="s">
        <v>249</v>
      </c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</row>
    <row r="623" spans="1:31" ht="18.75" customHeight="1">
      <c r="A623" s="151">
        <v>625</v>
      </c>
      <c r="B623" s="84" t="s">
        <v>2491</v>
      </c>
      <c r="C623" s="152" t="s">
        <v>2494</v>
      </c>
      <c r="D623" s="152" t="s">
        <v>2495</v>
      </c>
      <c r="E623" s="151">
        <v>7200774116</v>
      </c>
      <c r="F623" s="144" t="s">
        <v>2496</v>
      </c>
      <c r="G623" s="144">
        <v>20</v>
      </c>
      <c r="H623" s="152" t="s">
        <v>2319</v>
      </c>
      <c r="I623" s="149"/>
      <c r="J623" s="149" t="s">
        <v>2497</v>
      </c>
      <c r="K623" s="133"/>
      <c r="L623" s="133"/>
      <c r="M623" s="133"/>
      <c r="N623" s="151" t="s">
        <v>35</v>
      </c>
      <c r="O623" s="132"/>
      <c r="P623" s="150"/>
      <c r="Q623" s="132" t="s">
        <v>1377</v>
      </c>
      <c r="R623" s="132"/>
      <c r="S623" s="132"/>
      <c r="T623" s="132"/>
      <c r="U623" s="132" t="s">
        <v>173</v>
      </c>
      <c r="V623" s="132"/>
      <c r="W623" s="132" t="s">
        <v>134</v>
      </c>
      <c r="X623" s="132"/>
      <c r="Y623" s="132"/>
      <c r="Z623" s="132"/>
      <c r="AA623" s="132"/>
      <c r="AB623" s="132"/>
      <c r="AC623" s="132"/>
      <c r="AD623" s="132"/>
      <c r="AE623" s="132"/>
    </row>
    <row r="624" spans="1:31" ht="18.75" customHeight="1">
      <c r="A624" s="151">
        <v>626</v>
      </c>
      <c r="B624" s="84" t="s">
        <v>2491</v>
      </c>
      <c r="C624" s="152" t="s">
        <v>2498</v>
      </c>
      <c r="D624" s="152" t="s">
        <v>2499</v>
      </c>
      <c r="E624" s="151"/>
      <c r="F624" s="144" t="s">
        <v>545</v>
      </c>
      <c r="G624" s="144">
        <v>40</v>
      </c>
      <c r="H624" s="152"/>
      <c r="I624" s="149"/>
      <c r="J624" s="149"/>
      <c r="K624" s="133"/>
      <c r="L624" s="133"/>
      <c r="M624" s="133"/>
      <c r="N624" s="151" t="s">
        <v>35</v>
      </c>
      <c r="O624" s="132"/>
      <c r="P624" s="150"/>
      <c r="Q624" s="132" t="s">
        <v>1377</v>
      </c>
      <c r="R624" s="132"/>
      <c r="S624" s="132"/>
      <c r="T624" s="132"/>
      <c r="U624" s="132" t="s">
        <v>144</v>
      </c>
      <c r="V624" s="132"/>
      <c r="W624" s="132" t="s">
        <v>134</v>
      </c>
      <c r="X624" s="132"/>
      <c r="Y624" s="132"/>
      <c r="Z624" s="132"/>
      <c r="AA624" s="132"/>
      <c r="AB624" s="132"/>
      <c r="AC624" s="132"/>
      <c r="AD624" s="132"/>
      <c r="AE624" s="132"/>
    </row>
    <row r="625" spans="1:31" ht="18.75" customHeight="1">
      <c r="A625" s="151">
        <v>627</v>
      </c>
      <c r="B625" s="84" t="s">
        <v>2500</v>
      </c>
      <c r="C625" s="152" t="s">
        <v>2501</v>
      </c>
      <c r="D625" s="152" t="s">
        <v>2502</v>
      </c>
      <c r="E625" s="151">
        <v>8143314335</v>
      </c>
      <c r="F625" s="144" t="s">
        <v>2483</v>
      </c>
      <c r="G625" s="144">
        <v>5</v>
      </c>
      <c r="H625" s="152"/>
      <c r="I625" s="149"/>
      <c r="J625" s="149"/>
      <c r="K625" s="133"/>
      <c r="L625" s="133"/>
      <c r="M625" s="133"/>
      <c r="N625" s="151" t="s">
        <v>35</v>
      </c>
      <c r="O625" s="132"/>
      <c r="P625" s="150"/>
      <c r="Q625" s="132" t="s">
        <v>1377</v>
      </c>
      <c r="R625" s="132"/>
      <c r="S625" s="132"/>
      <c r="T625" s="132"/>
      <c r="U625" s="132" t="s">
        <v>63</v>
      </c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</row>
    <row r="626" spans="1:31" ht="18.75" customHeight="1">
      <c r="A626" s="151">
        <v>628</v>
      </c>
      <c r="B626" s="84" t="s">
        <v>2503</v>
      </c>
      <c r="C626" s="152" t="s">
        <v>2504</v>
      </c>
      <c r="D626" s="152"/>
      <c r="E626" s="151">
        <v>9962027284</v>
      </c>
      <c r="F626" s="144"/>
      <c r="G626" s="144"/>
      <c r="H626" s="152"/>
      <c r="I626" s="149"/>
      <c r="J626" s="149"/>
      <c r="K626" s="133"/>
      <c r="L626" s="133"/>
      <c r="M626" s="133"/>
      <c r="N626" s="151" t="s">
        <v>70</v>
      </c>
      <c r="O626" s="132"/>
      <c r="P626" s="150"/>
      <c r="Q626" s="132" t="s">
        <v>1377</v>
      </c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</row>
    <row r="627" spans="1:31" ht="18.75" customHeight="1">
      <c r="A627" s="151">
        <v>629</v>
      </c>
      <c r="B627" s="84" t="s">
        <v>2503</v>
      </c>
      <c r="C627" s="152" t="s">
        <v>2505</v>
      </c>
      <c r="D627" s="152" t="s">
        <v>1337</v>
      </c>
      <c r="E627" s="151">
        <v>9176683045</v>
      </c>
      <c r="F627" s="144"/>
      <c r="G627" s="144">
        <v>4</v>
      </c>
      <c r="H627" s="152"/>
      <c r="I627" s="149"/>
      <c r="J627" s="149"/>
      <c r="K627" s="133"/>
      <c r="L627" s="133"/>
      <c r="M627" s="133"/>
      <c r="N627" s="151" t="s">
        <v>35</v>
      </c>
      <c r="O627" s="132"/>
      <c r="P627" s="150"/>
      <c r="Q627" s="132" t="s">
        <v>1377</v>
      </c>
      <c r="R627" s="132"/>
      <c r="S627" s="132"/>
      <c r="T627" s="132"/>
      <c r="U627" s="132" t="s">
        <v>173</v>
      </c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</row>
    <row r="628" spans="1:31" ht="18.75" customHeight="1">
      <c r="A628" s="151">
        <v>630</v>
      </c>
      <c r="B628" s="84" t="s">
        <v>2503</v>
      </c>
      <c r="C628" s="152" t="s">
        <v>2506</v>
      </c>
      <c r="D628" s="152" t="s">
        <v>2507</v>
      </c>
      <c r="E628" s="151">
        <v>9600096213</v>
      </c>
      <c r="F628" s="144" t="s">
        <v>2508</v>
      </c>
      <c r="G628" s="144">
        <v>36</v>
      </c>
      <c r="H628" s="152"/>
      <c r="I628" s="149"/>
      <c r="J628" s="149"/>
      <c r="K628" s="133"/>
      <c r="L628" s="133"/>
      <c r="M628" s="133"/>
      <c r="N628" s="151" t="s">
        <v>35</v>
      </c>
      <c r="O628" s="132" t="s">
        <v>96</v>
      </c>
      <c r="P628" s="150"/>
      <c r="Q628" s="132" t="s">
        <v>1377</v>
      </c>
      <c r="R628" s="132"/>
      <c r="S628" s="132"/>
      <c r="T628" s="132"/>
      <c r="U628" s="132" t="s">
        <v>173</v>
      </c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</row>
    <row r="629" spans="1:31" ht="18.75" customHeight="1">
      <c r="A629" s="151">
        <v>631</v>
      </c>
      <c r="B629" s="84" t="s">
        <v>2503</v>
      </c>
      <c r="C629" s="152" t="s">
        <v>2509</v>
      </c>
      <c r="D629" s="152"/>
      <c r="E629" s="151">
        <v>9966666491</v>
      </c>
      <c r="F629" s="144" t="s">
        <v>316</v>
      </c>
      <c r="G629" s="144">
        <v>8</v>
      </c>
      <c r="H629" s="152" t="s">
        <v>1629</v>
      </c>
      <c r="I629" s="149"/>
      <c r="J629" s="149" t="s">
        <v>2510</v>
      </c>
      <c r="K629" s="133" t="s">
        <v>1242</v>
      </c>
      <c r="L629" s="133"/>
      <c r="M629" s="133"/>
      <c r="N629" s="151" t="s">
        <v>44</v>
      </c>
      <c r="O629" s="132"/>
      <c r="P629" s="150"/>
      <c r="Q629" s="132" t="s">
        <v>71</v>
      </c>
      <c r="R629" s="132"/>
      <c r="S629" s="132"/>
      <c r="T629" s="132"/>
      <c r="U629" s="132" t="s">
        <v>38</v>
      </c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</row>
    <row r="630" spans="1:31" ht="18.75" customHeight="1">
      <c r="A630" s="151">
        <v>632</v>
      </c>
      <c r="B630" s="84" t="s">
        <v>2503</v>
      </c>
      <c r="C630" s="152" t="s">
        <v>2511</v>
      </c>
      <c r="D630" s="152"/>
      <c r="E630" s="151">
        <v>9677245819</v>
      </c>
      <c r="F630" s="144" t="s">
        <v>1250</v>
      </c>
      <c r="G630" s="144">
        <v>1</v>
      </c>
      <c r="H630" s="152" t="s">
        <v>1629</v>
      </c>
      <c r="I630" s="149"/>
      <c r="J630" s="149" t="s">
        <v>186</v>
      </c>
      <c r="K630" s="133"/>
      <c r="L630" s="133"/>
      <c r="M630" s="133"/>
      <c r="N630" s="151" t="s">
        <v>44</v>
      </c>
      <c r="O630" s="132"/>
      <c r="P630" s="150"/>
      <c r="Q630" s="132" t="s">
        <v>71</v>
      </c>
      <c r="R630" s="132"/>
      <c r="S630" s="132"/>
      <c r="T630" s="132"/>
      <c r="U630" s="132" t="s">
        <v>38</v>
      </c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</row>
    <row r="631" spans="1:31" ht="18.75" customHeight="1">
      <c r="A631" s="151"/>
      <c r="B631" s="184"/>
      <c r="C631" s="152"/>
      <c r="D631" s="152"/>
      <c r="E631" s="151"/>
      <c r="F631" s="144"/>
      <c r="G631" s="144"/>
      <c r="H631" s="152"/>
      <c r="I631" s="149"/>
      <c r="J631" s="149"/>
      <c r="K631" s="133"/>
      <c r="L631" s="133"/>
      <c r="M631" s="133"/>
      <c r="N631" s="151"/>
      <c r="O631" s="132"/>
      <c r="P631" s="150"/>
      <c r="Q631" s="132"/>
      <c r="R631" s="132"/>
      <c r="S631" s="132"/>
      <c r="T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</row>
    <row r="632" spans="1:31" ht="18.75" customHeight="1">
      <c r="A632" s="151"/>
      <c r="B632" s="184"/>
      <c r="C632" s="152"/>
      <c r="D632" s="152"/>
      <c r="E632" s="151"/>
      <c r="F632" s="144"/>
      <c r="G632" s="144"/>
      <c r="H632" s="152"/>
      <c r="I632" s="149"/>
      <c r="J632" s="149"/>
      <c r="K632" s="133"/>
      <c r="L632" s="133"/>
      <c r="M632" s="133"/>
      <c r="N632" s="151"/>
      <c r="O632" s="132"/>
      <c r="P632" s="150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</row>
    <row r="633" spans="1:31" ht="18.75" customHeight="1">
      <c r="A633" s="151"/>
      <c r="B633" s="184"/>
      <c r="C633" s="152"/>
      <c r="D633" s="152"/>
      <c r="E633" s="151"/>
      <c r="F633" s="144"/>
      <c r="G633" s="144"/>
      <c r="H633" s="152"/>
      <c r="I633" s="149"/>
      <c r="J633" s="149"/>
      <c r="K633" s="133"/>
      <c r="L633" s="133"/>
      <c r="M633" s="133"/>
      <c r="N633" s="151"/>
      <c r="O633" s="132"/>
      <c r="P633" s="150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</row>
    <row r="634" spans="1:31" ht="18.75" customHeight="1">
      <c r="A634" s="151"/>
      <c r="B634" s="184"/>
      <c r="C634" s="152"/>
      <c r="D634" s="152"/>
      <c r="E634" s="151"/>
      <c r="F634" s="144"/>
      <c r="G634" s="144"/>
      <c r="H634" s="152"/>
      <c r="I634" s="149"/>
      <c r="J634" s="149"/>
      <c r="K634" s="133"/>
      <c r="L634" s="133"/>
      <c r="M634" s="133"/>
      <c r="N634" s="151"/>
      <c r="O634" s="132"/>
      <c r="P634" s="150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</row>
    <row r="635" spans="1:31" ht="18.75" customHeight="1">
      <c r="A635" s="151"/>
      <c r="B635" s="184"/>
      <c r="C635" s="152"/>
      <c r="D635" s="152"/>
      <c r="E635" s="151"/>
      <c r="F635" s="144"/>
      <c r="G635" s="144"/>
      <c r="H635" s="152"/>
      <c r="I635" s="149"/>
      <c r="J635" s="149"/>
      <c r="K635" s="133"/>
      <c r="L635" s="133"/>
      <c r="M635" s="133"/>
      <c r="N635" s="151"/>
      <c r="O635" s="132"/>
      <c r="P635" s="150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</row>
    <row r="636" spans="1:31" ht="18.75" customHeight="1">
      <c r="A636" s="151"/>
      <c r="B636" s="184"/>
      <c r="C636" s="152"/>
      <c r="D636" s="152"/>
      <c r="E636" s="151"/>
      <c r="F636" s="144"/>
      <c r="G636" s="144"/>
      <c r="H636" s="152"/>
      <c r="I636" s="149"/>
      <c r="J636" s="149"/>
      <c r="K636" s="133"/>
      <c r="L636" s="133"/>
      <c r="M636" s="133"/>
      <c r="N636" s="151"/>
      <c r="O636" s="132"/>
      <c r="P636" s="150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</row>
    <row r="637" spans="1:31" ht="18.75" customHeight="1">
      <c r="A637" s="151"/>
      <c r="B637" s="184"/>
      <c r="C637" s="152"/>
      <c r="D637" s="152"/>
      <c r="E637" s="151"/>
      <c r="F637" s="144"/>
      <c r="G637" s="144"/>
      <c r="H637" s="152"/>
      <c r="I637" s="149"/>
      <c r="J637" s="149"/>
      <c r="K637" s="133"/>
      <c r="L637" s="133"/>
      <c r="M637" s="133"/>
      <c r="N637" s="151"/>
      <c r="O637" s="132"/>
      <c r="P637" s="150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</row>
    <row r="638" spans="1:31" ht="18.75" customHeight="1">
      <c r="A638" s="151"/>
      <c r="B638" s="184"/>
      <c r="C638" s="152"/>
      <c r="D638" s="152"/>
      <c r="E638" s="151"/>
      <c r="F638" s="144"/>
      <c r="G638" s="144"/>
      <c r="H638" s="152"/>
      <c r="I638" s="149"/>
      <c r="J638" s="149"/>
      <c r="K638" s="133"/>
      <c r="L638" s="133"/>
      <c r="M638" s="133"/>
      <c r="N638" s="151"/>
      <c r="O638" s="132"/>
      <c r="P638" s="150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</row>
    <row r="639" spans="1:31" ht="18.75" customHeight="1">
      <c r="A639" s="151"/>
      <c r="B639" s="184"/>
      <c r="C639" s="152"/>
      <c r="D639" s="152"/>
      <c r="E639" s="151"/>
      <c r="F639" s="144"/>
      <c r="G639" s="144"/>
      <c r="H639" s="152"/>
      <c r="I639" s="149"/>
      <c r="J639" s="149"/>
      <c r="K639" s="133"/>
      <c r="L639" s="133"/>
      <c r="M639" s="133"/>
      <c r="N639" s="151"/>
      <c r="O639" s="132"/>
      <c r="P639" s="150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</row>
    <row r="640" spans="1:31" ht="18.75" customHeight="1">
      <c r="A640" s="151"/>
      <c r="B640" s="184"/>
      <c r="C640" s="152"/>
      <c r="D640" s="152"/>
      <c r="E640" s="151"/>
      <c r="F640" s="144"/>
      <c r="G640" s="144"/>
      <c r="H640" s="152"/>
      <c r="I640" s="149"/>
      <c r="J640" s="149"/>
      <c r="K640" s="133"/>
      <c r="L640" s="133"/>
      <c r="M640" s="133"/>
      <c r="N640" s="151"/>
      <c r="O640" s="132"/>
      <c r="P640" s="150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</row>
    <row r="641" spans="1:31" ht="18.75" customHeight="1">
      <c r="A641" s="151"/>
      <c r="B641" s="184"/>
      <c r="C641" s="152"/>
      <c r="D641" s="152"/>
      <c r="E641" s="151"/>
      <c r="F641" s="144"/>
      <c r="G641" s="144"/>
      <c r="H641" s="152"/>
      <c r="I641" s="149"/>
      <c r="J641" s="149"/>
      <c r="K641" s="133"/>
      <c r="L641" s="133"/>
      <c r="M641" s="133"/>
      <c r="N641" s="151"/>
      <c r="O641" s="132"/>
      <c r="P641" s="150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</row>
    <row r="642" spans="1:31" ht="18.75" customHeight="1">
      <c r="A642" s="151"/>
      <c r="B642" s="184"/>
      <c r="C642" s="152"/>
      <c r="D642" s="152"/>
      <c r="E642" s="151"/>
      <c r="F642" s="144"/>
      <c r="G642" s="144"/>
      <c r="H642" s="152"/>
      <c r="I642" s="149"/>
      <c r="J642" s="149"/>
      <c r="K642" s="133"/>
      <c r="L642" s="133"/>
      <c r="M642" s="133"/>
      <c r="N642" s="151"/>
      <c r="O642" s="132"/>
      <c r="P642" s="150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</row>
    <row r="643" spans="1:31" ht="18.75" customHeight="1">
      <c r="A643" s="151"/>
      <c r="B643" s="184"/>
      <c r="C643" s="152"/>
      <c r="D643" s="152"/>
      <c r="E643" s="151"/>
      <c r="F643" s="144"/>
      <c r="G643" s="144"/>
      <c r="H643" s="152"/>
      <c r="I643" s="149"/>
      <c r="J643" s="149"/>
      <c r="K643" s="133"/>
      <c r="L643" s="133"/>
      <c r="M643" s="133"/>
      <c r="N643" s="151"/>
      <c r="O643" s="132"/>
      <c r="P643" s="150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</row>
    <row r="644" spans="1:31" ht="18.75" customHeight="1">
      <c r="A644" s="151"/>
      <c r="B644" s="184"/>
      <c r="C644" s="152"/>
      <c r="D644" s="152"/>
      <c r="E644" s="151"/>
      <c r="F644" s="144"/>
      <c r="G644" s="144"/>
      <c r="H644" s="152"/>
      <c r="I644" s="149"/>
      <c r="J644" s="149"/>
      <c r="K644" s="133"/>
      <c r="L644" s="133"/>
      <c r="M644" s="133"/>
      <c r="N644" s="151"/>
      <c r="O644" s="132"/>
      <c r="P644" s="150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</row>
    <row r="645" spans="1:31" ht="18.75" customHeight="1">
      <c r="A645" s="151"/>
      <c r="B645" s="184"/>
      <c r="C645" s="152"/>
      <c r="D645" s="152"/>
      <c r="E645" s="151"/>
      <c r="F645" s="144"/>
      <c r="G645" s="144"/>
      <c r="H645" s="152"/>
      <c r="I645" s="149"/>
      <c r="J645" s="149"/>
      <c r="K645" s="133"/>
      <c r="L645" s="133"/>
      <c r="M645" s="133"/>
      <c r="N645" s="151"/>
      <c r="O645" s="132"/>
      <c r="P645" s="150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</row>
    <row r="646" spans="1:31" ht="18.75" customHeight="1">
      <c r="A646" s="151"/>
      <c r="B646" s="184"/>
      <c r="C646" s="152"/>
      <c r="D646" s="152"/>
      <c r="E646" s="151"/>
      <c r="F646" s="144"/>
      <c r="G646" s="144"/>
      <c r="H646" s="152"/>
      <c r="I646" s="149"/>
      <c r="J646" s="149"/>
      <c r="K646" s="133"/>
      <c r="L646" s="133"/>
      <c r="M646" s="133"/>
      <c r="N646" s="151"/>
      <c r="O646" s="132"/>
      <c r="P646" s="150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</row>
    <row r="647" spans="1:31" ht="18.75" customHeight="1">
      <c r="A647" s="151"/>
      <c r="B647" s="184"/>
      <c r="C647" s="152"/>
      <c r="D647" s="152"/>
      <c r="E647" s="151"/>
      <c r="F647" s="144"/>
      <c r="G647" s="144"/>
      <c r="H647" s="152"/>
      <c r="I647" s="149"/>
      <c r="J647" s="149"/>
      <c r="K647" s="133"/>
      <c r="L647" s="133"/>
      <c r="M647" s="133"/>
      <c r="N647" s="151"/>
      <c r="O647" s="132"/>
      <c r="P647" s="150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</row>
    <row r="648" spans="1:31" ht="18.75" customHeight="1">
      <c r="A648" s="151"/>
      <c r="B648" s="184"/>
      <c r="C648" s="152"/>
      <c r="D648" s="152"/>
      <c r="E648" s="151"/>
      <c r="F648" s="144"/>
      <c r="G648" s="144"/>
      <c r="H648" s="152"/>
      <c r="I648" s="149"/>
      <c r="J648" s="149"/>
      <c r="K648" s="133"/>
      <c r="L648" s="133"/>
      <c r="M648" s="133"/>
      <c r="N648" s="151"/>
      <c r="O648" s="132"/>
      <c r="P648" s="150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</row>
    <row r="649" spans="1:31" ht="18.75" customHeight="1">
      <c r="A649" s="151"/>
      <c r="B649" s="184"/>
      <c r="C649" s="152"/>
      <c r="D649" s="152"/>
      <c r="E649" s="151"/>
      <c r="F649" s="144"/>
      <c r="G649" s="144"/>
      <c r="H649" s="152"/>
      <c r="I649" s="149"/>
      <c r="J649" s="149"/>
      <c r="K649" s="133"/>
      <c r="L649" s="133"/>
      <c r="M649" s="133"/>
      <c r="N649" s="151"/>
      <c r="O649" s="132"/>
      <c r="P649" s="150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</row>
    <row r="650" spans="1:31" ht="18.75" customHeight="1">
      <c r="A650" s="151"/>
      <c r="B650" s="184"/>
      <c r="C650" s="152"/>
      <c r="D650" s="152"/>
      <c r="E650" s="151"/>
      <c r="F650" s="144"/>
      <c r="G650" s="144"/>
      <c r="H650" s="152"/>
      <c r="I650" s="149"/>
      <c r="J650" s="149"/>
      <c r="K650" s="133"/>
      <c r="L650" s="133"/>
      <c r="M650" s="133"/>
      <c r="N650" s="151"/>
      <c r="O650" s="132"/>
      <c r="P650" s="150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</row>
    <row r="651" spans="1:31" ht="18.75" customHeight="1">
      <c r="A651" s="151"/>
      <c r="B651" s="184"/>
      <c r="C651" s="152"/>
      <c r="D651" s="152"/>
      <c r="E651" s="151"/>
      <c r="F651" s="144"/>
      <c r="G651" s="144"/>
      <c r="H651" s="152"/>
      <c r="I651" s="149"/>
      <c r="J651" s="149"/>
      <c r="K651" s="133"/>
      <c r="L651" s="133"/>
      <c r="M651" s="133"/>
      <c r="N651" s="151"/>
      <c r="O651" s="132"/>
      <c r="P651" s="150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</row>
    <row r="652" spans="1:31" ht="18.75" customHeight="1">
      <c r="A652" s="151"/>
      <c r="B652" s="184"/>
      <c r="C652" s="152"/>
      <c r="D652" s="152"/>
      <c r="E652" s="151"/>
      <c r="F652" s="144"/>
      <c r="G652" s="144"/>
      <c r="H652" s="152"/>
      <c r="I652" s="149"/>
      <c r="J652" s="149"/>
      <c r="K652" s="133"/>
      <c r="L652" s="133"/>
      <c r="M652" s="133"/>
      <c r="N652" s="151"/>
      <c r="O652" s="132"/>
      <c r="P652" s="150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</row>
    <row r="653" spans="1:31" ht="18.75" customHeight="1">
      <c r="A653" s="151"/>
      <c r="B653" s="184"/>
      <c r="C653" s="152"/>
      <c r="D653" s="152"/>
      <c r="E653" s="151"/>
      <c r="F653" s="144"/>
      <c r="G653" s="144"/>
      <c r="H653" s="152"/>
      <c r="I653" s="149"/>
      <c r="J653" s="149"/>
      <c r="K653" s="133"/>
      <c r="L653" s="133"/>
      <c r="M653" s="133"/>
      <c r="N653" s="151"/>
      <c r="O653" s="132"/>
      <c r="P653" s="150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</row>
    <row r="654" spans="1:31" ht="18.75" customHeight="1">
      <c r="A654" s="151"/>
      <c r="B654" s="184"/>
      <c r="C654" s="152"/>
      <c r="D654" s="152"/>
      <c r="E654" s="151"/>
      <c r="F654" s="144"/>
      <c r="G654" s="144"/>
      <c r="H654" s="152"/>
      <c r="I654" s="149"/>
      <c r="J654" s="149"/>
      <c r="K654" s="133"/>
      <c r="L654" s="133"/>
      <c r="M654" s="133"/>
      <c r="N654" s="151"/>
      <c r="O654" s="132"/>
      <c r="P654" s="150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</row>
    <row r="655" spans="1:31" ht="18.75" customHeight="1">
      <c r="A655" s="151"/>
      <c r="B655" s="184"/>
      <c r="C655" s="152"/>
      <c r="D655" s="152"/>
      <c r="E655" s="151"/>
      <c r="F655" s="144"/>
      <c r="G655" s="144"/>
      <c r="H655" s="152"/>
      <c r="I655" s="149"/>
      <c r="J655" s="149"/>
      <c r="K655" s="133"/>
      <c r="L655" s="133"/>
      <c r="M655" s="133"/>
      <c r="N655" s="151"/>
      <c r="O655" s="132"/>
      <c r="P655" s="150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</row>
    <row r="656" spans="1:31" ht="18.75" customHeight="1">
      <c r="A656" s="151"/>
      <c r="B656" s="184"/>
      <c r="C656" s="152"/>
      <c r="D656" s="152"/>
      <c r="E656" s="151"/>
      <c r="F656" s="144"/>
      <c r="G656" s="144"/>
      <c r="H656" s="152"/>
      <c r="I656" s="149"/>
      <c r="J656" s="149"/>
      <c r="K656" s="133"/>
      <c r="L656" s="133"/>
      <c r="M656" s="133"/>
      <c r="N656" s="151"/>
      <c r="O656" s="132"/>
      <c r="P656" s="150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</row>
    <row r="657" spans="1:31" ht="18.75" customHeight="1">
      <c r="A657" s="151"/>
      <c r="B657" s="184"/>
      <c r="C657" s="152"/>
      <c r="D657" s="152"/>
      <c r="E657" s="151"/>
      <c r="F657" s="144"/>
      <c r="G657" s="144"/>
      <c r="H657" s="152"/>
      <c r="I657" s="149"/>
      <c r="J657" s="149"/>
      <c r="K657" s="133"/>
      <c r="L657" s="133"/>
      <c r="M657" s="133"/>
      <c r="N657" s="151"/>
      <c r="O657" s="132"/>
      <c r="P657" s="150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</row>
    <row r="658" spans="1:31" ht="18.75" customHeight="1">
      <c r="A658" s="151"/>
      <c r="B658" s="184"/>
      <c r="C658" s="152"/>
      <c r="D658" s="152"/>
      <c r="E658" s="151"/>
      <c r="F658" s="144"/>
      <c r="G658" s="144"/>
      <c r="H658" s="152"/>
      <c r="I658" s="149"/>
      <c r="J658" s="149"/>
      <c r="K658" s="133"/>
      <c r="L658" s="133"/>
      <c r="M658" s="133"/>
      <c r="N658" s="151"/>
      <c r="O658" s="132"/>
      <c r="P658" s="150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</row>
    <row r="659" spans="1:31" ht="18.75" customHeight="1">
      <c r="A659" s="151"/>
      <c r="B659" s="184"/>
      <c r="C659" s="152"/>
      <c r="D659" s="152"/>
      <c r="E659" s="151"/>
      <c r="F659" s="144"/>
      <c r="G659" s="144"/>
      <c r="H659" s="152"/>
      <c r="I659" s="149"/>
      <c r="J659" s="149"/>
      <c r="K659" s="133"/>
      <c r="L659" s="133"/>
      <c r="M659" s="133"/>
      <c r="N659" s="151"/>
      <c r="O659" s="132"/>
      <c r="P659" s="150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</row>
    <row r="660" spans="1:31" ht="18.75" customHeight="1">
      <c r="A660" s="151"/>
      <c r="B660" s="184"/>
      <c r="C660" s="152"/>
      <c r="D660" s="152"/>
      <c r="E660" s="151"/>
      <c r="F660" s="144"/>
      <c r="G660" s="144"/>
      <c r="H660" s="152"/>
      <c r="I660" s="149"/>
      <c r="J660" s="149"/>
      <c r="K660" s="133"/>
      <c r="L660" s="133"/>
      <c r="M660" s="133"/>
      <c r="N660" s="151"/>
      <c r="O660" s="132"/>
      <c r="P660" s="150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</row>
    <row r="661" spans="1:31" ht="18.75" customHeight="1">
      <c r="A661" s="151"/>
      <c r="B661" s="184"/>
      <c r="C661" s="152"/>
      <c r="D661" s="152"/>
      <c r="E661" s="151"/>
      <c r="F661" s="144"/>
      <c r="G661" s="144"/>
      <c r="H661" s="152"/>
      <c r="I661" s="149"/>
      <c r="J661" s="149"/>
      <c r="K661" s="133"/>
      <c r="L661" s="133"/>
      <c r="M661" s="133"/>
      <c r="N661" s="151"/>
      <c r="O661" s="132"/>
      <c r="P661" s="150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</row>
    <row r="662" spans="1:31" ht="18.75" customHeight="1">
      <c r="A662" s="151"/>
      <c r="B662" s="184"/>
      <c r="C662" s="152"/>
      <c r="D662" s="152"/>
      <c r="E662" s="151"/>
      <c r="F662" s="144"/>
      <c r="G662" s="144"/>
      <c r="H662" s="152"/>
      <c r="I662" s="149"/>
      <c r="J662" s="149"/>
      <c r="K662" s="133"/>
      <c r="L662" s="133"/>
      <c r="M662" s="133"/>
      <c r="N662" s="151"/>
      <c r="O662" s="132"/>
      <c r="P662" s="150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</row>
    <row r="663" spans="1:31" ht="18.75" customHeight="1">
      <c r="A663" s="151"/>
      <c r="B663" s="184"/>
      <c r="C663" s="152"/>
      <c r="D663" s="152"/>
      <c r="E663" s="151"/>
      <c r="F663" s="144"/>
      <c r="G663" s="144"/>
      <c r="H663" s="152"/>
      <c r="I663" s="149"/>
      <c r="J663" s="149"/>
      <c r="K663" s="133"/>
      <c r="L663" s="133"/>
      <c r="M663" s="133"/>
      <c r="N663" s="151"/>
      <c r="O663" s="132"/>
      <c r="P663" s="150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</row>
    <row r="664" spans="1:31" ht="18.75" customHeight="1">
      <c r="A664" s="151"/>
      <c r="B664" s="184"/>
      <c r="C664" s="152"/>
      <c r="D664" s="152"/>
      <c r="E664" s="151"/>
      <c r="F664" s="144"/>
      <c r="G664" s="144"/>
      <c r="H664" s="152"/>
      <c r="I664" s="149"/>
      <c r="J664" s="149"/>
      <c r="K664" s="133"/>
      <c r="L664" s="133"/>
      <c r="M664" s="133"/>
      <c r="N664" s="151"/>
      <c r="O664" s="132"/>
      <c r="P664" s="150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</row>
    <row r="665" spans="1:31" ht="18.75" customHeight="1">
      <c r="A665" s="151"/>
      <c r="B665" s="184"/>
      <c r="C665" s="152"/>
      <c r="D665" s="152"/>
      <c r="E665" s="151"/>
      <c r="F665" s="144"/>
      <c r="G665" s="144"/>
      <c r="H665" s="152"/>
      <c r="I665" s="149"/>
      <c r="J665" s="149"/>
      <c r="K665" s="133"/>
      <c r="L665" s="133"/>
      <c r="M665" s="133"/>
      <c r="N665" s="151"/>
      <c r="O665" s="132"/>
      <c r="P665" s="150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</row>
    <row r="666" spans="1:31" ht="18.75" customHeight="1">
      <c r="A666" s="151"/>
      <c r="B666" s="184"/>
      <c r="C666" s="152"/>
      <c r="D666" s="152"/>
      <c r="E666" s="151"/>
      <c r="F666" s="144"/>
      <c r="G666" s="144"/>
      <c r="H666" s="152"/>
      <c r="I666" s="149"/>
      <c r="J666" s="149"/>
      <c r="K666" s="133"/>
      <c r="L666" s="133"/>
      <c r="M666" s="133"/>
      <c r="N666" s="151"/>
      <c r="O666" s="132"/>
      <c r="P666" s="150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</row>
    <row r="667" spans="1:31" ht="18.75" customHeight="1">
      <c r="A667" s="151"/>
      <c r="B667" s="184"/>
      <c r="C667" s="152"/>
      <c r="D667" s="152"/>
      <c r="E667" s="151"/>
      <c r="F667" s="144"/>
      <c r="G667" s="144"/>
      <c r="H667" s="152"/>
      <c r="I667" s="149"/>
      <c r="J667" s="149"/>
      <c r="K667" s="133"/>
      <c r="L667" s="133"/>
      <c r="M667" s="133"/>
      <c r="N667" s="151"/>
      <c r="O667" s="132"/>
      <c r="P667" s="150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</row>
    <row r="668" spans="1:31" ht="18.75" customHeight="1">
      <c r="A668" s="151"/>
      <c r="B668" s="184"/>
      <c r="C668" s="152"/>
      <c r="D668" s="152"/>
      <c r="E668" s="151"/>
      <c r="F668" s="144"/>
      <c r="G668" s="144"/>
      <c r="H668" s="152"/>
      <c r="I668" s="149"/>
      <c r="J668" s="149"/>
      <c r="K668" s="133"/>
      <c r="L668" s="133"/>
      <c r="M668" s="133"/>
      <c r="N668" s="151"/>
      <c r="O668" s="132"/>
      <c r="P668" s="150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</row>
    <row r="669" spans="1:31" ht="18.75" customHeight="1">
      <c r="A669" s="151"/>
      <c r="B669" s="184"/>
      <c r="C669" s="152"/>
      <c r="D669" s="152"/>
      <c r="E669" s="151"/>
      <c r="F669" s="144"/>
      <c r="G669" s="144"/>
      <c r="H669" s="152"/>
      <c r="I669" s="149"/>
      <c r="J669" s="149"/>
      <c r="K669" s="133"/>
      <c r="L669" s="133"/>
      <c r="M669" s="133"/>
      <c r="N669" s="151"/>
      <c r="O669" s="132"/>
      <c r="P669" s="150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</row>
    <row r="670" spans="1:31" ht="18.75" customHeight="1">
      <c r="A670" s="151"/>
      <c r="B670" s="184"/>
      <c r="C670" s="152"/>
      <c r="D670" s="152"/>
      <c r="E670" s="151"/>
      <c r="F670" s="144"/>
      <c r="G670" s="144"/>
      <c r="H670" s="152"/>
      <c r="I670" s="149"/>
      <c r="J670" s="149"/>
      <c r="K670" s="133"/>
      <c r="L670" s="133"/>
      <c r="M670" s="133"/>
      <c r="N670" s="151"/>
      <c r="O670" s="132"/>
      <c r="P670" s="150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</row>
    <row r="671" spans="1:31" ht="18.75" customHeight="1">
      <c r="A671" s="151"/>
      <c r="B671" s="184"/>
      <c r="C671" s="152"/>
      <c r="D671" s="152"/>
      <c r="E671" s="151"/>
      <c r="F671" s="144"/>
      <c r="G671" s="144"/>
      <c r="H671" s="152"/>
      <c r="I671" s="149"/>
      <c r="J671" s="149"/>
      <c r="K671" s="133"/>
      <c r="L671" s="133"/>
      <c r="M671" s="133"/>
      <c r="N671" s="151"/>
      <c r="O671" s="132"/>
      <c r="P671" s="150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</row>
    <row r="672" spans="1:31" ht="18.75" customHeight="1">
      <c r="A672" s="151"/>
      <c r="B672" s="184"/>
      <c r="C672" s="152"/>
      <c r="D672" s="152"/>
      <c r="E672" s="151"/>
      <c r="F672" s="144"/>
      <c r="G672" s="144"/>
      <c r="H672" s="152"/>
      <c r="I672" s="149"/>
      <c r="J672" s="149"/>
      <c r="K672" s="133"/>
      <c r="L672" s="133"/>
      <c r="M672" s="133"/>
      <c r="N672" s="151"/>
      <c r="O672" s="132"/>
      <c r="P672" s="150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</row>
    <row r="673" spans="1:31" ht="18.75" customHeight="1">
      <c r="A673" s="151"/>
      <c r="B673" s="184"/>
      <c r="C673" s="152"/>
      <c r="D673" s="152"/>
      <c r="E673" s="151"/>
      <c r="F673" s="144"/>
      <c r="G673" s="144"/>
      <c r="H673" s="152"/>
      <c r="I673" s="149"/>
      <c r="J673" s="149"/>
      <c r="K673" s="133"/>
      <c r="L673" s="133"/>
      <c r="M673" s="133"/>
      <c r="N673" s="151"/>
      <c r="O673" s="132"/>
      <c r="P673" s="150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</row>
    <row r="674" spans="1:31" ht="18.75" customHeight="1">
      <c r="A674" s="151"/>
      <c r="B674" s="184"/>
      <c r="C674" s="152"/>
      <c r="D674" s="152"/>
      <c r="E674" s="151"/>
      <c r="F674" s="144"/>
      <c r="G674" s="144"/>
      <c r="H674" s="152"/>
      <c r="I674" s="149"/>
      <c r="J674" s="149"/>
      <c r="K674" s="133"/>
      <c r="L674" s="133"/>
      <c r="M674" s="133"/>
      <c r="N674" s="151"/>
      <c r="O674" s="132"/>
      <c r="P674" s="150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</row>
    <row r="675" spans="1:31" ht="18.75" customHeight="1">
      <c r="A675" s="151"/>
      <c r="B675" s="184"/>
      <c r="C675" s="152"/>
      <c r="D675" s="152"/>
      <c r="E675" s="151"/>
      <c r="F675" s="144"/>
      <c r="G675" s="144"/>
      <c r="H675" s="152"/>
      <c r="I675" s="149"/>
      <c r="J675" s="149"/>
      <c r="K675" s="133"/>
      <c r="L675" s="133"/>
      <c r="M675" s="133"/>
      <c r="N675" s="151"/>
      <c r="O675" s="132"/>
      <c r="P675" s="150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</row>
    <row r="676" spans="1:31" ht="18.75" customHeight="1">
      <c r="A676" s="151"/>
      <c r="B676" s="184"/>
      <c r="C676" s="152"/>
      <c r="D676" s="152"/>
      <c r="E676" s="151"/>
      <c r="F676" s="144"/>
      <c r="G676" s="144"/>
      <c r="H676" s="152"/>
      <c r="I676" s="149"/>
      <c r="J676" s="149"/>
      <c r="K676" s="133"/>
      <c r="L676" s="133"/>
      <c r="M676" s="133"/>
      <c r="N676" s="151"/>
      <c r="O676" s="132"/>
      <c r="P676" s="150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</row>
    <row r="677" spans="1:31" ht="18.75" customHeight="1">
      <c r="A677" s="151"/>
      <c r="B677" s="184"/>
      <c r="C677" s="152"/>
      <c r="D677" s="152"/>
      <c r="E677" s="151"/>
      <c r="F677" s="144"/>
      <c r="G677" s="144"/>
      <c r="H677" s="152"/>
      <c r="I677" s="149"/>
      <c r="J677" s="149"/>
      <c r="K677" s="133"/>
      <c r="L677" s="133"/>
      <c r="M677" s="133"/>
      <c r="N677" s="151"/>
      <c r="O677" s="132"/>
      <c r="P677" s="150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</row>
    <row r="678" spans="1:31" ht="18.75" customHeight="1">
      <c r="A678" s="151"/>
      <c r="B678" s="184"/>
      <c r="C678" s="152"/>
      <c r="D678" s="152"/>
      <c r="E678" s="151"/>
      <c r="F678" s="144"/>
      <c r="G678" s="144"/>
      <c r="H678" s="152"/>
      <c r="I678" s="149"/>
      <c r="J678" s="149"/>
      <c r="K678" s="133"/>
      <c r="L678" s="133"/>
      <c r="M678" s="133"/>
      <c r="N678" s="151"/>
      <c r="O678" s="132"/>
      <c r="P678" s="150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</row>
    <row r="679" spans="1:31" ht="18.75" customHeight="1">
      <c r="A679" s="151"/>
      <c r="B679" s="184"/>
      <c r="C679" s="152"/>
      <c r="D679" s="152"/>
      <c r="E679" s="151"/>
      <c r="F679" s="144"/>
      <c r="G679" s="144"/>
      <c r="H679" s="152"/>
      <c r="I679" s="149"/>
      <c r="J679" s="149"/>
      <c r="K679" s="133"/>
      <c r="L679" s="133"/>
      <c r="M679" s="133"/>
      <c r="N679" s="151"/>
      <c r="O679" s="132"/>
      <c r="P679" s="150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</row>
    <row r="680" spans="1:31" ht="18.75" customHeight="1">
      <c r="A680" s="151"/>
      <c r="B680" s="184"/>
      <c r="C680" s="152"/>
      <c r="D680" s="152"/>
      <c r="E680" s="151"/>
      <c r="F680" s="144"/>
      <c r="G680" s="144"/>
      <c r="H680" s="152"/>
      <c r="I680" s="149"/>
      <c r="J680" s="149"/>
      <c r="K680" s="133"/>
      <c r="L680" s="133"/>
      <c r="M680" s="133"/>
      <c r="N680" s="151"/>
      <c r="O680" s="132"/>
      <c r="P680" s="150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</row>
    <row r="681" spans="1:31" ht="18.75" customHeight="1">
      <c r="A681" s="151"/>
      <c r="B681" s="184"/>
      <c r="C681" s="152"/>
      <c r="D681" s="152"/>
      <c r="E681" s="151"/>
      <c r="F681" s="144"/>
      <c r="G681" s="144"/>
      <c r="H681" s="152"/>
      <c r="I681" s="149"/>
      <c r="J681" s="149"/>
      <c r="K681" s="133"/>
      <c r="L681" s="133"/>
      <c r="M681" s="133"/>
      <c r="N681" s="151"/>
      <c r="O681" s="132"/>
      <c r="P681" s="150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</row>
    <row r="682" spans="1:31" ht="18.75" customHeight="1">
      <c r="A682" s="151"/>
      <c r="B682" s="184"/>
      <c r="C682" s="152"/>
      <c r="D682" s="152"/>
      <c r="E682" s="151"/>
      <c r="F682" s="144"/>
      <c r="G682" s="144"/>
      <c r="H682" s="152"/>
      <c r="I682" s="149"/>
      <c r="J682" s="149"/>
      <c r="K682" s="133"/>
      <c r="L682" s="133"/>
      <c r="M682" s="133"/>
      <c r="N682" s="151"/>
      <c r="O682" s="132"/>
      <c r="P682" s="150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</row>
    <row r="683" spans="1:31" ht="18.75" customHeight="1">
      <c r="A683" s="151"/>
      <c r="B683" s="184"/>
      <c r="C683" s="152"/>
      <c r="D683" s="152"/>
      <c r="E683" s="151"/>
      <c r="F683" s="144"/>
      <c r="G683" s="144"/>
      <c r="H683" s="152"/>
      <c r="I683" s="149"/>
      <c r="J683" s="149"/>
      <c r="K683" s="133"/>
      <c r="L683" s="133"/>
      <c r="M683" s="133"/>
      <c r="N683" s="151"/>
      <c r="O683" s="132"/>
      <c r="P683" s="150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</row>
    <row r="684" spans="1:31" ht="18.75" customHeight="1">
      <c r="A684" s="151"/>
      <c r="B684" s="184"/>
      <c r="C684" s="152"/>
      <c r="D684" s="152"/>
      <c r="E684" s="151"/>
      <c r="F684" s="144"/>
      <c r="G684" s="144"/>
      <c r="H684" s="152"/>
      <c r="I684" s="149"/>
      <c r="J684" s="149"/>
      <c r="K684" s="133"/>
      <c r="L684" s="133"/>
      <c r="M684" s="133"/>
      <c r="N684" s="151"/>
      <c r="O684" s="132"/>
      <c r="P684" s="150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</row>
    <row r="685" spans="1:31" ht="18.75" customHeight="1">
      <c r="A685" s="151"/>
      <c r="B685" s="184"/>
      <c r="C685" s="152"/>
      <c r="D685" s="152"/>
      <c r="E685" s="151"/>
      <c r="F685" s="144"/>
      <c r="G685" s="144"/>
      <c r="H685" s="152"/>
      <c r="I685" s="149"/>
      <c r="J685" s="149"/>
      <c r="K685" s="133"/>
      <c r="L685" s="133"/>
      <c r="M685" s="133"/>
      <c r="N685" s="151"/>
      <c r="O685" s="132"/>
      <c r="P685" s="150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</row>
    <row r="686" spans="1:31" ht="18.75" customHeight="1">
      <c r="A686" s="151"/>
      <c r="B686" s="184"/>
      <c r="C686" s="152"/>
      <c r="D686" s="152"/>
      <c r="E686" s="151"/>
      <c r="F686" s="144"/>
      <c r="G686" s="144"/>
      <c r="H686" s="152"/>
      <c r="I686" s="149"/>
      <c r="J686" s="149"/>
      <c r="K686" s="133"/>
      <c r="L686" s="133"/>
      <c r="M686" s="133"/>
      <c r="N686" s="151"/>
      <c r="O686" s="132"/>
      <c r="P686" s="150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</row>
    <row r="687" spans="1:31" ht="18.75" customHeight="1">
      <c r="A687" s="151"/>
      <c r="B687" s="184"/>
      <c r="C687" s="152"/>
      <c r="D687" s="152"/>
      <c r="E687" s="151"/>
      <c r="F687" s="144"/>
      <c r="G687" s="144"/>
      <c r="H687" s="152"/>
      <c r="I687" s="149"/>
      <c r="J687" s="149"/>
      <c r="K687" s="133"/>
      <c r="L687" s="133"/>
      <c r="M687" s="133"/>
      <c r="N687" s="151"/>
      <c r="O687" s="132"/>
      <c r="P687" s="150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</row>
    <row r="688" spans="1:31" ht="18.75" customHeight="1">
      <c r="A688" s="151"/>
      <c r="B688" s="184"/>
      <c r="C688" s="152"/>
      <c r="D688" s="152"/>
      <c r="E688" s="151"/>
      <c r="F688" s="144"/>
      <c r="G688" s="144"/>
      <c r="H688" s="152"/>
      <c r="I688" s="149"/>
      <c r="J688" s="149"/>
      <c r="K688" s="133"/>
      <c r="L688" s="133"/>
      <c r="M688" s="133"/>
      <c r="N688" s="151"/>
      <c r="O688" s="132"/>
      <c r="P688" s="150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</row>
    <row r="689" spans="1:31" ht="18.75" customHeight="1">
      <c r="A689" s="151"/>
      <c r="B689" s="184"/>
      <c r="C689" s="152"/>
      <c r="D689" s="152"/>
      <c r="E689" s="151"/>
      <c r="F689" s="144"/>
      <c r="G689" s="144"/>
      <c r="H689" s="152"/>
      <c r="I689" s="149"/>
      <c r="J689" s="149"/>
      <c r="K689" s="133"/>
      <c r="L689" s="133"/>
      <c r="M689" s="133"/>
      <c r="N689" s="151"/>
      <c r="O689" s="132"/>
      <c r="P689" s="150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</row>
    <row r="690" spans="1:31" ht="12.75" customHeight="1">
      <c r="A690" s="151"/>
      <c r="B690" s="184"/>
      <c r="C690" s="152"/>
      <c r="D690" s="152"/>
      <c r="E690" s="151"/>
      <c r="F690" s="144"/>
      <c r="G690" s="144"/>
      <c r="H690" s="152"/>
      <c r="I690" s="149"/>
      <c r="J690" s="149"/>
      <c r="K690" s="133"/>
      <c r="L690" s="133"/>
      <c r="M690" s="133"/>
      <c r="N690" s="151"/>
      <c r="O690" s="132"/>
      <c r="P690" s="150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</row>
    <row r="691" spans="1:31" ht="12.75" customHeight="1">
      <c r="A691" s="151"/>
      <c r="B691" s="184"/>
      <c r="C691" s="152"/>
      <c r="D691" s="152"/>
      <c r="E691" s="151"/>
      <c r="F691" s="144"/>
      <c r="G691" s="144"/>
      <c r="H691" s="152"/>
      <c r="I691" s="149"/>
      <c r="J691" s="149"/>
      <c r="K691" s="133"/>
      <c r="L691" s="133"/>
      <c r="M691" s="133"/>
      <c r="N691" s="151"/>
      <c r="O691" s="132"/>
      <c r="P691" s="150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</row>
    <row r="692" spans="1:31" ht="12.75" customHeight="1">
      <c r="A692" s="151"/>
      <c r="B692" s="184"/>
      <c r="C692" s="152"/>
      <c r="D692" s="152"/>
      <c r="E692" s="151"/>
      <c r="F692" s="144"/>
      <c r="G692" s="144"/>
      <c r="H692" s="152"/>
      <c r="I692" s="149"/>
      <c r="J692" s="149"/>
      <c r="K692" s="133"/>
      <c r="L692" s="133"/>
      <c r="M692" s="133"/>
      <c r="N692" s="151"/>
      <c r="O692" s="132"/>
      <c r="P692" s="150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</row>
    <row r="693" spans="1:31" ht="12.75" customHeight="1">
      <c r="A693" s="151"/>
      <c r="B693" s="184"/>
      <c r="C693" s="152"/>
      <c r="D693" s="152"/>
      <c r="E693" s="151"/>
      <c r="F693" s="144"/>
      <c r="G693" s="144"/>
      <c r="H693" s="152"/>
      <c r="I693" s="149"/>
      <c r="J693" s="149"/>
      <c r="K693" s="133"/>
      <c r="L693" s="133"/>
      <c r="M693" s="133"/>
      <c r="N693" s="151"/>
      <c r="O693" s="132"/>
      <c r="P693" s="150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</row>
    <row r="694" spans="1:31" ht="12.75" customHeight="1">
      <c r="A694" s="151"/>
      <c r="B694" s="184"/>
      <c r="C694" s="152"/>
      <c r="D694" s="152"/>
      <c r="E694" s="151"/>
      <c r="F694" s="144"/>
      <c r="G694" s="144"/>
      <c r="H694" s="152"/>
      <c r="I694" s="149"/>
      <c r="J694" s="149"/>
      <c r="K694" s="133"/>
      <c r="L694" s="133"/>
      <c r="M694" s="133"/>
      <c r="N694" s="151"/>
      <c r="O694" s="132"/>
      <c r="P694" s="150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</row>
    <row r="695" spans="1:31" ht="12.75" customHeight="1">
      <c r="A695" s="151"/>
      <c r="B695" s="184"/>
      <c r="C695" s="152"/>
      <c r="D695" s="152"/>
      <c r="E695" s="151"/>
      <c r="F695" s="144"/>
      <c r="G695" s="144"/>
      <c r="H695" s="152"/>
      <c r="I695" s="149"/>
      <c r="J695" s="149"/>
      <c r="K695" s="133"/>
      <c r="L695" s="133"/>
      <c r="M695" s="133"/>
      <c r="N695" s="151"/>
      <c r="O695" s="132"/>
      <c r="P695" s="150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</row>
    <row r="696" spans="1:31" ht="12.75" customHeight="1">
      <c r="A696" s="151"/>
      <c r="B696" s="184"/>
      <c r="C696" s="152"/>
      <c r="D696" s="152"/>
      <c r="E696" s="151"/>
      <c r="F696" s="144"/>
      <c r="G696" s="144"/>
      <c r="H696" s="152"/>
      <c r="I696" s="149"/>
      <c r="J696" s="149"/>
      <c r="K696" s="133"/>
      <c r="L696" s="133"/>
      <c r="M696" s="133"/>
      <c r="N696" s="151"/>
      <c r="O696" s="132"/>
      <c r="P696" s="150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</row>
    <row r="697" spans="1:31" ht="12.75" customHeight="1">
      <c r="A697" s="151"/>
      <c r="B697" s="184"/>
      <c r="C697" s="152"/>
      <c r="D697" s="152"/>
      <c r="E697" s="151"/>
      <c r="F697" s="144"/>
      <c r="G697" s="144"/>
      <c r="H697" s="152"/>
      <c r="I697" s="149"/>
      <c r="J697" s="149"/>
      <c r="K697" s="133"/>
      <c r="L697" s="133"/>
      <c r="M697" s="133"/>
      <c r="N697" s="151"/>
      <c r="O697" s="132"/>
      <c r="P697" s="150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</row>
    <row r="698" spans="1:31" ht="12.75" customHeight="1">
      <c r="A698" s="151"/>
      <c r="B698" s="184"/>
      <c r="C698" s="152"/>
      <c r="D698" s="152"/>
      <c r="E698" s="151"/>
      <c r="F698" s="144"/>
      <c r="G698" s="144"/>
      <c r="H698" s="152"/>
      <c r="I698" s="149"/>
      <c r="J698" s="149"/>
      <c r="K698" s="133"/>
      <c r="L698" s="133"/>
      <c r="M698" s="133"/>
      <c r="N698" s="151"/>
      <c r="O698" s="132"/>
      <c r="P698" s="150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</row>
    <row r="699" spans="1:31" ht="12.75" customHeight="1">
      <c r="A699" s="151"/>
      <c r="B699" s="184"/>
      <c r="C699" s="152"/>
      <c r="D699" s="152"/>
      <c r="E699" s="151"/>
      <c r="F699" s="144"/>
      <c r="G699" s="144"/>
      <c r="H699" s="152"/>
      <c r="I699" s="149"/>
      <c r="J699" s="149"/>
      <c r="K699" s="133"/>
      <c r="L699" s="133"/>
      <c r="M699" s="133"/>
      <c r="N699" s="151"/>
      <c r="O699" s="132"/>
      <c r="P699" s="150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</row>
    <row r="700" spans="1:31" ht="12.75" customHeight="1">
      <c r="A700" s="151"/>
      <c r="B700" s="184"/>
      <c r="C700" s="152"/>
      <c r="D700" s="152"/>
      <c r="E700" s="151"/>
      <c r="F700" s="144"/>
      <c r="G700" s="144"/>
      <c r="H700" s="152"/>
      <c r="I700" s="149"/>
      <c r="J700" s="149"/>
      <c r="K700" s="133"/>
      <c r="L700" s="133"/>
      <c r="M700" s="133"/>
      <c r="N700" s="151"/>
      <c r="O700" s="132"/>
      <c r="P700" s="150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</row>
    <row r="701" spans="1:31" ht="12.75" customHeight="1">
      <c r="A701" s="151"/>
      <c r="B701" s="184"/>
      <c r="C701" s="152"/>
      <c r="D701" s="152"/>
      <c r="E701" s="151"/>
      <c r="F701" s="144"/>
      <c r="G701" s="144"/>
      <c r="H701" s="152"/>
      <c r="I701" s="149"/>
      <c r="J701" s="149"/>
      <c r="K701" s="133"/>
      <c r="L701" s="133"/>
      <c r="M701" s="133"/>
      <c r="N701" s="151"/>
      <c r="O701" s="132"/>
      <c r="P701" s="150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</row>
    <row r="702" spans="1:31" ht="12.75" customHeight="1">
      <c r="A702" s="151"/>
      <c r="B702" s="184"/>
      <c r="C702" s="152"/>
      <c r="D702" s="152"/>
      <c r="E702" s="151"/>
      <c r="F702" s="144"/>
      <c r="G702" s="144"/>
      <c r="H702" s="152"/>
      <c r="I702" s="149"/>
      <c r="J702" s="149"/>
      <c r="K702" s="133"/>
      <c r="L702" s="133"/>
      <c r="M702" s="133"/>
      <c r="N702" s="151"/>
      <c r="O702" s="132"/>
      <c r="P702" s="150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</row>
    <row r="703" spans="1:31" ht="12.75" customHeight="1">
      <c r="A703" s="151"/>
      <c r="B703" s="184"/>
      <c r="C703" s="152"/>
      <c r="D703" s="152"/>
      <c r="E703" s="151"/>
      <c r="F703" s="144"/>
      <c r="G703" s="144"/>
      <c r="H703" s="152"/>
      <c r="I703" s="149"/>
      <c r="J703" s="149"/>
      <c r="K703" s="133"/>
      <c r="L703" s="133"/>
      <c r="M703" s="133"/>
      <c r="N703" s="151"/>
      <c r="O703" s="132"/>
      <c r="P703" s="150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</row>
    <row r="704" spans="1:31" ht="12.75" customHeight="1">
      <c r="A704" s="151"/>
      <c r="B704" s="184"/>
      <c r="C704" s="152"/>
      <c r="D704" s="152"/>
      <c r="E704" s="151"/>
      <c r="F704" s="144"/>
      <c r="G704" s="144"/>
      <c r="H704" s="152"/>
      <c r="I704" s="149"/>
      <c r="J704" s="149"/>
      <c r="K704" s="133"/>
      <c r="L704" s="133"/>
      <c r="M704" s="133"/>
      <c r="N704" s="151"/>
      <c r="O704" s="132"/>
      <c r="P704" s="150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</row>
    <row r="705" spans="1:31" ht="12.75" customHeight="1">
      <c r="A705" s="151"/>
      <c r="B705" s="184"/>
      <c r="C705" s="152"/>
      <c r="D705" s="152"/>
      <c r="E705" s="151"/>
      <c r="F705" s="144"/>
      <c r="G705" s="144"/>
      <c r="H705" s="152"/>
      <c r="I705" s="149"/>
      <c r="J705" s="149"/>
      <c r="K705" s="133"/>
      <c r="L705" s="133"/>
      <c r="M705" s="133"/>
      <c r="N705" s="151"/>
      <c r="O705" s="132"/>
      <c r="P705" s="150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</row>
    <row r="706" spans="1:31" ht="12.75" customHeight="1">
      <c r="A706" s="151"/>
      <c r="B706" s="184"/>
      <c r="C706" s="152"/>
      <c r="D706" s="152"/>
      <c r="E706" s="151"/>
      <c r="F706" s="144"/>
      <c r="G706" s="144"/>
      <c r="H706" s="152"/>
      <c r="I706" s="149"/>
      <c r="J706" s="149"/>
      <c r="K706" s="133"/>
      <c r="L706" s="133"/>
      <c r="M706" s="133"/>
      <c r="N706" s="151"/>
      <c r="O706" s="132"/>
      <c r="P706" s="150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</row>
    <row r="707" spans="1:31" ht="12.75" customHeight="1">
      <c r="A707" s="151"/>
      <c r="B707" s="184"/>
      <c r="C707" s="152"/>
      <c r="D707" s="152"/>
      <c r="E707" s="151"/>
      <c r="F707" s="144"/>
      <c r="G707" s="144"/>
      <c r="H707" s="152"/>
      <c r="I707" s="149"/>
      <c r="J707" s="149"/>
      <c r="K707" s="133"/>
      <c r="L707" s="133"/>
      <c r="M707" s="133"/>
      <c r="N707" s="151"/>
      <c r="O707" s="132"/>
      <c r="P707" s="150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</row>
    <row r="708" spans="1:31" ht="12.75" customHeight="1">
      <c r="A708" s="151"/>
      <c r="B708" s="184"/>
      <c r="C708" s="152"/>
      <c r="D708" s="152"/>
      <c r="E708" s="151"/>
      <c r="F708" s="144"/>
      <c r="G708" s="144"/>
      <c r="H708" s="152"/>
      <c r="I708" s="149"/>
      <c r="J708" s="149"/>
      <c r="K708" s="133"/>
      <c r="L708" s="133"/>
      <c r="M708" s="133"/>
      <c r="N708" s="151"/>
      <c r="O708" s="132"/>
      <c r="P708" s="150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</row>
    <row r="709" spans="1:31" ht="12.75" customHeight="1">
      <c r="A709" s="151"/>
      <c r="B709" s="184"/>
      <c r="C709" s="152"/>
      <c r="D709" s="152"/>
      <c r="E709" s="151"/>
      <c r="F709" s="144"/>
      <c r="G709" s="144"/>
      <c r="H709" s="152"/>
      <c r="I709" s="149"/>
      <c r="J709" s="149"/>
      <c r="K709" s="133"/>
      <c r="L709" s="133"/>
      <c r="M709" s="133"/>
      <c r="N709" s="151"/>
      <c r="O709" s="132"/>
      <c r="P709" s="150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</row>
    <row r="710" spans="1:31" ht="12.75" customHeight="1">
      <c r="A710" s="151"/>
      <c r="B710" s="184"/>
      <c r="C710" s="152"/>
      <c r="D710" s="152"/>
      <c r="E710" s="151"/>
      <c r="F710" s="144"/>
      <c r="G710" s="144"/>
      <c r="H710" s="152"/>
      <c r="I710" s="149"/>
      <c r="J710" s="149"/>
      <c r="K710" s="133"/>
      <c r="L710" s="133"/>
      <c r="M710" s="133"/>
      <c r="N710" s="151"/>
      <c r="O710" s="132"/>
      <c r="P710" s="150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</row>
    <row r="711" spans="1:31" ht="12.75" customHeight="1">
      <c r="A711" s="151"/>
      <c r="B711" s="184"/>
      <c r="C711" s="152"/>
      <c r="D711" s="152"/>
      <c r="E711" s="151"/>
      <c r="F711" s="144"/>
      <c r="G711" s="144"/>
      <c r="H711" s="152"/>
      <c r="I711" s="149"/>
      <c r="J711" s="149"/>
      <c r="K711" s="133"/>
      <c r="L711" s="133"/>
      <c r="M711" s="133"/>
      <c r="N711" s="151"/>
      <c r="O711" s="132"/>
      <c r="P711" s="150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</row>
    <row r="712" spans="1:31" ht="12.75" customHeight="1">
      <c r="A712" s="151"/>
      <c r="B712" s="184"/>
      <c r="C712" s="152"/>
      <c r="D712" s="152"/>
      <c r="E712" s="151"/>
      <c r="F712" s="144"/>
      <c r="G712" s="144"/>
      <c r="H712" s="152"/>
      <c r="I712" s="149"/>
      <c r="J712" s="149"/>
      <c r="K712" s="133"/>
      <c r="L712" s="133"/>
      <c r="M712" s="133"/>
      <c r="N712" s="151"/>
      <c r="O712" s="132"/>
      <c r="P712" s="150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</row>
    <row r="713" spans="1:31" ht="12.75" customHeight="1">
      <c r="A713" s="151"/>
      <c r="B713" s="184"/>
      <c r="C713" s="152"/>
      <c r="D713" s="152"/>
      <c r="E713" s="151"/>
      <c r="F713" s="144"/>
      <c r="G713" s="144"/>
      <c r="H713" s="152"/>
      <c r="I713" s="149"/>
      <c r="J713" s="149"/>
      <c r="K713" s="133"/>
      <c r="L713" s="133"/>
      <c r="M713" s="133"/>
      <c r="N713" s="151"/>
      <c r="O713" s="132"/>
      <c r="P713" s="150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</row>
    <row r="714" spans="1:31" ht="12.75" customHeight="1">
      <c r="A714" s="151"/>
      <c r="B714" s="184"/>
      <c r="C714" s="152"/>
      <c r="D714" s="152"/>
      <c r="E714" s="151"/>
      <c r="F714" s="144"/>
      <c r="G714" s="144"/>
      <c r="H714" s="152"/>
      <c r="I714" s="149"/>
      <c r="J714" s="149"/>
      <c r="K714" s="133"/>
      <c r="L714" s="133"/>
      <c r="M714" s="133"/>
      <c r="N714" s="151"/>
      <c r="O714" s="132"/>
      <c r="P714" s="150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</row>
    <row r="715" spans="1:31" ht="12.75" customHeight="1">
      <c r="A715" s="151"/>
      <c r="B715" s="184"/>
      <c r="C715" s="152"/>
      <c r="D715" s="152"/>
      <c r="E715" s="151"/>
      <c r="F715" s="144"/>
      <c r="G715" s="144"/>
      <c r="H715" s="152"/>
      <c r="I715" s="149"/>
      <c r="J715" s="149"/>
      <c r="K715" s="133"/>
      <c r="L715" s="133"/>
      <c r="M715" s="133"/>
      <c r="N715" s="151"/>
      <c r="O715" s="132"/>
      <c r="P715" s="150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</row>
    <row r="716" spans="1:31" ht="12.75" customHeight="1">
      <c r="A716" s="151"/>
      <c r="B716" s="184"/>
      <c r="C716" s="152"/>
      <c r="D716" s="152"/>
      <c r="E716" s="151"/>
      <c r="F716" s="144"/>
      <c r="G716" s="144"/>
      <c r="H716" s="152"/>
      <c r="I716" s="149"/>
      <c r="J716" s="149"/>
      <c r="K716" s="133"/>
      <c r="L716" s="133"/>
      <c r="M716" s="133"/>
      <c r="N716" s="151"/>
      <c r="O716" s="132"/>
      <c r="P716" s="150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</row>
    <row r="717" spans="1:31" ht="15" customHeight="1">
      <c r="A717" s="132"/>
      <c r="B717" s="132"/>
      <c r="C717" s="152"/>
      <c r="D717" s="152"/>
      <c r="E717" s="151"/>
      <c r="F717" s="144"/>
      <c r="G717" s="144"/>
      <c r="H717" s="132"/>
      <c r="I717" s="132"/>
      <c r="J717" s="133"/>
      <c r="K717" s="132"/>
      <c r="L717" s="132"/>
      <c r="M717" s="132"/>
      <c r="N717" s="151"/>
      <c r="O717" s="132"/>
      <c r="P717" s="150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</row>
    <row r="718" spans="1:31" ht="15" customHeight="1">
      <c r="A718" s="132"/>
      <c r="B718" s="132"/>
      <c r="C718" s="152"/>
      <c r="D718" s="152"/>
      <c r="E718" s="151"/>
      <c r="F718" s="144"/>
      <c r="G718" s="144"/>
      <c r="H718" s="132"/>
      <c r="I718" s="132"/>
      <c r="J718" s="133"/>
      <c r="K718" s="132"/>
      <c r="L718" s="132"/>
      <c r="M718" s="132"/>
      <c r="N718" s="151"/>
      <c r="O718" s="132"/>
      <c r="P718" s="150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</row>
    <row r="719" spans="1:31" ht="15" customHeight="1">
      <c r="A719" s="132"/>
      <c r="B719" s="132"/>
      <c r="C719" s="152"/>
      <c r="D719" s="152"/>
      <c r="E719" s="151"/>
      <c r="F719" s="144"/>
      <c r="G719" s="144"/>
      <c r="H719" s="132"/>
      <c r="I719" s="132"/>
      <c r="J719" s="133"/>
      <c r="K719" s="132"/>
      <c r="L719" s="132"/>
      <c r="M719" s="132"/>
      <c r="N719" s="151"/>
      <c r="O719" s="132"/>
      <c r="P719" s="150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</row>
    <row r="720" spans="1:31" ht="15" customHeight="1">
      <c r="A720" s="132"/>
      <c r="B720" s="132"/>
      <c r="C720" s="152"/>
      <c r="D720" s="152"/>
      <c r="E720" s="151"/>
      <c r="F720" s="144"/>
      <c r="G720" s="144"/>
      <c r="H720" s="132"/>
      <c r="I720" s="132"/>
      <c r="J720" s="133"/>
      <c r="K720" s="132"/>
      <c r="L720" s="132"/>
      <c r="M720" s="132"/>
      <c r="N720" s="151"/>
      <c r="O720" s="132"/>
      <c r="P720" s="150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</row>
    <row r="721" spans="1:31" ht="15" customHeight="1">
      <c r="A721" s="132"/>
      <c r="B721" s="132"/>
      <c r="C721" s="152"/>
      <c r="D721" s="152"/>
      <c r="E721" s="151"/>
      <c r="F721" s="144"/>
      <c r="G721" s="144"/>
      <c r="H721" s="132"/>
      <c r="I721" s="132"/>
      <c r="J721" s="133"/>
      <c r="K721" s="132"/>
      <c r="L721" s="132"/>
      <c r="M721" s="132"/>
      <c r="N721" s="151"/>
      <c r="O721" s="132"/>
      <c r="P721" s="150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</row>
    <row r="722" spans="1:31" ht="15" customHeight="1">
      <c r="A722" s="132"/>
      <c r="B722" s="132"/>
      <c r="C722" s="152"/>
      <c r="D722" s="152"/>
      <c r="E722" s="151"/>
      <c r="F722" s="144"/>
      <c r="G722" s="144"/>
      <c r="H722" s="132"/>
      <c r="I722" s="132"/>
      <c r="J722" s="133"/>
      <c r="K722" s="132"/>
      <c r="L722" s="132"/>
      <c r="M722" s="132"/>
      <c r="N722" s="151"/>
      <c r="O722" s="132"/>
      <c r="P722" s="150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</row>
    <row r="723" spans="1:31" ht="15" customHeight="1">
      <c r="A723" s="132"/>
      <c r="B723" s="132"/>
      <c r="C723" s="152"/>
      <c r="D723" s="152"/>
      <c r="E723" s="151"/>
      <c r="F723" s="144"/>
      <c r="G723" s="144"/>
      <c r="H723" s="132"/>
      <c r="I723" s="132"/>
      <c r="J723" s="133"/>
      <c r="K723" s="132"/>
      <c r="L723" s="132"/>
      <c r="M723" s="132"/>
      <c r="N723" s="151"/>
      <c r="O723" s="132"/>
      <c r="P723" s="150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</row>
    <row r="724" spans="1:31" ht="15" customHeight="1">
      <c r="A724" s="132"/>
      <c r="B724" s="132"/>
      <c r="C724" s="152"/>
      <c r="D724" s="152"/>
      <c r="E724" s="151"/>
      <c r="F724" s="144"/>
      <c r="G724" s="144"/>
      <c r="H724" s="132"/>
      <c r="I724" s="132"/>
      <c r="J724" s="133"/>
      <c r="K724" s="132"/>
      <c r="L724" s="132"/>
      <c r="M724" s="132"/>
      <c r="N724" s="151"/>
      <c r="O724" s="132"/>
      <c r="P724" s="150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</row>
    <row r="725" spans="1:31" ht="15" customHeight="1">
      <c r="A725" s="132"/>
      <c r="B725" s="132"/>
      <c r="C725" s="152"/>
      <c r="D725" s="152"/>
      <c r="E725" s="151"/>
      <c r="F725" s="144"/>
      <c r="G725" s="144"/>
      <c r="H725" s="132"/>
      <c r="I725" s="132"/>
      <c r="J725" s="133"/>
      <c r="K725" s="132"/>
      <c r="L725" s="132"/>
      <c r="M725" s="132"/>
      <c r="N725" s="151"/>
      <c r="O725" s="132"/>
      <c r="P725" s="150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</row>
    <row r="726" spans="1:31" ht="15" customHeight="1">
      <c r="A726" s="132"/>
      <c r="B726" s="132"/>
      <c r="C726" s="152"/>
      <c r="D726" s="152"/>
      <c r="E726" s="151"/>
      <c r="F726" s="144"/>
      <c r="G726" s="144"/>
      <c r="H726" s="132"/>
      <c r="I726" s="132"/>
      <c r="J726" s="133"/>
      <c r="K726" s="132"/>
      <c r="L726" s="132"/>
      <c r="M726" s="132"/>
      <c r="N726" s="151"/>
      <c r="O726" s="132"/>
      <c r="P726" s="150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</row>
    <row r="727" spans="1:31" ht="15" customHeight="1">
      <c r="A727" s="132"/>
      <c r="B727" s="132"/>
      <c r="C727" s="152"/>
      <c r="D727" s="152"/>
      <c r="E727" s="151"/>
      <c r="F727" s="144"/>
      <c r="G727" s="144"/>
      <c r="H727" s="132"/>
      <c r="I727" s="132"/>
      <c r="J727" s="133"/>
      <c r="K727" s="132"/>
      <c r="L727" s="132"/>
      <c r="M727" s="132"/>
      <c r="N727" s="151"/>
      <c r="O727" s="132"/>
      <c r="P727" s="150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</row>
    <row r="728" spans="1:31" ht="15" customHeight="1">
      <c r="A728" s="132"/>
      <c r="B728" s="132"/>
      <c r="C728" s="152"/>
      <c r="D728" s="152"/>
      <c r="E728" s="151"/>
      <c r="F728" s="144"/>
      <c r="G728" s="144"/>
      <c r="H728" s="132"/>
      <c r="I728" s="132"/>
      <c r="J728" s="133"/>
      <c r="K728" s="132"/>
      <c r="L728" s="132"/>
      <c r="M728" s="132"/>
      <c r="N728" s="151"/>
      <c r="O728" s="132"/>
      <c r="P728" s="150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</row>
    <row r="729" spans="1:31" ht="15" customHeight="1">
      <c r="A729" s="132"/>
      <c r="B729" s="132"/>
      <c r="C729" s="152"/>
      <c r="D729" s="152"/>
      <c r="E729" s="151"/>
      <c r="F729" s="144"/>
      <c r="G729" s="144"/>
      <c r="H729" s="132"/>
      <c r="I729" s="132"/>
      <c r="J729" s="133"/>
      <c r="K729" s="132"/>
      <c r="L729" s="132"/>
      <c r="M729" s="132"/>
      <c r="N729" s="151"/>
      <c r="O729" s="132"/>
      <c r="P729" s="150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</row>
    <row r="730" spans="1:31" ht="15" customHeight="1">
      <c r="A730" s="132"/>
      <c r="B730" s="132"/>
      <c r="C730" s="152"/>
      <c r="D730" s="152"/>
      <c r="E730" s="151"/>
      <c r="F730" s="144"/>
      <c r="G730" s="144"/>
      <c r="H730" s="132"/>
      <c r="I730" s="132"/>
      <c r="J730" s="133"/>
      <c r="K730" s="132"/>
      <c r="L730" s="132"/>
      <c r="M730" s="132"/>
      <c r="N730" s="151"/>
      <c r="O730" s="132"/>
      <c r="P730" s="150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</row>
    <row r="731" spans="1:31" ht="15" customHeight="1">
      <c r="A731" s="132"/>
      <c r="B731" s="132"/>
      <c r="C731" s="152"/>
      <c r="D731" s="152"/>
      <c r="E731" s="151"/>
      <c r="F731" s="144"/>
      <c r="G731" s="144"/>
      <c r="H731" s="132"/>
      <c r="I731" s="132"/>
      <c r="J731" s="133"/>
      <c r="K731" s="132"/>
      <c r="L731" s="132"/>
      <c r="M731" s="132"/>
      <c r="N731" s="151"/>
      <c r="O731" s="132"/>
      <c r="P731" s="150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</row>
    <row r="732" spans="1:31" ht="15" customHeight="1">
      <c r="A732" s="132"/>
      <c r="B732" s="132"/>
      <c r="C732" s="152"/>
      <c r="D732" s="152"/>
      <c r="E732" s="151"/>
      <c r="F732" s="144"/>
      <c r="G732" s="144"/>
      <c r="H732" s="132"/>
      <c r="I732" s="132"/>
      <c r="J732" s="133"/>
      <c r="K732" s="132"/>
      <c r="L732" s="132"/>
      <c r="M732" s="132"/>
      <c r="N732" s="151"/>
      <c r="O732" s="132"/>
      <c r="P732" s="150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</row>
    <row r="733" spans="1:31" ht="15" customHeight="1">
      <c r="A733" s="132"/>
      <c r="B733" s="132"/>
      <c r="C733" s="152"/>
      <c r="D733" s="152"/>
      <c r="E733" s="151"/>
      <c r="F733" s="144"/>
      <c r="G733" s="144"/>
      <c r="H733" s="132"/>
      <c r="I733" s="132"/>
      <c r="J733" s="133"/>
      <c r="K733" s="132"/>
      <c r="L733" s="132"/>
      <c r="M733" s="132"/>
      <c r="N733" s="151"/>
      <c r="O733" s="132"/>
      <c r="P733" s="150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</row>
    <row r="734" spans="1:31" ht="15" customHeight="1">
      <c r="A734" s="132"/>
      <c r="B734" s="132"/>
      <c r="C734" s="152"/>
      <c r="D734" s="152"/>
      <c r="E734" s="151"/>
      <c r="F734" s="144"/>
      <c r="G734" s="144"/>
      <c r="H734" s="132"/>
      <c r="I734" s="132"/>
      <c r="J734" s="133"/>
      <c r="K734" s="132"/>
      <c r="L734" s="132"/>
      <c r="M734" s="132"/>
      <c r="N734" s="151"/>
      <c r="O734" s="132"/>
      <c r="P734" s="150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</row>
    <row r="735" spans="1:31" ht="15" customHeight="1">
      <c r="A735" s="132"/>
      <c r="B735" s="132"/>
      <c r="C735" s="152"/>
      <c r="D735" s="152"/>
      <c r="E735" s="151"/>
      <c r="F735" s="144"/>
      <c r="G735" s="144"/>
      <c r="H735" s="132"/>
      <c r="I735" s="132"/>
      <c r="J735" s="133"/>
      <c r="K735" s="132"/>
      <c r="L735" s="132"/>
      <c r="M735" s="132"/>
      <c r="N735" s="151"/>
      <c r="O735" s="132"/>
      <c r="P735" s="150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</row>
    <row r="736" spans="1:31" ht="15" customHeight="1">
      <c r="A736" s="132"/>
      <c r="B736" s="132"/>
      <c r="C736" s="152"/>
      <c r="D736" s="152"/>
      <c r="E736" s="151"/>
      <c r="F736" s="144"/>
      <c r="G736" s="144"/>
      <c r="H736" s="132"/>
      <c r="I736" s="132"/>
      <c r="J736" s="133"/>
      <c r="K736" s="132"/>
      <c r="L736" s="132"/>
      <c r="M736" s="132"/>
      <c r="N736" s="151"/>
      <c r="O736" s="132"/>
      <c r="P736" s="150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</row>
    <row r="737" spans="1:31" ht="15" customHeight="1">
      <c r="A737" s="132"/>
      <c r="B737" s="132"/>
      <c r="C737" s="152"/>
      <c r="D737" s="152"/>
      <c r="E737" s="151"/>
      <c r="F737" s="144"/>
      <c r="G737" s="144"/>
      <c r="H737" s="132"/>
      <c r="I737" s="132"/>
      <c r="J737" s="133"/>
      <c r="K737" s="132"/>
      <c r="L737" s="132"/>
      <c r="M737" s="132"/>
      <c r="N737" s="151"/>
      <c r="O737" s="132"/>
      <c r="P737" s="150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</row>
    <row r="738" spans="1:31" ht="15" customHeight="1">
      <c r="A738" s="132"/>
      <c r="B738" s="132"/>
      <c r="C738" s="152"/>
      <c r="D738" s="152"/>
      <c r="E738" s="151"/>
      <c r="F738" s="144"/>
      <c r="G738" s="144"/>
      <c r="H738" s="132"/>
      <c r="I738" s="132"/>
      <c r="J738" s="133"/>
      <c r="K738" s="132"/>
      <c r="L738" s="132"/>
      <c r="M738" s="132"/>
      <c r="N738" s="151"/>
      <c r="O738" s="132"/>
      <c r="P738" s="150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</row>
    <row r="739" spans="1:31" ht="15" customHeight="1">
      <c r="A739" s="132"/>
      <c r="B739" s="132"/>
      <c r="C739" s="152"/>
      <c r="D739" s="152"/>
      <c r="E739" s="151"/>
      <c r="F739" s="144"/>
      <c r="G739" s="144"/>
      <c r="H739" s="132"/>
      <c r="I739" s="132"/>
      <c r="J739" s="133"/>
      <c r="K739" s="132"/>
      <c r="L739" s="132"/>
      <c r="M739" s="132"/>
      <c r="N739" s="151"/>
      <c r="O739" s="132"/>
      <c r="P739" s="150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</row>
    <row r="740" spans="1:31" ht="15" customHeight="1">
      <c r="A740" s="132"/>
      <c r="B740" s="132"/>
      <c r="C740" s="152"/>
      <c r="D740" s="152"/>
      <c r="E740" s="151"/>
      <c r="F740" s="144"/>
      <c r="G740" s="144"/>
      <c r="H740" s="132"/>
      <c r="I740" s="132"/>
      <c r="J740" s="133"/>
      <c r="K740" s="132"/>
      <c r="L740" s="132"/>
      <c r="M740" s="132"/>
      <c r="N740" s="151"/>
      <c r="O740" s="132"/>
      <c r="P740" s="150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</row>
    <row r="741" spans="1:31" ht="15" customHeight="1">
      <c r="A741" s="132"/>
      <c r="B741" s="132"/>
      <c r="C741" s="152"/>
      <c r="D741" s="152"/>
      <c r="E741" s="151"/>
      <c r="F741" s="144"/>
      <c r="G741" s="144"/>
      <c r="H741" s="132"/>
      <c r="I741" s="132"/>
      <c r="J741" s="133"/>
      <c r="K741" s="132"/>
      <c r="L741" s="132"/>
      <c r="M741" s="132"/>
      <c r="N741" s="151"/>
      <c r="O741" s="132"/>
      <c r="P741" s="150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</row>
    <row r="742" spans="1:31" ht="15" customHeight="1">
      <c r="A742" s="132"/>
      <c r="B742" s="132"/>
      <c r="C742" s="152"/>
      <c r="D742" s="152"/>
      <c r="E742" s="151"/>
      <c r="F742" s="144"/>
      <c r="G742" s="144"/>
      <c r="H742" s="132"/>
      <c r="I742" s="132"/>
      <c r="J742" s="133"/>
      <c r="K742" s="132"/>
      <c r="L742" s="132"/>
      <c r="M742" s="132"/>
      <c r="N742" s="151"/>
      <c r="O742" s="132"/>
      <c r="P742" s="150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</row>
    <row r="743" spans="1:31" ht="15" customHeight="1">
      <c r="A743" s="132"/>
      <c r="B743" s="132"/>
      <c r="C743" s="152"/>
      <c r="D743" s="152"/>
      <c r="E743" s="151"/>
      <c r="F743" s="144"/>
      <c r="G743" s="144"/>
      <c r="H743" s="132"/>
      <c r="I743" s="132"/>
      <c r="J743" s="133"/>
      <c r="K743" s="132"/>
      <c r="L743" s="132"/>
      <c r="M743" s="132"/>
      <c r="N743" s="151"/>
      <c r="O743" s="132"/>
      <c r="P743" s="150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</row>
    <row r="744" spans="1:31" ht="15" customHeight="1">
      <c r="A744" s="132"/>
      <c r="B744" s="132"/>
      <c r="C744" s="152"/>
      <c r="D744" s="152"/>
      <c r="E744" s="151"/>
      <c r="F744" s="144"/>
      <c r="G744" s="144"/>
      <c r="H744" s="132"/>
      <c r="I744" s="132"/>
      <c r="J744" s="133"/>
      <c r="K744" s="132"/>
      <c r="L744" s="132"/>
      <c r="M744" s="132"/>
      <c r="N744" s="151"/>
      <c r="O744" s="132"/>
      <c r="P744" s="150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</row>
    <row r="745" spans="1:31" ht="15" customHeight="1">
      <c r="A745" s="132"/>
      <c r="B745" s="132"/>
      <c r="C745" s="152"/>
      <c r="D745" s="152"/>
      <c r="E745" s="151"/>
      <c r="F745" s="144"/>
      <c r="G745" s="144"/>
      <c r="H745" s="132"/>
      <c r="I745" s="132"/>
      <c r="J745" s="133"/>
      <c r="K745" s="132"/>
      <c r="L745" s="132"/>
      <c r="M745" s="132"/>
      <c r="N745" s="151"/>
      <c r="O745" s="132"/>
      <c r="P745" s="150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</row>
    <row r="746" spans="1:31" ht="15" customHeight="1">
      <c r="A746" s="132"/>
      <c r="B746" s="132"/>
      <c r="C746" s="152"/>
      <c r="D746" s="152"/>
      <c r="E746" s="151"/>
      <c r="F746" s="144"/>
      <c r="G746" s="144"/>
      <c r="H746" s="132"/>
      <c r="I746" s="132"/>
      <c r="J746" s="133"/>
      <c r="K746" s="132"/>
      <c r="L746" s="132"/>
      <c r="M746" s="132"/>
      <c r="N746" s="151"/>
      <c r="O746" s="132"/>
      <c r="P746" s="150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</row>
    <row r="747" spans="1:31" ht="15" customHeight="1">
      <c r="A747" s="132"/>
      <c r="B747" s="132"/>
      <c r="C747" s="152"/>
      <c r="D747" s="152"/>
      <c r="E747" s="151"/>
      <c r="F747" s="144"/>
      <c r="G747" s="144"/>
      <c r="H747" s="132"/>
      <c r="I747" s="132"/>
      <c r="J747" s="133"/>
      <c r="K747" s="132"/>
      <c r="L747" s="132"/>
      <c r="M747" s="132"/>
      <c r="N747" s="151"/>
      <c r="O747" s="132"/>
      <c r="P747" s="150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</row>
    <row r="748" spans="1:31" ht="15" customHeight="1">
      <c r="A748" s="132"/>
      <c r="B748" s="132"/>
      <c r="C748" s="152"/>
      <c r="D748" s="152"/>
      <c r="E748" s="151"/>
      <c r="F748" s="144"/>
      <c r="G748" s="144"/>
      <c r="H748" s="132"/>
      <c r="I748" s="132"/>
      <c r="J748" s="133"/>
      <c r="K748" s="132"/>
      <c r="L748" s="132"/>
      <c r="M748" s="132"/>
      <c r="N748" s="151"/>
      <c r="O748" s="132"/>
      <c r="P748" s="150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</row>
    <row r="749" spans="1:31" ht="15" customHeight="1">
      <c r="A749" s="132"/>
      <c r="B749" s="132"/>
      <c r="C749" s="152"/>
      <c r="D749" s="152"/>
      <c r="E749" s="151"/>
      <c r="F749" s="144"/>
      <c r="G749" s="144"/>
      <c r="H749" s="132"/>
      <c r="I749" s="132"/>
      <c r="J749" s="133"/>
      <c r="K749" s="132"/>
      <c r="L749" s="132"/>
      <c r="M749" s="132"/>
      <c r="N749" s="151"/>
      <c r="O749" s="132"/>
      <c r="P749" s="150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</row>
    <row r="750" spans="1:31" ht="15" customHeight="1">
      <c r="A750" s="132"/>
      <c r="B750" s="132"/>
      <c r="C750" s="152"/>
      <c r="D750" s="152"/>
      <c r="E750" s="151"/>
      <c r="F750" s="144"/>
      <c r="G750" s="144"/>
      <c r="H750" s="132"/>
      <c r="I750" s="132"/>
      <c r="J750" s="133"/>
      <c r="K750" s="132"/>
      <c r="L750" s="132"/>
      <c r="M750" s="132"/>
      <c r="N750" s="151"/>
      <c r="O750" s="132"/>
      <c r="P750" s="150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</row>
    <row r="751" spans="1:31" ht="15" customHeight="1">
      <c r="A751" s="132"/>
      <c r="B751" s="132"/>
      <c r="C751" s="152"/>
      <c r="D751" s="152"/>
      <c r="E751" s="151"/>
      <c r="F751" s="144"/>
      <c r="G751" s="144"/>
      <c r="H751" s="132"/>
      <c r="I751" s="132"/>
      <c r="J751" s="133"/>
      <c r="K751" s="132"/>
      <c r="L751" s="132"/>
      <c r="M751" s="132"/>
      <c r="N751" s="151"/>
      <c r="O751" s="132"/>
      <c r="P751" s="150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</row>
    <row r="752" spans="1:31" ht="15" customHeight="1">
      <c r="A752" s="132"/>
      <c r="B752" s="132"/>
      <c r="C752" s="152"/>
      <c r="D752" s="152"/>
      <c r="E752" s="151"/>
      <c r="F752" s="144"/>
      <c r="G752" s="144"/>
      <c r="H752" s="132"/>
      <c r="I752" s="132"/>
      <c r="J752" s="133"/>
      <c r="K752" s="132"/>
      <c r="L752" s="132"/>
      <c r="M752" s="132"/>
      <c r="N752" s="151"/>
      <c r="O752" s="132"/>
      <c r="P752" s="150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</row>
    <row r="753" spans="1:31" ht="15" customHeight="1">
      <c r="A753" s="132"/>
      <c r="B753" s="132"/>
      <c r="C753" s="152"/>
      <c r="D753" s="152"/>
      <c r="E753" s="151"/>
      <c r="F753" s="144"/>
      <c r="G753" s="144"/>
      <c r="H753" s="132"/>
      <c r="I753" s="132"/>
      <c r="J753" s="133"/>
      <c r="K753" s="132"/>
      <c r="L753" s="132"/>
      <c r="M753" s="132"/>
      <c r="N753" s="151"/>
      <c r="O753" s="132"/>
      <c r="P753" s="150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</row>
    <row r="754" spans="1:31" ht="15" customHeight="1">
      <c r="A754" s="132"/>
      <c r="B754" s="132"/>
      <c r="C754" s="152"/>
      <c r="D754" s="152"/>
      <c r="E754" s="151"/>
      <c r="F754" s="144"/>
      <c r="G754" s="144"/>
      <c r="H754" s="132"/>
      <c r="I754" s="132"/>
      <c r="J754" s="133"/>
      <c r="K754" s="132"/>
      <c r="L754" s="132"/>
      <c r="M754" s="132"/>
      <c r="N754" s="151"/>
      <c r="O754" s="132"/>
      <c r="P754" s="150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</row>
    <row r="755" spans="1:31" ht="15" customHeight="1">
      <c r="A755" s="132"/>
      <c r="B755" s="132"/>
      <c r="C755" s="152"/>
      <c r="D755" s="152"/>
      <c r="E755" s="151"/>
      <c r="F755" s="144"/>
      <c r="G755" s="144"/>
      <c r="H755" s="132"/>
      <c r="I755" s="132"/>
      <c r="J755" s="133"/>
      <c r="K755" s="132"/>
      <c r="L755" s="132"/>
      <c r="M755" s="132"/>
      <c r="N755" s="151"/>
      <c r="O755" s="132"/>
      <c r="P755" s="150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</row>
    <row r="756" spans="1:31" ht="15" customHeight="1">
      <c r="A756" s="132"/>
      <c r="B756" s="132"/>
      <c r="C756" s="152"/>
      <c r="D756" s="152"/>
      <c r="E756" s="151"/>
      <c r="F756" s="144"/>
      <c r="G756" s="144"/>
      <c r="H756" s="132"/>
      <c r="I756" s="132"/>
      <c r="J756" s="133"/>
      <c r="K756" s="132"/>
      <c r="L756" s="132"/>
      <c r="M756" s="132"/>
      <c r="N756" s="151"/>
      <c r="O756" s="132"/>
      <c r="P756" s="150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</row>
    <row r="757" spans="1:31" ht="15" customHeight="1">
      <c r="A757" s="132"/>
      <c r="B757" s="132"/>
      <c r="C757" s="152"/>
      <c r="D757" s="152"/>
      <c r="E757" s="151"/>
      <c r="F757" s="144"/>
      <c r="G757" s="144"/>
      <c r="H757" s="132"/>
      <c r="I757" s="132"/>
      <c r="J757" s="133"/>
      <c r="K757" s="132"/>
      <c r="L757" s="132"/>
      <c r="M757" s="132"/>
      <c r="N757" s="151"/>
      <c r="O757" s="132"/>
      <c r="P757" s="150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</row>
    <row r="758" spans="1:31" ht="15" customHeight="1">
      <c r="A758" s="132"/>
      <c r="B758" s="132"/>
      <c r="C758" s="152"/>
      <c r="D758" s="152"/>
      <c r="E758" s="151"/>
      <c r="F758" s="144"/>
      <c r="G758" s="144"/>
      <c r="H758" s="132"/>
      <c r="I758" s="132"/>
      <c r="J758" s="133"/>
      <c r="K758" s="132"/>
      <c r="L758" s="132"/>
      <c r="M758" s="132"/>
      <c r="N758" s="151"/>
      <c r="O758" s="132"/>
      <c r="P758" s="150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</row>
    <row r="759" spans="1:31" ht="15" customHeight="1">
      <c r="A759" s="132"/>
      <c r="B759" s="132"/>
      <c r="C759" s="152"/>
      <c r="D759" s="152"/>
      <c r="E759" s="151"/>
      <c r="F759" s="144"/>
      <c r="G759" s="144"/>
      <c r="H759" s="132"/>
      <c r="I759" s="132"/>
      <c r="J759" s="133"/>
      <c r="K759" s="132"/>
      <c r="L759" s="132"/>
      <c r="M759" s="132"/>
      <c r="N759" s="151"/>
      <c r="O759" s="132"/>
      <c r="P759" s="150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</row>
    <row r="760" spans="1:31" ht="15" customHeight="1">
      <c r="A760" s="132"/>
      <c r="B760" s="132"/>
      <c r="C760" s="152"/>
      <c r="D760" s="152"/>
      <c r="E760" s="151"/>
      <c r="F760" s="144"/>
      <c r="G760" s="144"/>
      <c r="H760" s="132"/>
      <c r="I760" s="132"/>
      <c r="J760" s="133"/>
      <c r="K760" s="132"/>
      <c r="L760" s="132"/>
      <c r="M760" s="132"/>
      <c r="N760" s="151"/>
      <c r="O760" s="132"/>
      <c r="P760" s="150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</row>
    <row r="761" spans="1:31" ht="15" customHeight="1">
      <c r="A761" s="132"/>
      <c r="B761" s="132"/>
      <c r="C761" s="152"/>
      <c r="D761" s="152"/>
      <c r="E761" s="151"/>
      <c r="F761" s="144"/>
      <c r="G761" s="144"/>
      <c r="H761" s="132"/>
      <c r="I761" s="132"/>
      <c r="J761" s="133"/>
      <c r="K761" s="132"/>
      <c r="L761" s="132"/>
      <c r="M761" s="132"/>
      <c r="N761" s="151"/>
      <c r="O761" s="132"/>
      <c r="P761" s="150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</row>
    <row r="762" spans="1:31" ht="15" customHeight="1">
      <c r="A762" s="132"/>
      <c r="B762" s="132"/>
      <c r="C762" s="152"/>
      <c r="D762" s="152"/>
      <c r="E762" s="151"/>
      <c r="F762" s="144"/>
      <c r="G762" s="144"/>
      <c r="H762" s="132"/>
      <c r="I762" s="132"/>
      <c r="J762" s="133"/>
      <c r="K762" s="132"/>
      <c r="L762" s="132"/>
      <c r="M762" s="132"/>
      <c r="N762" s="151"/>
      <c r="O762" s="132"/>
      <c r="P762" s="150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</row>
    <row r="763" spans="1:31" ht="15" customHeight="1">
      <c r="A763" s="132"/>
      <c r="B763" s="132"/>
      <c r="C763" s="152"/>
      <c r="D763" s="152"/>
      <c r="E763" s="151"/>
      <c r="F763" s="144"/>
      <c r="G763" s="144"/>
      <c r="H763" s="132"/>
      <c r="I763" s="132"/>
      <c r="J763" s="133"/>
      <c r="K763" s="132"/>
      <c r="L763" s="132"/>
      <c r="M763" s="132"/>
      <c r="N763" s="151"/>
      <c r="O763" s="132"/>
      <c r="P763" s="150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</row>
    <row r="764" spans="1:31" ht="15" customHeight="1">
      <c r="A764" s="132"/>
      <c r="B764" s="132"/>
      <c r="C764" s="152"/>
      <c r="D764" s="152"/>
      <c r="E764" s="151"/>
      <c r="F764" s="144"/>
      <c r="G764" s="144"/>
      <c r="H764" s="132"/>
      <c r="I764" s="132"/>
      <c r="J764" s="133"/>
      <c r="K764" s="132"/>
      <c r="L764" s="132"/>
      <c r="M764" s="132"/>
      <c r="N764" s="151"/>
      <c r="O764" s="132"/>
      <c r="P764" s="150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</row>
    <row r="765" spans="1:31" ht="15" customHeight="1">
      <c r="A765" s="132"/>
      <c r="B765" s="132"/>
      <c r="C765" s="152"/>
      <c r="D765" s="152"/>
      <c r="E765" s="151"/>
      <c r="F765" s="144"/>
      <c r="G765" s="144"/>
      <c r="H765" s="132"/>
      <c r="I765" s="132"/>
      <c r="J765" s="133"/>
      <c r="K765" s="132"/>
      <c r="L765" s="132"/>
      <c r="M765" s="132"/>
      <c r="N765" s="151"/>
      <c r="O765" s="132"/>
      <c r="P765" s="150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</row>
    <row r="766" spans="1:31" ht="15" customHeight="1">
      <c r="A766" s="132"/>
      <c r="B766" s="132"/>
      <c r="C766" s="152"/>
      <c r="D766" s="152"/>
      <c r="E766" s="151"/>
      <c r="F766" s="144"/>
      <c r="G766" s="144"/>
      <c r="H766" s="132"/>
      <c r="I766" s="132"/>
      <c r="J766" s="133"/>
      <c r="K766" s="132"/>
      <c r="L766" s="132"/>
      <c r="M766" s="132"/>
      <c r="N766" s="151"/>
      <c r="O766" s="132"/>
      <c r="P766" s="150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</row>
    <row r="767" spans="1:31" ht="15" customHeight="1">
      <c r="A767" s="132"/>
      <c r="B767" s="132"/>
      <c r="C767" s="152"/>
      <c r="D767" s="152"/>
      <c r="E767" s="151"/>
      <c r="F767" s="144"/>
      <c r="G767" s="144"/>
      <c r="H767" s="132"/>
      <c r="I767" s="132"/>
      <c r="J767" s="133"/>
      <c r="K767" s="132"/>
      <c r="L767" s="132"/>
      <c r="M767" s="132"/>
      <c r="N767" s="151"/>
      <c r="O767" s="132"/>
      <c r="P767" s="150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</row>
    <row r="768" spans="1:31" ht="15" customHeight="1">
      <c r="A768" s="132"/>
      <c r="B768" s="132"/>
      <c r="C768" s="152"/>
      <c r="D768" s="152"/>
      <c r="E768" s="151"/>
      <c r="F768" s="144"/>
      <c r="G768" s="144"/>
      <c r="H768" s="132"/>
      <c r="I768" s="132"/>
      <c r="J768" s="133"/>
      <c r="K768" s="132"/>
      <c r="L768" s="132"/>
      <c r="M768" s="132"/>
      <c r="N768" s="151"/>
      <c r="O768" s="132"/>
      <c r="P768" s="150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</row>
    <row r="769" spans="1:31" ht="15" customHeight="1">
      <c r="A769" s="132"/>
      <c r="B769" s="132"/>
      <c r="C769" s="152"/>
      <c r="D769" s="152"/>
      <c r="E769" s="151"/>
      <c r="F769" s="144"/>
      <c r="G769" s="144"/>
      <c r="H769" s="132"/>
      <c r="I769" s="132"/>
      <c r="J769" s="133"/>
      <c r="K769" s="132"/>
      <c r="L769" s="132"/>
      <c r="M769" s="132"/>
      <c r="N769" s="151"/>
      <c r="O769" s="132"/>
      <c r="P769" s="150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</row>
    <row r="770" spans="1:31" ht="15" customHeight="1">
      <c r="A770" s="132"/>
      <c r="B770" s="132"/>
      <c r="C770" s="152"/>
      <c r="D770" s="152"/>
      <c r="E770" s="151"/>
      <c r="F770" s="144"/>
      <c r="G770" s="144"/>
      <c r="H770" s="132"/>
      <c r="I770" s="132"/>
      <c r="J770" s="133"/>
      <c r="K770" s="132"/>
      <c r="L770" s="132"/>
      <c r="M770" s="132"/>
      <c r="N770" s="151"/>
      <c r="O770" s="132"/>
      <c r="P770" s="150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</row>
    <row r="771" spans="1:31" ht="15" customHeight="1">
      <c r="A771" s="132"/>
      <c r="B771" s="132"/>
      <c r="C771" s="152"/>
      <c r="D771" s="152"/>
      <c r="E771" s="151"/>
      <c r="F771" s="144"/>
      <c r="G771" s="144"/>
      <c r="H771" s="132"/>
      <c r="I771" s="132"/>
      <c r="J771" s="133"/>
      <c r="K771" s="132"/>
      <c r="L771" s="132"/>
      <c r="M771" s="132"/>
      <c r="N771" s="151"/>
      <c r="O771" s="132"/>
      <c r="P771" s="150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</row>
    <row r="772" spans="1:31" ht="15" customHeight="1">
      <c r="A772" s="132"/>
      <c r="B772" s="132"/>
      <c r="C772" s="152"/>
      <c r="D772" s="152"/>
      <c r="E772" s="151"/>
      <c r="F772" s="144"/>
      <c r="G772" s="144"/>
      <c r="H772" s="132"/>
      <c r="I772" s="132"/>
      <c r="J772" s="133"/>
      <c r="K772" s="132"/>
      <c r="L772" s="132"/>
      <c r="M772" s="132"/>
      <c r="N772" s="151"/>
      <c r="O772" s="132"/>
      <c r="P772" s="150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</row>
    <row r="773" spans="1:31" ht="15" customHeight="1">
      <c r="A773" s="132"/>
      <c r="B773" s="132"/>
      <c r="C773" s="152"/>
      <c r="D773" s="152"/>
      <c r="E773" s="151"/>
      <c r="F773" s="144"/>
      <c r="G773" s="144"/>
      <c r="H773" s="132"/>
      <c r="I773" s="132"/>
      <c r="J773" s="133"/>
      <c r="K773" s="132"/>
      <c r="L773" s="132"/>
      <c r="M773" s="132"/>
      <c r="N773" s="151"/>
      <c r="O773" s="132"/>
      <c r="P773" s="150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</row>
    <row r="774" spans="1:31" ht="15" customHeight="1">
      <c r="A774" s="132"/>
      <c r="B774" s="132"/>
      <c r="C774" s="152"/>
      <c r="D774" s="152"/>
      <c r="E774" s="151"/>
      <c r="F774" s="144"/>
      <c r="G774" s="144"/>
      <c r="H774" s="132"/>
      <c r="I774" s="132"/>
      <c r="J774" s="133"/>
      <c r="K774" s="132"/>
      <c r="L774" s="132"/>
      <c r="M774" s="132"/>
      <c r="N774" s="151"/>
      <c r="O774" s="132"/>
      <c r="P774" s="150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</row>
    <row r="775" spans="1:31" ht="15" customHeight="1">
      <c r="A775" s="132"/>
      <c r="B775" s="132"/>
      <c r="C775" s="152"/>
      <c r="D775" s="152"/>
      <c r="E775" s="151"/>
      <c r="F775" s="144"/>
      <c r="G775" s="144"/>
      <c r="H775" s="132"/>
      <c r="I775" s="132"/>
      <c r="J775" s="133"/>
      <c r="K775" s="132"/>
      <c r="L775" s="132"/>
      <c r="M775" s="132"/>
      <c r="N775" s="151"/>
      <c r="O775" s="132"/>
      <c r="P775" s="150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</row>
    <row r="776" spans="1:31" ht="15" customHeight="1">
      <c r="A776" s="132"/>
      <c r="B776" s="132"/>
      <c r="C776" s="152"/>
      <c r="D776" s="152"/>
      <c r="E776" s="151"/>
      <c r="F776" s="144"/>
      <c r="G776" s="144"/>
      <c r="H776" s="132"/>
      <c r="I776" s="132"/>
      <c r="J776" s="133"/>
      <c r="K776" s="132"/>
      <c r="L776" s="132"/>
      <c r="M776" s="132"/>
      <c r="N776" s="151"/>
      <c r="O776" s="132"/>
      <c r="P776" s="150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</row>
    <row r="777" spans="1:31" ht="15" customHeight="1">
      <c r="A777" s="132"/>
      <c r="B777" s="132"/>
      <c r="C777" s="152"/>
      <c r="D777" s="152"/>
      <c r="E777" s="151"/>
      <c r="F777" s="144"/>
      <c r="G777" s="144"/>
      <c r="H777" s="132"/>
      <c r="I777" s="132"/>
      <c r="J777" s="133"/>
      <c r="K777" s="132"/>
      <c r="L777" s="132"/>
      <c r="M777" s="132"/>
      <c r="N777" s="151"/>
      <c r="O777" s="132"/>
      <c r="P777" s="150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</row>
    <row r="778" spans="1:31" ht="15" customHeight="1">
      <c r="A778" s="132"/>
      <c r="B778" s="132"/>
      <c r="C778" s="152"/>
      <c r="D778" s="152"/>
      <c r="E778" s="151"/>
      <c r="F778" s="144"/>
      <c r="G778" s="144"/>
      <c r="H778" s="132"/>
      <c r="I778" s="132"/>
      <c r="J778" s="133"/>
      <c r="K778" s="132"/>
      <c r="L778" s="132"/>
      <c r="M778" s="132"/>
      <c r="N778" s="151"/>
      <c r="O778" s="132"/>
      <c r="P778" s="150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</row>
    <row r="779" spans="1:31" ht="15" customHeight="1">
      <c r="A779" s="132"/>
      <c r="B779" s="132"/>
      <c r="C779" s="152"/>
      <c r="D779" s="152"/>
      <c r="E779" s="151"/>
      <c r="F779" s="144"/>
      <c r="G779" s="144"/>
      <c r="H779" s="132"/>
      <c r="I779" s="132"/>
      <c r="J779" s="133"/>
      <c r="K779" s="132"/>
      <c r="L779" s="132"/>
      <c r="M779" s="132"/>
      <c r="N779" s="151"/>
      <c r="O779" s="132"/>
      <c r="P779" s="150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</row>
    <row r="780" spans="1:31" ht="15" customHeight="1">
      <c r="A780" s="132"/>
      <c r="B780" s="132"/>
      <c r="C780" s="152"/>
      <c r="D780" s="152"/>
      <c r="E780" s="151"/>
      <c r="F780" s="144"/>
      <c r="G780" s="144"/>
      <c r="H780" s="132"/>
      <c r="I780" s="132"/>
      <c r="J780" s="133"/>
      <c r="K780" s="132"/>
      <c r="L780" s="132"/>
      <c r="M780" s="132"/>
      <c r="N780" s="151"/>
      <c r="O780" s="132"/>
      <c r="P780" s="150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</row>
    <row r="781" spans="1:31" ht="15" customHeight="1">
      <c r="A781" s="132"/>
      <c r="B781" s="132"/>
      <c r="C781" s="152"/>
      <c r="D781" s="152"/>
      <c r="E781" s="151"/>
      <c r="F781" s="144"/>
      <c r="G781" s="144"/>
      <c r="H781" s="132"/>
      <c r="I781" s="132"/>
      <c r="J781" s="133"/>
      <c r="K781" s="132"/>
      <c r="L781" s="132"/>
      <c r="M781" s="132"/>
      <c r="N781" s="151"/>
      <c r="O781" s="132"/>
      <c r="P781" s="150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</row>
    <row r="782" spans="1:31" ht="15" customHeight="1">
      <c r="A782" s="132"/>
      <c r="B782" s="132"/>
      <c r="C782" s="152"/>
      <c r="D782" s="152"/>
      <c r="E782" s="151"/>
      <c r="F782" s="144"/>
      <c r="G782" s="144"/>
      <c r="H782" s="132"/>
      <c r="I782" s="132"/>
      <c r="J782" s="133"/>
      <c r="K782" s="132"/>
      <c r="L782" s="132"/>
      <c r="M782" s="132"/>
      <c r="N782" s="151"/>
      <c r="O782" s="132"/>
      <c r="P782" s="150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</row>
    <row r="783" spans="1:31" ht="15" customHeight="1">
      <c r="A783" s="132"/>
      <c r="B783" s="132"/>
      <c r="C783" s="152"/>
      <c r="D783" s="152"/>
      <c r="E783" s="151"/>
      <c r="F783" s="144"/>
      <c r="G783" s="144"/>
      <c r="H783" s="132"/>
      <c r="I783" s="132"/>
      <c r="J783" s="133"/>
      <c r="K783" s="132"/>
      <c r="L783" s="132"/>
      <c r="M783" s="132"/>
      <c r="N783" s="151"/>
      <c r="O783" s="132"/>
      <c r="P783" s="150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</row>
    <row r="784" spans="1:31" ht="15" customHeight="1">
      <c r="A784" s="132"/>
      <c r="B784" s="132"/>
      <c r="C784" s="152"/>
      <c r="D784" s="152"/>
      <c r="E784" s="151"/>
      <c r="F784" s="144"/>
      <c r="G784" s="144"/>
      <c r="H784" s="132"/>
      <c r="I784" s="132"/>
      <c r="J784" s="133"/>
      <c r="K784" s="132"/>
      <c r="L784" s="132"/>
      <c r="M784" s="132"/>
      <c r="N784" s="151"/>
      <c r="O784" s="132"/>
      <c r="P784" s="150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</row>
    <row r="785" spans="1:31" ht="15" customHeight="1">
      <c r="A785" s="132"/>
      <c r="B785" s="132"/>
      <c r="C785" s="152"/>
      <c r="D785" s="152"/>
      <c r="E785" s="151"/>
      <c r="F785" s="144"/>
      <c r="G785" s="144"/>
      <c r="H785" s="132"/>
      <c r="I785" s="132"/>
      <c r="J785" s="133"/>
      <c r="K785" s="132"/>
      <c r="L785" s="132"/>
      <c r="M785" s="132"/>
      <c r="N785" s="151"/>
      <c r="O785" s="132"/>
      <c r="P785" s="150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</row>
    <row r="786" spans="1:31" ht="15" customHeight="1">
      <c r="A786" s="132"/>
      <c r="B786" s="132"/>
      <c r="C786" s="152"/>
      <c r="D786" s="152"/>
      <c r="E786" s="151"/>
      <c r="F786" s="144"/>
      <c r="G786" s="144"/>
      <c r="H786" s="132"/>
      <c r="I786" s="132"/>
      <c r="J786" s="133"/>
      <c r="K786" s="132"/>
      <c r="L786" s="132"/>
      <c r="M786" s="132"/>
      <c r="N786" s="151"/>
      <c r="O786" s="132"/>
      <c r="P786" s="150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</row>
    <row r="787" spans="1:31" ht="15" customHeight="1">
      <c r="A787" s="132"/>
      <c r="B787" s="132"/>
      <c r="C787" s="152"/>
      <c r="D787" s="152"/>
      <c r="E787" s="151"/>
      <c r="F787" s="144"/>
      <c r="G787" s="144"/>
      <c r="H787" s="132"/>
      <c r="I787" s="132"/>
      <c r="J787" s="133"/>
      <c r="K787" s="132"/>
      <c r="L787" s="132"/>
      <c r="M787" s="132"/>
      <c r="N787" s="151"/>
      <c r="O787" s="132"/>
      <c r="P787" s="150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</row>
    <row r="788" spans="1:31" ht="15" customHeight="1">
      <c r="A788" s="132"/>
      <c r="B788" s="132"/>
      <c r="C788" s="152"/>
      <c r="D788" s="152"/>
      <c r="E788" s="151"/>
      <c r="F788" s="144"/>
      <c r="G788" s="144"/>
      <c r="H788" s="132"/>
      <c r="I788" s="132"/>
      <c r="J788" s="133"/>
      <c r="K788" s="132"/>
      <c r="L788" s="132"/>
      <c r="M788" s="132"/>
      <c r="N788" s="151"/>
      <c r="O788" s="132"/>
      <c r="P788" s="150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</row>
    <row r="789" spans="1:31" ht="15" customHeight="1">
      <c r="A789" s="132"/>
      <c r="B789" s="132"/>
      <c r="C789" s="152"/>
      <c r="D789" s="152"/>
      <c r="E789" s="151"/>
      <c r="F789" s="144"/>
      <c r="G789" s="144"/>
      <c r="H789" s="132"/>
      <c r="I789" s="132"/>
      <c r="J789" s="133"/>
      <c r="K789" s="132"/>
      <c r="L789" s="132"/>
      <c r="M789" s="132"/>
      <c r="N789" s="151"/>
      <c r="O789" s="132"/>
      <c r="P789" s="150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</row>
    <row r="790" spans="1:31" ht="15" customHeight="1">
      <c r="A790" s="132"/>
      <c r="B790" s="132"/>
      <c r="C790" s="152"/>
      <c r="D790" s="152"/>
      <c r="E790" s="151"/>
      <c r="F790" s="144"/>
      <c r="G790" s="144"/>
      <c r="H790" s="132"/>
      <c r="I790" s="132"/>
      <c r="J790" s="133"/>
      <c r="K790" s="132"/>
      <c r="L790" s="132"/>
      <c r="M790" s="132"/>
      <c r="N790" s="151"/>
      <c r="O790" s="132"/>
      <c r="P790" s="150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</row>
    <row r="791" spans="1:31" ht="15" customHeight="1">
      <c r="A791" s="132"/>
      <c r="B791" s="132"/>
      <c r="C791" s="152"/>
      <c r="D791" s="152"/>
      <c r="E791" s="151"/>
      <c r="F791" s="144"/>
      <c r="G791" s="144"/>
      <c r="H791" s="132"/>
      <c r="I791" s="132"/>
      <c r="J791" s="133"/>
      <c r="K791" s="132"/>
      <c r="L791" s="132"/>
      <c r="M791" s="132"/>
      <c r="N791" s="151"/>
      <c r="O791" s="132"/>
      <c r="P791" s="150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</row>
    <row r="792" spans="1:31" ht="15" customHeight="1">
      <c r="A792" s="132"/>
      <c r="B792" s="132"/>
      <c r="C792" s="152"/>
      <c r="D792" s="152"/>
      <c r="E792" s="151"/>
      <c r="F792" s="144"/>
      <c r="G792" s="144"/>
      <c r="H792" s="132"/>
      <c r="I792" s="132"/>
      <c r="J792" s="133"/>
      <c r="K792" s="132"/>
      <c r="L792" s="132"/>
      <c r="M792" s="132"/>
      <c r="N792" s="151"/>
      <c r="O792" s="132"/>
      <c r="P792" s="150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</row>
    <row r="793" spans="1:31" ht="22.5" customHeight="1">
      <c r="A793" s="69"/>
      <c r="B793" s="69"/>
      <c r="C793" s="69"/>
      <c r="D793" s="69"/>
      <c r="E793" s="185"/>
      <c r="F793" s="69"/>
      <c r="G793" s="185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</row>
    <row r="794" spans="1:31" ht="22.5" customHeight="1">
      <c r="A794" s="69"/>
      <c r="B794" s="69"/>
      <c r="C794" s="69"/>
      <c r="D794" s="69"/>
      <c r="E794" s="185"/>
      <c r="F794" s="69"/>
      <c r="G794" s="185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</row>
    <row r="795" spans="1:31" ht="22.5" customHeight="1">
      <c r="A795" s="69"/>
      <c r="B795" s="69"/>
      <c r="C795" s="69"/>
      <c r="D795" s="69"/>
      <c r="E795" s="185"/>
      <c r="F795" s="69"/>
      <c r="G795" s="185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</row>
    <row r="796" spans="1:31" ht="22.5" customHeight="1">
      <c r="A796" s="69"/>
      <c r="B796" s="69"/>
      <c r="C796" s="69"/>
      <c r="D796" s="69"/>
      <c r="E796" s="185"/>
      <c r="F796" s="69"/>
      <c r="G796" s="185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</row>
    <row r="797" spans="1:31" ht="22.5" customHeight="1">
      <c r="A797" s="69"/>
      <c r="B797" s="69"/>
      <c r="C797" s="69"/>
      <c r="D797" s="69"/>
      <c r="E797" s="185"/>
      <c r="F797" s="69"/>
      <c r="G797" s="185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</row>
    <row r="798" spans="1:31" ht="22.5" customHeight="1">
      <c r="A798" s="69"/>
      <c r="B798" s="69"/>
      <c r="C798" s="69"/>
      <c r="D798" s="69"/>
      <c r="E798" s="185"/>
      <c r="F798" s="69"/>
      <c r="G798" s="185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</row>
    <row r="799" spans="1:31" ht="22.5" customHeight="1">
      <c r="A799" s="69"/>
      <c r="B799" s="69"/>
      <c r="C799" s="69"/>
      <c r="D799" s="69"/>
      <c r="E799" s="185"/>
      <c r="F799" s="69"/>
      <c r="G799" s="185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</row>
    <row r="800" spans="1:31" ht="22.5" customHeight="1">
      <c r="A800" s="69"/>
      <c r="B800" s="69"/>
      <c r="C800" s="69"/>
      <c r="D800" s="69"/>
      <c r="E800" s="185"/>
      <c r="F800" s="69"/>
      <c r="G800" s="185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</row>
    <row r="801" spans="1:31" ht="22.5" customHeight="1">
      <c r="A801" s="69"/>
      <c r="B801" s="69"/>
      <c r="C801" s="69"/>
      <c r="D801" s="69"/>
      <c r="E801" s="185"/>
      <c r="F801" s="69"/>
      <c r="G801" s="185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</row>
    <row r="802" spans="1:31" ht="22.5" customHeight="1">
      <c r="A802" s="69"/>
      <c r="B802" s="69"/>
      <c r="C802" s="69"/>
      <c r="D802" s="69"/>
      <c r="E802" s="185"/>
      <c r="F802" s="69"/>
      <c r="G802" s="185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</row>
    <row r="803" spans="1:31" ht="22.5" customHeight="1">
      <c r="A803" s="69"/>
      <c r="B803" s="69"/>
      <c r="C803" s="69"/>
      <c r="D803" s="69"/>
      <c r="E803" s="185"/>
      <c r="F803" s="69"/>
      <c r="G803" s="185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</row>
    <row r="804" spans="1:31" ht="22.5" customHeight="1">
      <c r="A804" s="69"/>
      <c r="B804" s="69"/>
      <c r="C804" s="69"/>
      <c r="D804" s="69"/>
      <c r="E804" s="185"/>
      <c r="F804" s="69"/>
      <c r="G804" s="185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</row>
    <row r="805" spans="1:31" ht="22.5" customHeight="1">
      <c r="A805" s="69"/>
      <c r="B805" s="69"/>
      <c r="C805" s="69"/>
      <c r="D805" s="69"/>
      <c r="E805" s="185"/>
      <c r="F805" s="69"/>
      <c r="G805" s="185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</row>
    <row r="806" spans="1:31" ht="22.5" customHeight="1">
      <c r="A806" s="69"/>
      <c r="B806" s="69"/>
      <c r="C806" s="69"/>
      <c r="D806" s="69"/>
      <c r="E806" s="185"/>
      <c r="F806" s="69"/>
      <c r="G806" s="185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</row>
    <row r="807" spans="1:31" ht="22.5" customHeight="1">
      <c r="A807" s="69"/>
      <c r="B807" s="69"/>
      <c r="C807" s="69"/>
      <c r="D807" s="69"/>
      <c r="E807" s="185"/>
      <c r="F807" s="69"/>
      <c r="G807" s="185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</row>
    <row r="808" spans="1:31" ht="22.5" customHeight="1">
      <c r="A808" s="69"/>
      <c r="B808" s="69"/>
      <c r="C808" s="69"/>
      <c r="D808" s="69"/>
      <c r="E808" s="185"/>
      <c r="F808" s="69"/>
      <c r="G808" s="185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</row>
    <row r="809" spans="1:31" ht="22.5" customHeight="1">
      <c r="A809" s="69"/>
      <c r="B809" s="69"/>
      <c r="C809" s="69"/>
      <c r="D809" s="69"/>
      <c r="E809" s="185"/>
      <c r="F809" s="69"/>
      <c r="G809" s="185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</row>
    <row r="810" spans="1:31" ht="22.5" customHeight="1">
      <c r="A810" s="69"/>
      <c r="B810" s="69"/>
      <c r="C810" s="69"/>
      <c r="D810" s="69"/>
      <c r="E810" s="185"/>
      <c r="F810" s="69"/>
      <c r="G810" s="185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</row>
    <row r="811" spans="1:31" ht="22.5" customHeight="1">
      <c r="A811" s="69"/>
      <c r="B811" s="69"/>
      <c r="C811" s="69"/>
      <c r="D811" s="69"/>
      <c r="E811" s="185"/>
      <c r="F811" s="69"/>
      <c r="G811" s="185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</row>
    <row r="812" spans="1:31" ht="22.5" customHeight="1">
      <c r="A812" s="69"/>
      <c r="B812" s="69"/>
      <c r="C812" s="69"/>
      <c r="D812" s="69"/>
      <c r="E812" s="185"/>
      <c r="F812" s="69"/>
      <c r="G812" s="185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</row>
    <row r="813" spans="1:31" ht="22.5" customHeight="1">
      <c r="A813" s="69"/>
      <c r="B813" s="69"/>
      <c r="C813" s="69"/>
      <c r="D813" s="69"/>
      <c r="E813" s="185"/>
      <c r="F813" s="69"/>
      <c r="G813" s="185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</row>
    <row r="814" spans="1:31" ht="22.5" customHeight="1">
      <c r="A814" s="69"/>
      <c r="B814" s="69"/>
      <c r="C814" s="69"/>
      <c r="D814" s="69"/>
      <c r="E814" s="185"/>
      <c r="F814" s="69"/>
      <c r="G814" s="185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</row>
    <row r="815" spans="1:31" ht="22.5" customHeight="1">
      <c r="A815" s="69"/>
      <c r="B815" s="69"/>
      <c r="C815" s="69"/>
      <c r="D815" s="69"/>
      <c r="E815" s="185"/>
      <c r="F815" s="69"/>
      <c r="G815" s="185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</row>
    <row r="816" spans="1:31" ht="22.5" customHeight="1">
      <c r="A816" s="69"/>
      <c r="B816" s="69"/>
      <c r="C816" s="69"/>
      <c r="D816" s="69"/>
      <c r="E816" s="185"/>
      <c r="F816" s="69"/>
      <c r="G816" s="185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</row>
    <row r="817" spans="1:31" ht="22.5" customHeight="1">
      <c r="A817" s="69"/>
      <c r="B817" s="69"/>
      <c r="C817" s="69"/>
      <c r="D817" s="69"/>
      <c r="E817" s="185"/>
      <c r="F817" s="69"/>
      <c r="G817" s="185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</row>
    <row r="818" spans="1:31" ht="22.5" customHeight="1">
      <c r="A818" s="69"/>
      <c r="B818" s="69"/>
      <c r="C818" s="69"/>
      <c r="D818" s="69"/>
      <c r="E818" s="185"/>
      <c r="F818" s="69"/>
      <c r="G818" s="185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</row>
    <row r="819" spans="1:31" ht="22.5" customHeight="1">
      <c r="A819" s="69"/>
      <c r="B819" s="69"/>
      <c r="C819" s="69"/>
      <c r="D819" s="69"/>
      <c r="E819" s="185"/>
      <c r="F819" s="69"/>
      <c r="G819" s="185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</row>
    <row r="820" spans="1:31" ht="22.5" customHeight="1">
      <c r="A820" s="69"/>
      <c r="B820" s="69"/>
      <c r="C820" s="69"/>
      <c r="D820" s="69"/>
      <c r="E820" s="185"/>
      <c r="F820" s="69"/>
      <c r="G820" s="185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</row>
    <row r="821" spans="1:31" ht="22.5" customHeight="1">
      <c r="A821" s="69"/>
      <c r="B821" s="69"/>
      <c r="C821" s="69"/>
      <c r="D821" s="69"/>
      <c r="E821" s="185"/>
      <c r="F821" s="69"/>
      <c r="G821" s="185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</row>
    <row r="822" spans="1:31" ht="22.5" customHeight="1">
      <c r="A822" s="69"/>
      <c r="B822" s="69"/>
      <c r="C822" s="69"/>
      <c r="D822" s="69"/>
      <c r="E822" s="185"/>
      <c r="F822" s="69"/>
      <c r="G822" s="185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</row>
    <row r="823" spans="1:31" ht="22.5" customHeight="1">
      <c r="A823" s="69"/>
      <c r="B823" s="69"/>
      <c r="C823" s="69"/>
      <c r="D823" s="69"/>
      <c r="E823" s="185"/>
      <c r="F823" s="69"/>
      <c r="G823" s="185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</row>
    <row r="824" spans="1:31" ht="22.5" customHeight="1">
      <c r="A824" s="69"/>
      <c r="B824" s="69"/>
      <c r="C824" s="69"/>
      <c r="D824" s="69"/>
      <c r="E824" s="185"/>
      <c r="F824" s="69"/>
      <c r="G824" s="185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</row>
    <row r="825" spans="1:31" ht="22.5" customHeight="1">
      <c r="A825" s="69"/>
      <c r="B825" s="69"/>
      <c r="C825" s="69"/>
      <c r="D825" s="69"/>
      <c r="E825" s="185"/>
      <c r="F825" s="69"/>
      <c r="G825" s="185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</row>
    <row r="826" spans="1:31" ht="22.5" customHeight="1">
      <c r="A826" s="69"/>
      <c r="B826" s="69"/>
      <c r="C826" s="69"/>
      <c r="D826" s="69"/>
      <c r="E826" s="185"/>
      <c r="F826" s="69"/>
      <c r="G826" s="185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</row>
    <row r="827" spans="1:31" ht="22.5" customHeight="1">
      <c r="A827" s="69"/>
      <c r="B827" s="69"/>
      <c r="C827" s="69"/>
      <c r="D827" s="69"/>
      <c r="E827" s="185"/>
      <c r="F827" s="69"/>
      <c r="G827" s="185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</row>
    <row r="828" spans="1:31" ht="22.5" customHeight="1">
      <c r="A828" s="69"/>
      <c r="B828" s="69"/>
      <c r="C828" s="69"/>
      <c r="D828" s="69"/>
      <c r="E828" s="185"/>
      <c r="F828" s="69"/>
      <c r="G828" s="185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</row>
    <row r="829" spans="1:31" ht="22.5" customHeight="1">
      <c r="A829" s="69"/>
      <c r="B829" s="69"/>
      <c r="C829" s="69"/>
      <c r="D829" s="69"/>
      <c r="E829" s="185"/>
      <c r="F829" s="69"/>
      <c r="G829" s="185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</row>
    <row r="830" spans="1:31" ht="22.5" customHeight="1">
      <c r="A830" s="69"/>
      <c r="B830" s="69"/>
      <c r="C830" s="69"/>
      <c r="D830" s="69"/>
      <c r="E830" s="185"/>
      <c r="F830" s="69"/>
      <c r="G830" s="185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</row>
    <row r="831" spans="1:31" ht="22.5" customHeight="1">
      <c r="A831" s="69"/>
      <c r="B831" s="69"/>
      <c r="C831" s="69"/>
      <c r="D831" s="69"/>
      <c r="E831" s="185"/>
      <c r="F831" s="69"/>
      <c r="G831" s="185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</row>
    <row r="832" spans="1:31" ht="22.5" customHeight="1">
      <c r="A832" s="69"/>
      <c r="B832" s="69"/>
      <c r="C832" s="69"/>
      <c r="D832" s="69"/>
      <c r="E832" s="185"/>
      <c r="F832" s="69"/>
      <c r="G832" s="185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</row>
    <row r="833" spans="1:31" ht="22.5" customHeight="1">
      <c r="A833" s="69"/>
      <c r="B833" s="69"/>
      <c r="C833" s="69"/>
      <c r="D833" s="69"/>
      <c r="E833" s="185"/>
      <c r="F833" s="69"/>
      <c r="G833" s="185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</row>
    <row r="834" spans="1:31" ht="22.5" customHeight="1">
      <c r="A834" s="69"/>
      <c r="B834" s="69"/>
      <c r="C834" s="69"/>
      <c r="D834" s="69"/>
      <c r="E834" s="185"/>
      <c r="F834" s="69"/>
      <c r="G834" s="185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</row>
    <row r="835" spans="1:31" ht="22.5" customHeight="1">
      <c r="A835" s="69"/>
      <c r="B835" s="69"/>
      <c r="C835" s="69"/>
      <c r="D835" s="69"/>
      <c r="E835" s="185"/>
      <c r="F835" s="69"/>
      <c r="G835" s="185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</row>
    <row r="836" spans="1:31" ht="22.5" customHeight="1">
      <c r="A836" s="69"/>
      <c r="B836" s="69"/>
      <c r="C836" s="69"/>
      <c r="D836" s="69"/>
      <c r="E836" s="185"/>
      <c r="F836" s="69"/>
      <c r="G836" s="185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</row>
    <row r="837" spans="1:31" ht="22.5" customHeight="1">
      <c r="A837" s="69"/>
      <c r="B837" s="69"/>
      <c r="C837" s="69"/>
      <c r="D837" s="69"/>
      <c r="E837" s="185"/>
      <c r="F837" s="69"/>
      <c r="G837" s="185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</row>
    <row r="838" spans="1:31" ht="22.5" customHeight="1">
      <c r="A838" s="69"/>
      <c r="B838" s="69"/>
      <c r="C838" s="69"/>
      <c r="D838" s="69"/>
      <c r="E838" s="185"/>
      <c r="F838" s="69"/>
      <c r="G838" s="185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</row>
    <row r="839" spans="1:31" ht="22.5" customHeight="1">
      <c r="A839" s="69"/>
      <c r="B839" s="69"/>
      <c r="C839" s="69"/>
      <c r="D839" s="69"/>
      <c r="E839" s="185"/>
      <c r="F839" s="69"/>
      <c r="G839" s="185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</row>
    <row r="840" spans="1:31" ht="22.5" customHeight="1">
      <c r="A840" s="69"/>
      <c r="B840" s="69"/>
      <c r="C840" s="69"/>
      <c r="D840" s="69"/>
      <c r="E840" s="185"/>
      <c r="F840" s="69"/>
      <c r="G840" s="185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</row>
    <row r="841" spans="1:31" ht="22.5" customHeight="1">
      <c r="A841" s="69"/>
      <c r="B841" s="69"/>
      <c r="C841" s="69"/>
      <c r="D841" s="69"/>
      <c r="E841" s="185"/>
      <c r="F841" s="69"/>
      <c r="G841" s="185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</row>
    <row r="842" spans="1:31" ht="22.5" customHeight="1">
      <c r="A842" s="69"/>
      <c r="B842" s="69"/>
      <c r="C842" s="69"/>
      <c r="D842" s="69"/>
      <c r="E842" s="185"/>
      <c r="F842" s="69"/>
      <c r="G842" s="185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</row>
    <row r="843" spans="1:31" ht="22.5" customHeight="1">
      <c r="A843" s="69"/>
      <c r="B843" s="69"/>
      <c r="C843" s="69"/>
      <c r="D843" s="69"/>
      <c r="E843" s="185"/>
      <c r="F843" s="69"/>
      <c r="G843" s="185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</row>
    <row r="844" spans="1:31" ht="22.5" customHeight="1">
      <c r="A844" s="69"/>
      <c r="B844" s="69"/>
      <c r="C844" s="69"/>
      <c r="D844" s="69"/>
      <c r="E844" s="185"/>
      <c r="F844" s="69"/>
      <c r="G844" s="185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</row>
    <row r="845" spans="1:31" ht="22.5" customHeight="1">
      <c r="A845" s="69"/>
      <c r="B845" s="69"/>
      <c r="C845" s="69"/>
      <c r="D845" s="69"/>
      <c r="E845" s="185"/>
      <c r="F845" s="69"/>
      <c r="G845" s="185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</row>
    <row r="846" spans="1:31" ht="22.5" customHeight="1">
      <c r="A846" s="69"/>
      <c r="B846" s="69"/>
      <c r="C846" s="69"/>
      <c r="D846" s="69"/>
      <c r="E846" s="185"/>
      <c r="F846" s="69"/>
      <c r="G846" s="185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</row>
    <row r="847" spans="1:31" ht="22.5" customHeight="1">
      <c r="A847" s="69"/>
      <c r="B847" s="69"/>
      <c r="C847" s="69"/>
      <c r="D847" s="69"/>
      <c r="E847" s="185"/>
      <c r="F847" s="69"/>
      <c r="G847" s="185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</row>
    <row r="848" spans="1:31" ht="22.5" customHeight="1">
      <c r="A848" s="69"/>
      <c r="B848" s="69"/>
      <c r="C848" s="69"/>
      <c r="D848" s="69"/>
      <c r="E848" s="185"/>
      <c r="F848" s="69"/>
      <c r="G848" s="185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</row>
    <row r="849" spans="1:31" ht="22.5" customHeight="1">
      <c r="A849" s="69"/>
      <c r="B849" s="69"/>
      <c r="C849" s="69"/>
      <c r="D849" s="69"/>
      <c r="E849" s="185"/>
      <c r="F849" s="69"/>
      <c r="G849" s="185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</row>
    <row r="850" spans="1:31" ht="22.5" customHeight="1">
      <c r="A850" s="69"/>
      <c r="B850" s="69"/>
      <c r="C850" s="69"/>
      <c r="D850" s="69"/>
      <c r="E850" s="185"/>
      <c r="F850" s="69"/>
      <c r="G850" s="185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</row>
    <row r="851" spans="1:31" ht="22.5" customHeight="1">
      <c r="A851" s="69"/>
      <c r="B851" s="69"/>
      <c r="C851" s="69"/>
      <c r="D851" s="69"/>
      <c r="E851" s="185"/>
      <c r="F851" s="69"/>
      <c r="G851" s="185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</row>
    <row r="852" spans="1:31" ht="22.5" customHeight="1">
      <c r="A852" s="69"/>
      <c r="B852" s="69"/>
      <c r="C852" s="69"/>
      <c r="D852" s="69"/>
      <c r="E852" s="185"/>
      <c r="F852" s="69"/>
      <c r="G852" s="185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</row>
    <row r="853" spans="1:31" ht="22.5" customHeight="1">
      <c r="A853" s="69"/>
      <c r="B853" s="69"/>
      <c r="C853" s="69"/>
      <c r="D853" s="69"/>
      <c r="E853" s="185"/>
      <c r="F853" s="69"/>
      <c r="G853" s="185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</row>
    <row r="854" spans="1:31" ht="22.5" customHeight="1">
      <c r="A854" s="69"/>
      <c r="B854" s="69"/>
      <c r="C854" s="69"/>
      <c r="D854" s="69"/>
      <c r="E854" s="185"/>
      <c r="F854" s="69"/>
      <c r="G854" s="185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</row>
    <row r="855" spans="1:31" ht="22.5" customHeight="1">
      <c r="A855" s="69"/>
      <c r="B855" s="69"/>
      <c r="C855" s="69"/>
      <c r="D855" s="69"/>
      <c r="E855" s="185"/>
      <c r="F855" s="69"/>
      <c r="G855" s="185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</row>
    <row r="856" spans="1:31" ht="22.5" customHeight="1">
      <c r="A856" s="69"/>
      <c r="B856" s="69"/>
      <c r="C856" s="69"/>
      <c r="D856" s="69"/>
      <c r="E856" s="185"/>
      <c r="F856" s="69"/>
      <c r="G856" s="185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</row>
    <row r="857" spans="1:31" ht="22.5" customHeight="1">
      <c r="A857" s="69"/>
      <c r="B857" s="69"/>
      <c r="C857" s="69"/>
      <c r="D857" s="69"/>
      <c r="E857" s="185"/>
      <c r="F857" s="69"/>
      <c r="G857" s="185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</row>
    <row r="858" spans="1:31" ht="22.5" customHeight="1">
      <c r="A858" s="69"/>
      <c r="B858" s="69"/>
      <c r="C858" s="69"/>
      <c r="D858" s="69"/>
      <c r="E858" s="185"/>
      <c r="F858" s="69"/>
      <c r="G858" s="185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</row>
    <row r="859" spans="1:31" ht="22.5" customHeight="1">
      <c r="A859" s="69"/>
      <c r="B859" s="69"/>
      <c r="C859" s="69"/>
      <c r="D859" s="69"/>
      <c r="E859" s="185"/>
      <c r="F859" s="69"/>
      <c r="G859" s="185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</row>
    <row r="860" spans="1:31" ht="22.5" customHeight="1">
      <c r="A860" s="69"/>
      <c r="B860" s="69"/>
      <c r="C860" s="69"/>
      <c r="D860" s="69"/>
      <c r="E860" s="185"/>
      <c r="F860" s="69"/>
      <c r="G860" s="185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</row>
    <row r="861" spans="1:31" ht="22.5" customHeight="1">
      <c r="A861" s="69"/>
      <c r="B861" s="69"/>
      <c r="C861" s="69"/>
      <c r="D861" s="69"/>
      <c r="E861" s="185"/>
      <c r="F861" s="69"/>
      <c r="G861" s="185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</row>
    <row r="862" spans="1:31" ht="22.5" customHeight="1">
      <c r="A862" s="69"/>
      <c r="B862" s="69"/>
      <c r="C862" s="69"/>
      <c r="D862" s="69"/>
      <c r="E862" s="185"/>
      <c r="F862" s="69"/>
      <c r="G862" s="185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</row>
    <row r="863" spans="1:31" ht="22.5" customHeight="1">
      <c r="A863" s="69"/>
      <c r="B863" s="69"/>
      <c r="C863" s="69"/>
      <c r="D863" s="69"/>
      <c r="E863" s="185"/>
      <c r="F863" s="69"/>
      <c r="G863" s="185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</row>
    <row r="864" spans="1:31" ht="22.5" customHeight="1">
      <c r="A864" s="69"/>
      <c r="B864" s="69"/>
      <c r="C864" s="69"/>
      <c r="D864" s="69"/>
      <c r="E864" s="185"/>
      <c r="F864" s="69"/>
      <c r="G864" s="185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</row>
    <row r="865" spans="1:31" ht="22.5" customHeight="1">
      <c r="A865" s="69"/>
      <c r="B865" s="69"/>
      <c r="C865" s="69"/>
      <c r="D865" s="69"/>
      <c r="E865" s="185"/>
      <c r="F865" s="69"/>
      <c r="G865" s="185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</row>
    <row r="866" spans="1:31" ht="22.5" customHeight="1">
      <c r="A866" s="69"/>
      <c r="B866" s="69"/>
      <c r="C866" s="69"/>
      <c r="D866" s="69"/>
      <c r="E866" s="185"/>
      <c r="F866" s="69"/>
      <c r="G866" s="185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</row>
    <row r="867" spans="1:31" ht="22.5" customHeight="1">
      <c r="A867" s="69"/>
      <c r="B867" s="69"/>
      <c r="C867" s="69"/>
      <c r="D867" s="69"/>
      <c r="E867" s="185"/>
      <c r="F867" s="69"/>
      <c r="G867" s="185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</row>
    <row r="868" spans="1:31" ht="22.5" customHeight="1">
      <c r="A868" s="69"/>
      <c r="B868" s="69"/>
      <c r="C868" s="69"/>
      <c r="D868" s="69"/>
      <c r="E868" s="185"/>
      <c r="F868" s="69"/>
      <c r="G868" s="185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</row>
    <row r="869" spans="1:31" ht="22.5" customHeight="1">
      <c r="A869" s="69"/>
      <c r="B869" s="69"/>
      <c r="C869" s="69"/>
      <c r="D869" s="69"/>
      <c r="E869" s="185"/>
      <c r="F869" s="69"/>
      <c r="G869" s="185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</row>
    <row r="870" spans="1:31" ht="22.5" customHeight="1">
      <c r="A870" s="69"/>
      <c r="B870" s="69"/>
      <c r="C870" s="69"/>
      <c r="D870" s="69"/>
      <c r="E870" s="185"/>
      <c r="F870" s="69"/>
      <c r="G870" s="185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</row>
    <row r="871" spans="1:31" ht="22.5" customHeight="1">
      <c r="A871" s="69"/>
      <c r="B871" s="69"/>
      <c r="C871" s="69"/>
      <c r="D871" s="69"/>
      <c r="E871" s="185"/>
      <c r="F871" s="69"/>
      <c r="G871" s="185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</row>
    <row r="872" spans="1:31" ht="22.5" customHeight="1">
      <c r="A872" s="69"/>
      <c r="B872" s="69"/>
      <c r="C872" s="69"/>
      <c r="D872" s="69"/>
      <c r="E872" s="185"/>
      <c r="F872" s="69"/>
      <c r="G872" s="185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</row>
    <row r="873" spans="1:31" ht="22.5" customHeight="1">
      <c r="A873" s="69"/>
      <c r="B873" s="69"/>
      <c r="C873" s="69"/>
      <c r="D873" s="69"/>
      <c r="E873" s="185"/>
      <c r="F873" s="69"/>
      <c r="G873" s="185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</row>
    <row r="874" spans="1:31" ht="22.5" customHeight="1">
      <c r="A874" s="69"/>
      <c r="B874" s="69"/>
      <c r="C874" s="69"/>
      <c r="D874" s="69"/>
      <c r="E874" s="185"/>
      <c r="F874" s="69"/>
      <c r="G874" s="185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</row>
    <row r="875" spans="1:31" ht="22.5" customHeight="1">
      <c r="A875" s="69"/>
      <c r="B875" s="69"/>
      <c r="C875" s="69"/>
      <c r="D875" s="69"/>
      <c r="E875" s="185"/>
      <c r="F875" s="69"/>
      <c r="G875" s="185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</row>
    <row r="876" spans="1:31" ht="22.5" customHeight="1">
      <c r="A876" s="69"/>
      <c r="B876" s="69"/>
      <c r="C876" s="69"/>
      <c r="D876" s="69"/>
      <c r="E876" s="185"/>
      <c r="F876" s="69"/>
      <c r="G876" s="185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</row>
    <row r="877" spans="1:31" ht="22.5" customHeight="1">
      <c r="A877" s="69"/>
      <c r="B877" s="69"/>
      <c r="C877" s="69"/>
      <c r="D877" s="69"/>
      <c r="E877" s="185"/>
      <c r="F877" s="69"/>
      <c r="G877" s="185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</row>
    <row r="878" spans="1:31" ht="22.5" customHeight="1">
      <c r="A878" s="69"/>
      <c r="B878" s="69"/>
      <c r="C878" s="69"/>
      <c r="D878" s="69"/>
      <c r="E878" s="185"/>
      <c r="F878" s="69"/>
      <c r="G878" s="185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</row>
    <row r="879" spans="1:31" ht="22.5" customHeight="1">
      <c r="A879" s="69"/>
      <c r="B879" s="69"/>
      <c r="C879" s="69"/>
      <c r="D879" s="69"/>
      <c r="E879" s="185"/>
      <c r="F879" s="69"/>
      <c r="G879" s="185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</row>
    <row r="880" spans="1:31" ht="22.5" customHeight="1">
      <c r="A880" s="69"/>
      <c r="B880" s="69"/>
      <c r="C880" s="69"/>
      <c r="D880" s="69"/>
      <c r="E880" s="185"/>
      <c r="F880" s="69"/>
      <c r="G880" s="185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</row>
    <row r="881" spans="1:31" ht="22.5" customHeight="1">
      <c r="A881" s="69"/>
      <c r="B881" s="69"/>
      <c r="C881" s="69"/>
      <c r="D881" s="69"/>
      <c r="E881" s="185"/>
      <c r="F881" s="69"/>
      <c r="G881" s="185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</row>
    <row r="882" spans="1:31" ht="22.5" customHeight="1">
      <c r="A882" s="69"/>
      <c r="B882" s="69"/>
      <c r="C882" s="69"/>
      <c r="D882" s="69"/>
      <c r="E882" s="185"/>
      <c r="F882" s="69"/>
      <c r="G882" s="185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</row>
    <row r="883" spans="1:31" ht="22.5" customHeight="1">
      <c r="A883" s="69"/>
      <c r="B883" s="69"/>
      <c r="C883" s="69"/>
      <c r="D883" s="69"/>
      <c r="E883" s="185"/>
      <c r="F883" s="69"/>
      <c r="G883" s="185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</row>
    <row r="884" spans="1:31" ht="22.5" customHeight="1">
      <c r="A884" s="69"/>
      <c r="B884" s="69"/>
      <c r="C884" s="69"/>
      <c r="D884" s="69"/>
      <c r="E884" s="185"/>
      <c r="F884" s="69"/>
      <c r="G884" s="185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</row>
    <row r="885" spans="1:31" ht="22.5" customHeight="1">
      <c r="A885" s="69"/>
      <c r="B885" s="69"/>
      <c r="C885" s="69"/>
      <c r="D885" s="69"/>
      <c r="E885" s="185"/>
      <c r="F885" s="69"/>
      <c r="G885" s="185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</row>
    <row r="886" spans="1:31" ht="22.5" customHeight="1">
      <c r="A886" s="69"/>
      <c r="B886" s="69"/>
      <c r="C886" s="69"/>
      <c r="D886" s="69"/>
      <c r="E886" s="185"/>
      <c r="F886" s="69"/>
      <c r="G886" s="185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</row>
    <row r="887" spans="1:31" ht="22.5" customHeight="1">
      <c r="A887" s="69"/>
      <c r="B887" s="69"/>
      <c r="C887" s="69"/>
      <c r="D887" s="69"/>
      <c r="E887" s="185"/>
      <c r="F887" s="69"/>
      <c r="G887" s="185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</row>
    <row r="888" spans="1:31" ht="22.5" customHeight="1">
      <c r="A888" s="69"/>
      <c r="B888" s="69"/>
      <c r="C888" s="69"/>
      <c r="D888" s="69"/>
      <c r="E888" s="185"/>
      <c r="F888" s="69"/>
      <c r="G888" s="185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</row>
    <row r="889" spans="1:31" ht="22.5" customHeight="1">
      <c r="A889" s="69"/>
      <c r="B889" s="69"/>
      <c r="C889" s="69"/>
      <c r="D889" s="69"/>
      <c r="E889" s="185"/>
      <c r="F889" s="69"/>
      <c r="G889" s="185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</row>
    <row r="890" spans="1:31" ht="22.5" customHeight="1">
      <c r="A890" s="69"/>
      <c r="B890" s="69"/>
      <c r="C890" s="69"/>
      <c r="D890" s="69"/>
      <c r="E890" s="185"/>
      <c r="F890" s="69"/>
      <c r="G890" s="185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</row>
    <row r="891" spans="1:31" ht="22.5" customHeight="1">
      <c r="A891" s="69"/>
      <c r="B891" s="69"/>
      <c r="C891" s="69"/>
      <c r="D891" s="69"/>
      <c r="E891" s="185"/>
      <c r="F891" s="69"/>
      <c r="G891" s="185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</row>
    <row r="892" spans="1:31" ht="22.5" customHeight="1">
      <c r="A892" s="69"/>
      <c r="B892" s="69"/>
      <c r="C892" s="69"/>
      <c r="D892" s="69"/>
      <c r="E892" s="185"/>
      <c r="F892" s="69"/>
      <c r="G892" s="185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</row>
    <row r="893" spans="1:31" ht="22.5" customHeight="1">
      <c r="A893" s="69"/>
      <c r="B893" s="69"/>
      <c r="C893" s="69"/>
      <c r="D893" s="69"/>
      <c r="E893" s="185"/>
      <c r="F893" s="69"/>
      <c r="G893" s="185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</row>
    <row r="894" spans="1:31" ht="22.5" customHeight="1">
      <c r="A894" s="69"/>
      <c r="B894" s="69"/>
      <c r="C894" s="69"/>
      <c r="D894" s="69"/>
      <c r="E894" s="185"/>
      <c r="F894" s="69"/>
      <c r="G894" s="185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</row>
    <row r="895" spans="1:31" ht="22.5" customHeight="1">
      <c r="A895" s="69"/>
      <c r="B895" s="69"/>
      <c r="C895" s="69"/>
      <c r="D895" s="69"/>
      <c r="E895" s="185"/>
      <c r="F895" s="69"/>
      <c r="G895" s="185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</row>
    <row r="896" spans="1:31" ht="22.5" customHeight="1">
      <c r="A896" s="69"/>
      <c r="B896" s="69"/>
      <c r="C896" s="69"/>
      <c r="D896" s="69"/>
      <c r="E896" s="185"/>
      <c r="F896" s="69"/>
      <c r="G896" s="185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</row>
    <row r="897" spans="1:31" ht="22.5" customHeight="1">
      <c r="A897" s="69"/>
      <c r="B897" s="69"/>
      <c r="C897" s="69"/>
      <c r="D897" s="69"/>
      <c r="E897" s="185"/>
      <c r="F897" s="69"/>
      <c r="G897" s="185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</row>
    <row r="898" spans="1:31" ht="22.5" customHeight="1">
      <c r="A898" s="69"/>
      <c r="B898" s="69"/>
      <c r="C898" s="69"/>
      <c r="D898" s="69"/>
      <c r="E898" s="185"/>
      <c r="F898" s="69"/>
      <c r="G898" s="185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</row>
    <row r="899" spans="1:31" ht="22.5" customHeight="1">
      <c r="A899" s="69"/>
      <c r="B899" s="69"/>
      <c r="C899" s="69"/>
      <c r="D899" s="69"/>
      <c r="E899" s="185"/>
      <c r="F899" s="69"/>
      <c r="G899" s="185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</row>
    <row r="900" spans="1:31" ht="22.5" customHeight="1">
      <c r="A900" s="69"/>
      <c r="B900" s="69"/>
      <c r="C900" s="69"/>
      <c r="D900" s="69"/>
      <c r="E900" s="185"/>
      <c r="F900" s="69"/>
      <c r="G900" s="185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</row>
    <row r="901" spans="1:31" ht="22.5" customHeight="1">
      <c r="A901" s="69"/>
      <c r="B901" s="69"/>
      <c r="C901" s="69"/>
      <c r="D901" s="69"/>
      <c r="E901" s="185"/>
      <c r="F901" s="69"/>
      <c r="G901" s="185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</row>
    <row r="902" spans="1:31" ht="22.5" customHeight="1">
      <c r="A902" s="69"/>
      <c r="B902" s="69"/>
      <c r="C902" s="69"/>
      <c r="D902" s="69"/>
      <c r="E902" s="185"/>
      <c r="F902" s="69"/>
      <c r="G902" s="185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</row>
    <row r="903" spans="1:31" ht="22.5" customHeight="1">
      <c r="A903" s="69"/>
      <c r="B903" s="69"/>
      <c r="C903" s="69"/>
      <c r="D903" s="69"/>
      <c r="E903" s="185"/>
      <c r="F903" s="69"/>
      <c r="G903" s="185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</row>
    <row r="904" spans="1:31" ht="22.5" customHeight="1">
      <c r="A904" s="69"/>
      <c r="B904" s="69"/>
      <c r="C904" s="69"/>
      <c r="D904" s="69"/>
      <c r="E904" s="185"/>
      <c r="F904" s="69"/>
      <c r="G904" s="185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</row>
    <row r="905" spans="1:31" ht="22.5" customHeight="1">
      <c r="A905" s="69"/>
      <c r="B905" s="69"/>
      <c r="C905" s="69"/>
      <c r="D905" s="69"/>
      <c r="E905" s="185"/>
      <c r="F905" s="69"/>
      <c r="G905" s="185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</row>
    <row r="906" spans="1:31" ht="22.5" customHeight="1">
      <c r="A906" s="69"/>
      <c r="B906" s="69"/>
      <c r="C906" s="69"/>
      <c r="D906" s="69"/>
      <c r="E906" s="185"/>
      <c r="F906" s="69"/>
      <c r="G906" s="185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</row>
    <row r="907" spans="1:31" ht="22.5" customHeight="1">
      <c r="A907" s="69"/>
      <c r="B907" s="69"/>
      <c r="C907" s="69"/>
      <c r="D907" s="69"/>
      <c r="E907" s="185"/>
      <c r="F907" s="69"/>
      <c r="G907" s="185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</row>
    <row r="908" spans="1:31" ht="22.5" customHeight="1">
      <c r="A908" s="69"/>
      <c r="B908" s="69"/>
      <c r="C908" s="69"/>
      <c r="D908" s="69"/>
      <c r="E908" s="185"/>
      <c r="F908" s="69"/>
      <c r="G908" s="185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</row>
    <row r="909" spans="1:31" ht="22.5" customHeight="1">
      <c r="A909" s="69"/>
      <c r="B909" s="69"/>
      <c r="C909" s="69"/>
      <c r="D909" s="69"/>
      <c r="E909" s="185"/>
      <c r="F909" s="69"/>
      <c r="G909" s="185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</row>
    <row r="910" spans="1:31" ht="22.5" customHeight="1">
      <c r="A910" s="69"/>
      <c r="B910" s="69"/>
      <c r="C910" s="69"/>
      <c r="D910" s="69"/>
      <c r="E910" s="185"/>
      <c r="F910" s="69"/>
      <c r="G910" s="185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</row>
    <row r="911" spans="1:31" ht="22.5" customHeight="1">
      <c r="A911" s="69"/>
      <c r="B911" s="69"/>
      <c r="C911" s="69"/>
      <c r="D911" s="69"/>
      <c r="E911" s="185"/>
      <c r="F911" s="69"/>
      <c r="G911" s="185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</row>
    <row r="912" spans="1:31" ht="22.5" customHeight="1">
      <c r="A912" s="69"/>
      <c r="B912" s="69"/>
      <c r="C912" s="69"/>
      <c r="D912" s="69"/>
      <c r="E912" s="185"/>
      <c r="F912" s="69"/>
      <c r="G912" s="185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</row>
    <row r="913" spans="1:31" ht="22.5" customHeight="1">
      <c r="A913" s="69"/>
      <c r="B913" s="69"/>
      <c r="C913" s="69"/>
      <c r="D913" s="69"/>
      <c r="E913" s="185"/>
      <c r="F913" s="69"/>
      <c r="G913" s="185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</row>
    <row r="914" spans="1:31" ht="22.5" customHeight="1">
      <c r="A914" s="69"/>
      <c r="B914" s="69"/>
      <c r="C914" s="69"/>
      <c r="D914" s="69"/>
      <c r="E914" s="185"/>
      <c r="F914" s="69"/>
      <c r="G914" s="185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</row>
    <row r="915" spans="1:31" ht="22.5" customHeight="1">
      <c r="A915" s="69"/>
      <c r="B915" s="69"/>
      <c r="C915" s="69"/>
      <c r="D915" s="69"/>
      <c r="E915" s="185"/>
      <c r="F915" s="69"/>
      <c r="G915" s="185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</row>
    <row r="916" spans="1:31" ht="22.5" customHeight="1">
      <c r="A916" s="69"/>
      <c r="B916" s="69"/>
      <c r="C916" s="69"/>
      <c r="D916" s="69"/>
      <c r="E916" s="185"/>
      <c r="F916" s="69"/>
      <c r="G916" s="185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</row>
    <row r="917" spans="1:31" ht="22.5" customHeight="1">
      <c r="A917" s="69"/>
      <c r="B917" s="69"/>
      <c r="C917" s="69"/>
      <c r="D917" s="69"/>
      <c r="E917" s="185"/>
      <c r="F917" s="69"/>
      <c r="G917" s="185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</row>
    <row r="918" spans="1:31" ht="22.5" customHeight="1">
      <c r="A918" s="69"/>
      <c r="B918" s="69"/>
      <c r="C918" s="69"/>
      <c r="D918" s="69"/>
      <c r="E918" s="185"/>
      <c r="F918" s="69"/>
      <c r="G918" s="185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</row>
    <row r="919" spans="1:31" ht="22.5" customHeight="1">
      <c r="A919" s="69"/>
      <c r="B919" s="69"/>
      <c r="C919" s="69"/>
      <c r="D919" s="69"/>
      <c r="E919" s="185"/>
      <c r="F919" s="69"/>
      <c r="G919" s="185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</row>
    <row r="920" spans="1:31" ht="22.5" customHeight="1">
      <c r="A920" s="69"/>
      <c r="B920" s="69"/>
      <c r="C920" s="69"/>
      <c r="D920" s="69"/>
      <c r="E920" s="185"/>
      <c r="F920" s="69"/>
      <c r="G920" s="185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</row>
    <row r="921" spans="1:31" ht="22.5" customHeight="1">
      <c r="A921" s="69"/>
      <c r="B921" s="69"/>
      <c r="C921" s="69"/>
      <c r="D921" s="69"/>
      <c r="E921" s="185"/>
      <c r="F921" s="69"/>
      <c r="G921" s="185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</row>
    <row r="922" spans="1:31" ht="22.5" customHeight="1">
      <c r="A922" s="69"/>
      <c r="B922" s="69"/>
      <c r="C922" s="69"/>
      <c r="D922" s="69"/>
      <c r="E922" s="185"/>
      <c r="F922" s="69"/>
      <c r="G922" s="185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</row>
    <row r="923" spans="1:31" ht="22.5" customHeight="1">
      <c r="A923" s="69"/>
      <c r="B923" s="69"/>
      <c r="C923" s="69"/>
      <c r="D923" s="69"/>
      <c r="E923" s="185"/>
      <c r="F923" s="69"/>
      <c r="G923" s="185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</row>
    <row r="924" spans="1:31" ht="22.5" customHeight="1">
      <c r="A924" s="69"/>
      <c r="B924" s="69"/>
      <c r="C924" s="69"/>
      <c r="D924" s="69"/>
      <c r="E924" s="185"/>
      <c r="F924" s="69"/>
      <c r="G924" s="185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</row>
    <row r="925" spans="1:31" ht="22.5" customHeight="1">
      <c r="A925" s="69"/>
      <c r="B925" s="69"/>
      <c r="C925" s="69"/>
      <c r="D925" s="69"/>
      <c r="E925" s="185"/>
      <c r="F925" s="69"/>
      <c r="G925" s="185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</row>
    <row r="926" spans="1:31" ht="22.5" customHeight="1">
      <c r="A926" s="69"/>
      <c r="B926" s="69"/>
      <c r="C926" s="69"/>
      <c r="D926" s="69"/>
      <c r="E926" s="185"/>
      <c r="F926" s="69"/>
      <c r="G926" s="185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</row>
    <row r="927" spans="1:31" ht="22.5" customHeight="1">
      <c r="A927" s="69"/>
      <c r="B927" s="69"/>
      <c r="C927" s="69"/>
      <c r="D927" s="69"/>
      <c r="E927" s="185"/>
      <c r="F927" s="69"/>
      <c r="G927" s="185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</row>
    <row r="928" spans="1:31" ht="22.5" customHeight="1">
      <c r="A928" s="69"/>
      <c r="B928" s="69"/>
      <c r="C928" s="69"/>
      <c r="D928" s="69"/>
      <c r="E928" s="185"/>
      <c r="F928" s="69"/>
      <c r="G928" s="185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</row>
    <row r="929" spans="1:31" ht="22.5" customHeight="1">
      <c r="A929" s="69"/>
      <c r="B929" s="69"/>
      <c r="C929" s="69"/>
      <c r="D929" s="69"/>
      <c r="E929" s="185"/>
      <c r="F929" s="69"/>
      <c r="G929" s="185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</row>
    <row r="930" spans="1:31" ht="22.5" customHeight="1">
      <c r="A930" s="69"/>
      <c r="B930" s="69"/>
      <c r="C930" s="69"/>
      <c r="D930" s="69"/>
      <c r="E930" s="185"/>
      <c r="F930" s="69"/>
      <c r="G930" s="185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</row>
    <row r="931" spans="1:31" ht="22.5" customHeight="1">
      <c r="A931" s="69"/>
      <c r="B931" s="69"/>
      <c r="C931" s="69"/>
      <c r="D931" s="69"/>
      <c r="E931" s="185"/>
      <c r="F931" s="69"/>
      <c r="G931" s="185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</row>
    <row r="932" spans="1:31" ht="22.5" customHeight="1">
      <c r="A932" s="69"/>
      <c r="B932" s="69"/>
      <c r="C932" s="69"/>
      <c r="D932" s="69"/>
      <c r="E932" s="185"/>
      <c r="F932" s="69"/>
      <c r="G932" s="185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</row>
    <row r="933" spans="1:31" ht="22.5" customHeight="1">
      <c r="A933" s="69"/>
      <c r="B933" s="69"/>
      <c r="C933" s="69"/>
      <c r="D933" s="69"/>
      <c r="E933" s="185"/>
      <c r="F933" s="69"/>
      <c r="G933" s="185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</row>
    <row r="934" spans="1:31" ht="22.5" customHeight="1">
      <c r="A934" s="69"/>
      <c r="B934" s="69"/>
      <c r="C934" s="69"/>
      <c r="D934" s="69"/>
      <c r="E934" s="185"/>
      <c r="F934" s="69"/>
      <c r="G934" s="185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</row>
    <row r="935" spans="1:31" ht="22.5" customHeight="1">
      <c r="A935" s="69"/>
      <c r="B935" s="69"/>
      <c r="C935" s="69"/>
      <c r="D935" s="69"/>
      <c r="E935" s="185"/>
      <c r="F935" s="69"/>
      <c r="G935" s="185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</row>
    <row r="936" spans="1:31" ht="22.5" customHeight="1">
      <c r="A936" s="69"/>
      <c r="B936" s="69"/>
      <c r="C936" s="69"/>
      <c r="D936" s="69"/>
      <c r="E936" s="185"/>
      <c r="F936" s="69"/>
      <c r="G936" s="185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</row>
    <row r="937" spans="1:31" ht="22.5" customHeight="1">
      <c r="A937" s="69"/>
      <c r="B937" s="69"/>
      <c r="C937" s="69"/>
      <c r="D937" s="69"/>
      <c r="E937" s="185"/>
      <c r="F937" s="69"/>
      <c r="G937" s="185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</row>
    <row r="938" spans="1:31" ht="22.5" customHeight="1">
      <c r="A938" s="69"/>
      <c r="B938" s="69"/>
      <c r="C938" s="69"/>
      <c r="D938" s="69"/>
      <c r="E938" s="185"/>
      <c r="F938" s="69"/>
      <c r="G938" s="185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</row>
    <row r="939" spans="1:31" ht="22.5" customHeight="1">
      <c r="A939" s="69"/>
      <c r="B939" s="69"/>
      <c r="C939" s="69"/>
      <c r="D939" s="69"/>
      <c r="E939" s="185"/>
      <c r="F939" s="69"/>
      <c r="G939" s="185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</row>
    <row r="940" spans="1:31" ht="22.5" customHeight="1">
      <c r="A940" s="69"/>
      <c r="B940" s="69"/>
      <c r="C940" s="69"/>
      <c r="D940" s="69"/>
      <c r="E940" s="185"/>
      <c r="F940" s="69"/>
      <c r="G940" s="185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</row>
    <row r="941" spans="1:31" ht="22.5" customHeight="1">
      <c r="A941" s="69"/>
      <c r="B941" s="69"/>
      <c r="C941" s="69"/>
      <c r="D941" s="69"/>
      <c r="E941" s="185"/>
      <c r="F941" s="69"/>
      <c r="G941" s="185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</row>
    <row r="942" spans="1:31" ht="22.5" customHeight="1">
      <c r="A942" s="69"/>
      <c r="B942" s="69"/>
      <c r="C942" s="69"/>
      <c r="D942" s="69"/>
      <c r="E942" s="185"/>
      <c r="F942" s="69"/>
      <c r="G942" s="185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</row>
    <row r="943" spans="1:31" ht="22.5" customHeight="1">
      <c r="A943" s="69"/>
      <c r="B943" s="69"/>
      <c r="C943" s="69"/>
      <c r="D943" s="69"/>
      <c r="E943" s="185"/>
      <c r="F943" s="69"/>
      <c r="G943" s="185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</row>
    <row r="944" spans="1:31" ht="22.5" customHeight="1">
      <c r="A944" s="69"/>
      <c r="B944" s="69"/>
      <c r="C944" s="69"/>
      <c r="D944" s="69"/>
      <c r="E944" s="185"/>
      <c r="F944" s="69"/>
      <c r="G944" s="185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</row>
    <row r="945" spans="1:31" ht="22.5" customHeight="1">
      <c r="A945" s="69"/>
      <c r="B945" s="69"/>
      <c r="C945" s="69"/>
      <c r="D945" s="69"/>
      <c r="E945" s="185"/>
      <c r="F945" s="69"/>
      <c r="G945" s="185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</row>
    <row r="946" spans="1:31" ht="22.5" customHeight="1">
      <c r="A946" s="69"/>
      <c r="B946" s="69"/>
      <c r="C946" s="69"/>
      <c r="D946" s="69"/>
      <c r="E946" s="185"/>
      <c r="F946" s="69"/>
      <c r="G946" s="185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</row>
    <row r="947" spans="1:31" ht="22.5" customHeight="1">
      <c r="A947" s="69"/>
      <c r="B947" s="69"/>
      <c r="C947" s="69"/>
      <c r="D947" s="69"/>
      <c r="E947" s="185"/>
      <c r="F947" s="69"/>
      <c r="G947" s="185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</row>
    <row r="948" spans="1:31" ht="22.5" customHeight="1">
      <c r="A948" s="69"/>
      <c r="B948" s="69"/>
      <c r="C948" s="69"/>
      <c r="D948" s="69"/>
      <c r="E948" s="185"/>
      <c r="F948" s="69"/>
      <c r="G948" s="185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</row>
    <row r="949" spans="1:31" ht="22.5" customHeight="1">
      <c r="A949" s="69"/>
      <c r="B949" s="69"/>
      <c r="C949" s="69"/>
      <c r="D949" s="69"/>
      <c r="E949" s="185"/>
      <c r="F949" s="69"/>
      <c r="G949" s="185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</row>
    <row r="950" spans="1:31" ht="22.5" customHeight="1">
      <c r="A950" s="69"/>
      <c r="B950" s="69"/>
      <c r="C950" s="69"/>
      <c r="D950" s="69"/>
      <c r="E950" s="185"/>
      <c r="F950" s="69"/>
      <c r="G950" s="185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</row>
    <row r="951" spans="1:31" ht="22.5" customHeight="1">
      <c r="A951" s="69"/>
      <c r="B951" s="69"/>
      <c r="C951" s="69"/>
      <c r="D951" s="69"/>
      <c r="E951" s="185"/>
      <c r="F951" s="69"/>
      <c r="G951" s="185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</row>
    <row r="952" spans="1:31" ht="22.5" customHeight="1">
      <c r="A952" s="69"/>
      <c r="B952" s="69"/>
      <c r="C952" s="69"/>
      <c r="D952" s="69"/>
      <c r="E952" s="185"/>
      <c r="F952" s="69"/>
      <c r="G952" s="185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</row>
    <row r="953" spans="1:31" ht="22.5" customHeight="1">
      <c r="A953" s="69"/>
      <c r="B953" s="69"/>
      <c r="C953" s="69"/>
      <c r="D953" s="69"/>
      <c r="E953" s="185"/>
      <c r="F953" s="69"/>
      <c r="G953" s="185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</row>
    <row r="954" spans="1:31" ht="22.5" customHeight="1">
      <c r="A954" s="69"/>
      <c r="B954" s="69"/>
      <c r="C954" s="69"/>
      <c r="D954" s="69"/>
      <c r="E954" s="185"/>
      <c r="F954" s="69"/>
      <c r="G954" s="185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</row>
    <row r="955" spans="1:31" ht="22.5" customHeight="1">
      <c r="A955" s="69"/>
      <c r="B955" s="69"/>
      <c r="C955" s="69"/>
      <c r="D955" s="69"/>
      <c r="E955" s="185"/>
      <c r="F955" s="69"/>
      <c r="G955" s="185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</row>
    <row r="956" spans="1:31" ht="22.5" customHeight="1">
      <c r="A956" s="69"/>
      <c r="B956" s="69"/>
      <c r="C956" s="69"/>
      <c r="D956" s="69"/>
      <c r="E956" s="185"/>
      <c r="F956" s="69"/>
      <c r="G956" s="185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</row>
    <row r="957" spans="1:31" ht="22.5" customHeight="1">
      <c r="A957" s="69"/>
      <c r="B957" s="69"/>
      <c r="C957" s="69"/>
      <c r="D957" s="69"/>
      <c r="E957" s="185"/>
      <c r="F957" s="69"/>
      <c r="G957" s="185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</row>
    <row r="958" spans="1:31" ht="22.5" customHeight="1">
      <c r="A958" s="69"/>
      <c r="B958" s="69"/>
      <c r="C958" s="69"/>
      <c r="D958" s="69"/>
      <c r="E958" s="185"/>
      <c r="F958" s="69"/>
      <c r="G958" s="185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</row>
    <row r="959" spans="1:31" ht="22.5" customHeight="1">
      <c r="A959" s="69"/>
      <c r="B959" s="69"/>
      <c r="C959" s="69"/>
      <c r="D959" s="69"/>
      <c r="E959" s="185"/>
      <c r="F959" s="69"/>
      <c r="G959" s="185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</row>
    <row r="960" spans="1:31" ht="22.5" customHeight="1">
      <c r="A960" s="69"/>
      <c r="B960" s="69"/>
      <c r="C960" s="69"/>
      <c r="D960" s="69"/>
      <c r="E960" s="185"/>
      <c r="F960" s="69"/>
      <c r="G960" s="185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</row>
    <row r="961" spans="1:31" ht="22.5" customHeight="1">
      <c r="A961" s="69"/>
      <c r="B961" s="69"/>
      <c r="C961" s="69"/>
      <c r="D961" s="69"/>
      <c r="E961" s="185"/>
      <c r="F961" s="69"/>
      <c r="G961" s="185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</row>
    <row r="962" spans="1:31" ht="22.5" customHeight="1">
      <c r="A962" s="69"/>
      <c r="B962" s="69"/>
      <c r="C962" s="69"/>
      <c r="D962" s="69"/>
      <c r="E962" s="185"/>
      <c r="F962" s="69"/>
      <c r="G962" s="185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</row>
    <row r="963" spans="1:31" ht="22.5" customHeight="1">
      <c r="A963" s="69"/>
      <c r="B963" s="69"/>
      <c r="C963" s="69"/>
      <c r="D963" s="69"/>
      <c r="E963" s="185"/>
      <c r="F963" s="69"/>
      <c r="G963" s="185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</row>
    <row r="964" spans="1:31" ht="22.5" customHeight="1">
      <c r="A964" s="69"/>
      <c r="B964" s="69"/>
      <c r="C964" s="69"/>
      <c r="D964" s="69"/>
      <c r="E964" s="185"/>
      <c r="F964" s="69"/>
      <c r="G964" s="185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</row>
    <row r="965" spans="1:31" ht="22.5" customHeight="1">
      <c r="A965" s="69"/>
      <c r="B965" s="69"/>
      <c r="C965" s="69"/>
      <c r="D965" s="69"/>
      <c r="E965" s="185"/>
      <c r="F965" s="69"/>
      <c r="G965" s="185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</row>
    <row r="966" spans="1:31" ht="22.5" customHeight="1">
      <c r="A966" s="69"/>
      <c r="B966" s="69"/>
      <c r="C966" s="69"/>
      <c r="D966" s="69"/>
      <c r="E966" s="185"/>
      <c r="F966" s="69"/>
      <c r="G966" s="185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</row>
    <row r="967" spans="1:31" ht="22.5" customHeight="1">
      <c r="A967" s="69"/>
      <c r="B967" s="69"/>
      <c r="C967" s="69"/>
      <c r="D967" s="69"/>
      <c r="E967" s="185"/>
      <c r="F967" s="69"/>
      <c r="G967" s="185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</row>
    <row r="968" spans="1:31" ht="22.5" customHeight="1">
      <c r="A968" s="69"/>
      <c r="B968" s="69"/>
      <c r="C968" s="69"/>
      <c r="D968" s="69"/>
      <c r="E968" s="185"/>
      <c r="F968" s="69"/>
      <c r="G968" s="185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</row>
    <row r="969" spans="1:31" ht="22.5" customHeight="1">
      <c r="A969" s="69"/>
      <c r="B969" s="69"/>
      <c r="C969" s="69"/>
      <c r="D969" s="69"/>
      <c r="E969" s="185"/>
      <c r="F969" s="69"/>
      <c r="G969" s="185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</row>
    <row r="970" spans="1:31" ht="22.5" customHeight="1">
      <c r="A970" s="69"/>
      <c r="B970" s="69"/>
      <c r="C970" s="69"/>
      <c r="D970" s="69"/>
      <c r="E970" s="185"/>
      <c r="F970" s="69"/>
      <c r="G970" s="185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</row>
    <row r="971" spans="1:31" ht="22.5" customHeight="1">
      <c r="A971" s="69"/>
      <c r="B971" s="69"/>
      <c r="C971" s="69"/>
      <c r="D971" s="69"/>
      <c r="E971" s="185"/>
      <c r="F971" s="69"/>
      <c r="G971" s="185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</row>
    <row r="972" spans="1:31" ht="22.5" customHeight="1">
      <c r="A972" s="69"/>
      <c r="B972" s="69"/>
      <c r="C972" s="69"/>
      <c r="D972" s="69"/>
      <c r="E972" s="185"/>
      <c r="F972" s="69"/>
      <c r="G972" s="185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</row>
    <row r="973" spans="1:31" ht="22.5" customHeight="1">
      <c r="A973" s="69"/>
      <c r="B973" s="69"/>
      <c r="C973" s="69"/>
      <c r="D973" s="69"/>
      <c r="E973" s="185"/>
      <c r="F973" s="69"/>
      <c r="G973" s="185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</row>
    <row r="974" spans="1:31" ht="22.5" customHeight="1">
      <c r="A974" s="69"/>
      <c r="B974" s="69"/>
      <c r="C974" s="69"/>
      <c r="D974" s="69"/>
      <c r="E974" s="185"/>
      <c r="F974" s="69"/>
      <c r="G974" s="185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</row>
    <row r="975" spans="1:31" ht="22.5" customHeight="1">
      <c r="A975" s="69"/>
      <c r="B975" s="69"/>
      <c r="C975" s="69"/>
      <c r="D975" s="69"/>
      <c r="E975" s="185"/>
      <c r="F975" s="69"/>
      <c r="G975" s="185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</row>
    <row r="976" spans="1:31" ht="22.5" customHeight="1">
      <c r="A976" s="69"/>
      <c r="B976" s="69"/>
      <c r="C976" s="69"/>
      <c r="D976" s="69"/>
      <c r="E976" s="185"/>
      <c r="F976" s="69"/>
      <c r="G976" s="185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</row>
    <row r="977" spans="1:31" ht="22.5" customHeight="1">
      <c r="A977" s="69"/>
      <c r="B977" s="69"/>
      <c r="C977" s="69"/>
      <c r="D977" s="69"/>
      <c r="E977" s="185"/>
      <c r="F977" s="69"/>
      <c r="G977" s="185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</row>
    <row r="978" spans="1:31" ht="22.5" customHeight="1">
      <c r="A978" s="69"/>
      <c r="B978" s="69"/>
      <c r="C978" s="69"/>
      <c r="D978" s="69"/>
      <c r="E978" s="185"/>
      <c r="F978" s="69"/>
      <c r="G978" s="185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</row>
    <row r="979" spans="1:31" ht="22.5" customHeight="1">
      <c r="A979" s="69"/>
      <c r="B979" s="69"/>
      <c r="C979" s="69"/>
      <c r="D979" s="69"/>
      <c r="E979" s="185"/>
      <c r="F979" s="69"/>
      <c r="G979" s="185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</row>
    <row r="980" spans="1:31" ht="22.5" customHeight="1">
      <c r="A980" s="69"/>
      <c r="B980" s="69"/>
      <c r="C980" s="69"/>
      <c r="D980" s="69"/>
      <c r="E980" s="185"/>
      <c r="F980" s="69"/>
      <c r="G980" s="185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</row>
    <row r="981" spans="1:31" ht="22.5" customHeight="1">
      <c r="A981" s="69"/>
      <c r="B981" s="69"/>
      <c r="C981" s="69"/>
      <c r="D981" s="69"/>
      <c r="E981" s="185"/>
      <c r="F981" s="69"/>
      <c r="G981" s="185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</row>
    <row r="982" spans="1:31" ht="22.5" customHeight="1">
      <c r="A982" s="69"/>
      <c r="B982" s="69"/>
      <c r="C982" s="69"/>
      <c r="D982" s="69"/>
      <c r="E982" s="185"/>
      <c r="F982" s="69"/>
      <c r="G982" s="185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</row>
    <row r="983" spans="1:31" ht="22.5" customHeight="1">
      <c r="A983" s="69"/>
      <c r="B983" s="69"/>
      <c r="C983" s="69"/>
      <c r="D983" s="69"/>
      <c r="E983" s="185"/>
      <c r="F983" s="69"/>
      <c r="G983" s="185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</row>
    <row r="984" spans="1:31" ht="22.5" customHeight="1">
      <c r="A984" s="69"/>
      <c r="B984" s="69"/>
      <c r="C984" s="69"/>
      <c r="D984" s="69"/>
      <c r="E984" s="185"/>
      <c r="F984" s="69"/>
      <c r="G984" s="185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</row>
    <row r="985" spans="1:31" ht="22.5" customHeight="1">
      <c r="A985" s="69"/>
      <c r="B985" s="69"/>
      <c r="C985" s="69"/>
      <c r="D985" s="69"/>
      <c r="E985" s="185"/>
      <c r="F985" s="69"/>
      <c r="G985" s="185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</row>
    <row r="986" spans="1:31" ht="22.5" customHeight="1">
      <c r="A986" s="69"/>
      <c r="B986" s="69"/>
      <c r="C986" s="69"/>
      <c r="D986" s="69"/>
      <c r="E986" s="185"/>
      <c r="F986" s="69"/>
      <c r="G986" s="185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</row>
    <row r="987" spans="1:31" ht="22.5" customHeight="1">
      <c r="A987" s="69"/>
      <c r="B987" s="69"/>
      <c r="C987" s="69"/>
      <c r="D987" s="69"/>
      <c r="E987" s="185"/>
      <c r="F987" s="69"/>
      <c r="G987" s="185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</row>
    <row r="988" spans="1:31" ht="22.5" customHeight="1">
      <c r="A988" s="69"/>
      <c r="B988" s="69"/>
      <c r="C988" s="69"/>
      <c r="D988" s="69"/>
      <c r="E988" s="185"/>
      <c r="F988" s="69"/>
      <c r="G988" s="185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</row>
    <row r="989" spans="1:31" ht="22.5" customHeight="1">
      <c r="A989" s="69"/>
      <c r="B989" s="69"/>
      <c r="C989" s="69"/>
      <c r="D989" s="69"/>
      <c r="E989" s="185"/>
      <c r="F989" s="69"/>
      <c r="G989" s="185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</row>
    <row r="990" spans="1:31" ht="22.5" customHeight="1">
      <c r="A990" s="69"/>
      <c r="B990" s="69"/>
      <c r="C990" s="69"/>
      <c r="D990" s="69"/>
      <c r="E990" s="185"/>
      <c r="F990" s="69"/>
      <c r="G990" s="185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</row>
    <row r="991" spans="1:31" ht="22.5" customHeight="1">
      <c r="A991" s="69"/>
      <c r="B991" s="69"/>
      <c r="C991" s="69"/>
      <c r="D991" s="69"/>
      <c r="E991" s="185"/>
      <c r="F991" s="69"/>
      <c r="G991" s="185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</row>
    <row r="992" spans="1:31" ht="22.5" customHeight="1">
      <c r="A992" s="69"/>
      <c r="B992" s="69"/>
      <c r="C992" s="69"/>
      <c r="D992" s="69"/>
      <c r="E992" s="185"/>
      <c r="F992" s="69"/>
      <c r="G992" s="185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</row>
    <row r="993" spans="1:31" ht="22.5" customHeight="1">
      <c r="A993" s="69"/>
      <c r="B993" s="69"/>
      <c r="C993" s="69"/>
      <c r="D993" s="69"/>
      <c r="E993" s="185"/>
      <c r="F993" s="69"/>
      <c r="G993" s="185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</row>
    <row r="994" spans="1:31" ht="22.5" customHeight="1">
      <c r="A994" s="69"/>
      <c r="B994" s="69"/>
      <c r="C994" s="69"/>
      <c r="D994" s="69"/>
      <c r="E994" s="185"/>
      <c r="F994" s="69"/>
      <c r="G994" s="185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</row>
    <row r="995" spans="1:31" ht="22.5" customHeight="1">
      <c r="A995" s="69"/>
      <c r="B995" s="69"/>
      <c r="C995" s="69"/>
      <c r="D995" s="69"/>
      <c r="E995" s="185"/>
      <c r="F995" s="69"/>
      <c r="G995" s="185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</row>
    <row r="996" spans="1:31" ht="22.5" customHeight="1">
      <c r="A996" s="69"/>
      <c r="B996" s="69"/>
      <c r="C996" s="69"/>
      <c r="D996" s="69"/>
      <c r="E996" s="185"/>
      <c r="F996" s="69"/>
      <c r="G996" s="185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</row>
    <row r="997" spans="1:31" ht="22.5" customHeight="1">
      <c r="A997" s="69"/>
      <c r="B997" s="69"/>
      <c r="C997" s="69"/>
      <c r="D997" s="69"/>
      <c r="E997" s="185"/>
      <c r="F997" s="69"/>
      <c r="G997" s="185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</row>
    <row r="998" spans="1:31" ht="22.5" customHeight="1">
      <c r="A998" s="69"/>
      <c r="B998" s="69"/>
      <c r="C998" s="69"/>
      <c r="D998" s="69"/>
      <c r="E998" s="185"/>
      <c r="F998" s="69"/>
      <c r="G998" s="185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</row>
    <row r="999" spans="1:31" ht="22.5" customHeight="1">
      <c r="A999" s="69"/>
      <c r="B999" s="69"/>
      <c r="C999" s="69"/>
      <c r="D999" s="69"/>
      <c r="E999" s="185"/>
      <c r="F999" s="69"/>
      <c r="G999" s="185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</row>
    <row r="1000" spans="1:31" ht="22.5" customHeight="1">
      <c r="A1000" s="69"/>
      <c r="B1000" s="69"/>
      <c r="C1000" s="69"/>
      <c r="D1000" s="69"/>
      <c r="E1000" s="185"/>
      <c r="F1000" s="69"/>
      <c r="G1000" s="185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</row>
    <row r="1001" spans="1:31" ht="22.5" customHeight="1">
      <c r="A1001" s="69"/>
      <c r="B1001" s="69"/>
      <c r="C1001" s="69"/>
      <c r="D1001" s="69"/>
      <c r="E1001" s="185"/>
      <c r="F1001" s="69"/>
      <c r="G1001" s="185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</row>
    <row r="1002" spans="1:31" ht="22.5" customHeight="1">
      <c r="A1002" s="69"/>
      <c r="B1002" s="69"/>
      <c r="C1002" s="69"/>
      <c r="D1002" s="69"/>
      <c r="E1002" s="185"/>
      <c r="F1002" s="69"/>
      <c r="G1002" s="185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</row>
    <row r="1003" spans="1:31" ht="22.5" customHeight="1">
      <c r="A1003" s="69"/>
      <c r="B1003" s="69"/>
      <c r="C1003" s="69"/>
      <c r="D1003" s="69"/>
      <c r="E1003" s="185"/>
      <c r="F1003" s="69"/>
      <c r="G1003" s="185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  <c r="AD1003" s="69"/>
      <c r="AE1003" s="69"/>
    </row>
    <row r="1004" spans="1:31" ht="22.5" customHeight="1">
      <c r="A1004" s="69"/>
      <c r="B1004" s="69"/>
      <c r="C1004" s="69"/>
      <c r="D1004" s="69"/>
      <c r="E1004" s="185"/>
      <c r="F1004" s="69"/>
      <c r="G1004" s="185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  <c r="AA1004" s="69"/>
      <c r="AB1004" s="69"/>
      <c r="AC1004" s="69"/>
      <c r="AD1004" s="69"/>
      <c r="AE1004" s="69"/>
    </row>
    <row r="1005" spans="1:31" ht="22.5" customHeight="1">
      <c r="A1005" s="69"/>
      <c r="B1005" s="69"/>
      <c r="C1005" s="69"/>
      <c r="D1005" s="69"/>
      <c r="E1005" s="185"/>
      <c r="F1005" s="69"/>
      <c r="G1005" s="185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  <c r="AD1005" s="69"/>
      <c r="AE1005" s="69"/>
    </row>
    <row r="1006" spans="1:31" ht="22.5" customHeight="1">
      <c r="A1006" s="69"/>
      <c r="B1006" s="69"/>
      <c r="C1006" s="69"/>
      <c r="D1006" s="69"/>
      <c r="E1006" s="185"/>
      <c r="F1006" s="69"/>
      <c r="G1006" s="185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  <c r="AA1006" s="69"/>
      <c r="AB1006" s="69"/>
      <c r="AC1006" s="69"/>
      <c r="AD1006" s="69"/>
      <c r="AE1006" s="69"/>
    </row>
    <row r="1007" spans="1:31" ht="22.5" customHeight="1">
      <c r="A1007" s="69"/>
      <c r="B1007" s="69"/>
      <c r="C1007" s="69"/>
      <c r="D1007" s="69"/>
      <c r="E1007" s="185"/>
      <c r="F1007" s="69"/>
      <c r="G1007" s="185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  <c r="AA1007" s="69"/>
      <c r="AB1007" s="69"/>
      <c r="AC1007" s="69"/>
      <c r="AD1007" s="69"/>
      <c r="AE1007" s="69"/>
    </row>
    <row r="1008" spans="1:31" ht="22.5" customHeight="1">
      <c r="A1008" s="69"/>
      <c r="B1008" s="69"/>
      <c r="C1008" s="69"/>
      <c r="D1008" s="69"/>
      <c r="E1008" s="185"/>
      <c r="F1008" s="69"/>
      <c r="G1008" s="185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  <c r="AA1008" s="69"/>
      <c r="AB1008" s="69"/>
      <c r="AC1008" s="69"/>
      <c r="AD1008" s="69"/>
      <c r="AE1008" s="69"/>
    </row>
    <row r="1009" spans="1:31" ht="22.5" customHeight="1">
      <c r="A1009" s="69"/>
      <c r="B1009" s="69"/>
      <c r="C1009" s="69"/>
      <c r="D1009" s="69"/>
      <c r="E1009" s="185"/>
      <c r="F1009" s="69"/>
      <c r="G1009" s="185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  <c r="AA1009" s="69"/>
      <c r="AB1009" s="69"/>
      <c r="AC1009" s="69"/>
      <c r="AD1009" s="69"/>
      <c r="AE1009" s="69"/>
    </row>
    <row r="1010" spans="1:31" ht="22.5" customHeight="1">
      <c r="A1010" s="69"/>
      <c r="B1010" s="69"/>
      <c r="C1010" s="69"/>
      <c r="D1010" s="69"/>
      <c r="E1010" s="185"/>
      <c r="F1010" s="69"/>
      <c r="G1010" s="185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  <c r="AA1010" s="69"/>
      <c r="AB1010" s="69"/>
      <c r="AC1010" s="69"/>
      <c r="AD1010" s="69"/>
      <c r="AE1010" s="69"/>
    </row>
    <row r="1011" spans="1:31" ht="22.5" customHeight="1">
      <c r="A1011" s="69"/>
      <c r="B1011" s="69"/>
      <c r="C1011" s="69"/>
      <c r="D1011" s="69"/>
      <c r="E1011" s="185"/>
      <c r="F1011" s="69"/>
      <c r="G1011" s="185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  <c r="AA1011" s="69"/>
      <c r="AB1011" s="69"/>
      <c r="AC1011" s="69"/>
      <c r="AD1011" s="69"/>
      <c r="AE1011" s="69"/>
    </row>
    <row r="1012" spans="1:31" ht="22.5" customHeight="1">
      <c r="A1012" s="69"/>
      <c r="B1012" s="69"/>
      <c r="C1012" s="69"/>
      <c r="D1012" s="69"/>
      <c r="E1012" s="185"/>
      <c r="F1012" s="69"/>
      <c r="G1012" s="185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  <c r="AB1012" s="69"/>
      <c r="AC1012" s="69"/>
      <c r="AD1012" s="69"/>
      <c r="AE1012" s="69"/>
    </row>
    <row r="1013" spans="1:31" ht="22.5" customHeight="1">
      <c r="A1013" s="69"/>
      <c r="B1013" s="69"/>
      <c r="C1013" s="69"/>
      <c r="D1013" s="69"/>
      <c r="E1013" s="185"/>
      <c r="F1013" s="69"/>
      <c r="G1013" s="185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69"/>
      <c r="AB1013" s="69"/>
      <c r="AC1013" s="69"/>
      <c r="AD1013" s="69"/>
      <c r="AE1013" s="69"/>
    </row>
    <row r="1014" spans="1:31" ht="22.5" customHeight="1">
      <c r="A1014" s="69"/>
      <c r="B1014" s="69"/>
      <c r="C1014" s="69"/>
      <c r="D1014" s="69"/>
      <c r="E1014" s="185"/>
      <c r="F1014" s="69"/>
      <c r="G1014" s="185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  <c r="AA1014" s="69"/>
      <c r="AB1014" s="69"/>
      <c r="AC1014" s="69"/>
      <c r="AD1014" s="69"/>
      <c r="AE1014" s="69"/>
    </row>
    <row r="1015" spans="1:31" ht="22.5" customHeight="1">
      <c r="A1015" s="69"/>
      <c r="B1015" s="69"/>
      <c r="C1015" s="69"/>
      <c r="D1015" s="69"/>
      <c r="E1015" s="185"/>
      <c r="F1015" s="69"/>
      <c r="G1015" s="185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  <c r="AA1015" s="69"/>
      <c r="AB1015" s="69"/>
      <c r="AC1015" s="69"/>
      <c r="AD1015" s="69"/>
      <c r="AE1015" s="69"/>
    </row>
    <row r="1016" spans="1:31" ht="22.5" customHeight="1">
      <c r="A1016" s="69"/>
      <c r="B1016" s="69"/>
      <c r="C1016" s="69"/>
      <c r="D1016" s="69"/>
      <c r="E1016" s="185"/>
      <c r="F1016" s="69"/>
      <c r="G1016" s="185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  <c r="AA1016" s="69"/>
      <c r="AB1016" s="69"/>
      <c r="AC1016" s="69"/>
      <c r="AD1016" s="69"/>
      <c r="AE1016" s="69"/>
    </row>
    <row r="1017" spans="1:31" ht="22.5" customHeight="1">
      <c r="A1017" s="69"/>
      <c r="B1017" s="69"/>
      <c r="C1017" s="69"/>
      <c r="D1017" s="69"/>
      <c r="E1017" s="185"/>
      <c r="F1017" s="69"/>
      <c r="G1017" s="185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  <c r="AA1017" s="69"/>
      <c r="AB1017" s="69"/>
      <c r="AC1017" s="69"/>
      <c r="AD1017" s="69"/>
      <c r="AE1017" s="69"/>
    </row>
    <row r="1018" spans="1:31" ht="22.5" customHeight="1">
      <c r="A1018" s="69"/>
      <c r="B1018" s="69"/>
      <c r="C1018" s="69"/>
      <c r="D1018" s="69"/>
      <c r="E1018" s="185"/>
      <c r="F1018" s="69"/>
      <c r="G1018" s="185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  <c r="AA1018" s="69"/>
      <c r="AB1018" s="69"/>
      <c r="AC1018" s="69"/>
      <c r="AD1018" s="69"/>
      <c r="AE1018" s="69"/>
    </row>
    <row r="1019" spans="1:31" ht="22.5" customHeight="1">
      <c r="A1019" s="69"/>
      <c r="B1019" s="69"/>
      <c r="C1019" s="69"/>
      <c r="D1019" s="69"/>
      <c r="E1019" s="185"/>
      <c r="F1019" s="69"/>
      <c r="G1019" s="185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  <c r="AA1019" s="69"/>
      <c r="AB1019" s="69"/>
      <c r="AC1019" s="69"/>
      <c r="AD1019" s="69"/>
      <c r="AE1019" s="69"/>
    </row>
    <row r="1020" spans="1:31" ht="22.5" customHeight="1">
      <c r="A1020" s="69"/>
      <c r="B1020" s="69"/>
      <c r="C1020" s="69"/>
      <c r="D1020" s="69"/>
      <c r="E1020" s="185"/>
      <c r="F1020" s="69"/>
      <c r="G1020" s="185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  <c r="AA1020" s="69"/>
      <c r="AB1020" s="69"/>
      <c r="AC1020" s="69"/>
      <c r="AD1020" s="69"/>
      <c r="AE1020" s="69"/>
    </row>
    <row r="1021" spans="1:31" ht="22.5" customHeight="1">
      <c r="A1021" s="69"/>
      <c r="B1021" s="69"/>
      <c r="C1021" s="69"/>
      <c r="D1021" s="69"/>
      <c r="E1021" s="185"/>
      <c r="F1021" s="69"/>
      <c r="G1021" s="185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  <c r="AA1021" s="69"/>
      <c r="AB1021" s="69"/>
      <c r="AC1021" s="69"/>
      <c r="AD1021" s="69"/>
      <c r="AE1021" s="69"/>
    </row>
    <row r="1022" spans="1:31" ht="22.5" customHeight="1">
      <c r="A1022" s="69"/>
      <c r="B1022" s="69"/>
      <c r="C1022" s="69"/>
      <c r="D1022" s="69"/>
      <c r="E1022" s="185"/>
      <c r="F1022" s="69"/>
      <c r="G1022" s="185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  <c r="AA1022" s="69"/>
      <c r="AB1022" s="69"/>
      <c r="AC1022" s="69"/>
      <c r="AD1022" s="69"/>
      <c r="AE1022" s="69"/>
    </row>
    <row r="1023" spans="1:31" ht="22.5" customHeight="1">
      <c r="A1023" s="69"/>
      <c r="B1023" s="69"/>
      <c r="C1023" s="69"/>
      <c r="D1023" s="69"/>
      <c r="E1023" s="185"/>
      <c r="F1023" s="69"/>
      <c r="G1023" s="185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  <c r="AA1023" s="69"/>
      <c r="AB1023" s="69"/>
      <c r="AC1023" s="69"/>
      <c r="AD1023" s="69"/>
      <c r="AE1023" s="69"/>
    </row>
    <row r="1024" spans="1:31" ht="22.5" customHeight="1">
      <c r="A1024" s="69"/>
      <c r="B1024" s="69"/>
      <c r="C1024" s="69"/>
      <c r="D1024" s="69"/>
      <c r="E1024" s="185"/>
      <c r="F1024" s="69"/>
      <c r="G1024" s="185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  <c r="AA1024" s="69"/>
      <c r="AB1024" s="69"/>
      <c r="AC1024" s="69"/>
      <c r="AD1024" s="69"/>
      <c r="AE1024" s="69"/>
    </row>
    <row r="1025" spans="1:31" ht="22.5" customHeight="1">
      <c r="A1025" s="69"/>
      <c r="B1025" s="69"/>
      <c r="C1025" s="69"/>
      <c r="D1025" s="69"/>
      <c r="E1025" s="185"/>
      <c r="F1025" s="69"/>
      <c r="G1025" s="185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  <c r="AA1025" s="69"/>
      <c r="AB1025" s="69"/>
      <c r="AC1025" s="69"/>
      <c r="AD1025" s="69"/>
      <c r="AE1025" s="69"/>
    </row>
    <row r="1026" spans="1:31" ht="22.5" customHeight="1">
      <c r="A1026" s="69"/>
      <c r="B1026" s="69"/>
      <c r="C1026" s="69"/>
      <c r="D1026" s="69"/>
      <c r="E1026" s="185"/>
      <c r="F1026" s="69"/>
      <c r="G1026" s="185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  <c r="AA1026" s="69"/>
      <c r="AB1026" s="69"/>
      <c r="AC1026" s="69"/>
      <c r="AD1026" s="69"/>
      <c r="AE1026" s="69"/>
    </row>
    <row r="1027" spans="1:31" ht="22.5" customHeight="1">
      <c r="A1027" s="69"/>
      <c r="B1027" s="69"/>
      <c r="C1027" s="69"/>
      <c r="D1027" s="69"/>
      <c r="E1027" s="185"/>
      <c r="F1027" s="69"/>
      <c r="G1027" s="185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  <c r="AA1027" s="69"/>
      <c r="AB1027" s="69"/>
      <c r="AC1027" s="69"/>
      <c r="AD1027" s="69"/>
      <c r="AE1027" s="69"/>
    </row>
    <row r="1028" spans="1:31" ht="22.5" customHeight="1">
      <c r="A1028" s="69"/>
      <c r="B1028" s="69"/>
      <c r="C1028" s="69"/>
      <c r="D1028" s="69"/>
      <c r="E1028" s="185"/>
      <c r="F1028" s="69"/>
      <c r="G1028" s="185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  <c r="AA1028" s="69"/>
      <c r="AB1028" s="69"/>
      <c r="AC1028" s="69"/>
      <c r="AD1028" s="69"/>
      <c r="AE1028" s="69"/>
    </row>
    <row r="1029" spans="1:31" ht="22.5" customHeight="1">
      <c r="A1029" s="69"/>
      <c r="B1029" s="69"/>
      <c r="C1029" s="69"/>
      <c r="D1029" s="69"/>
      <c r="E1029" s="185"/>
      <c r="F1029" s="69"/>
      <c r="G1029" s="185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  <c r="AA1029" s="69"/>
      <c r="AB1029" s="69"/>
      <c r="AC1029" s="69"/>
      <c r="AD1029" s="69"/>
      <c r="AE1029" s="69"/>
    </row>
    <row r="1030" spans="1:31" ht="22.5" customHeight="1">
      <c r="A1030" s="69"/>
      <c r="B1030" s="69"/>
      <c r="C1030" s="69"/>
      <c r="D1030" s="69"/>
      <c r="E1030" s="185"/>
      <c r="F1030" s="69"/>
      <c r="G1030" s="185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  <c r="AA1030" s="69"/>
      <c r="AB1030" s="69"/>
      <c r="AC1030" s="69"/>
      <c r="AD1030" s="69"/>
      <c r="AE1030" s="69"/>
    </row>
    <row r="1031" spans="1:31" ht="22.5" customHeight="1">
      <c r="A1031" s="69"/>
      <c r="B1031" s="69"/>
      <c r="C1031" s="69"/>
      <c r="D1031" s="69"/>
      <c r="E1031" s="185"/>
      <c r="F1031" s="69"/>
      <c r="G1031" s="185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  <c r="AA1031" s="69"/>
      <c r="AB1031" s="69"/>
      <c r="AC1031" s="69"/>
      <c r="AD1031" s="69"/>
      <c r="AE1031" s="69"/>
    </row>
    <row r="1032" spans="1:31" ht="22.5" customHeight="1">
      <c r="A1032" s="69"/>
      <c r="B1032" s="69"/>
      <c r="C1032" s="69"/>
      <c r="D1032" s="69"/>
      <c r="E1032" s="185"/>
      <c r="F1032" s="69"/>
      <c r="G1032" s="185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  <c r="AA1032" s="69"/>
      <c r="AB1032" s="69"/>
      <c r="AC1032" s="69"/>
      <c r="AD1032" s="69"/>
      <c r="AE1032" s="69"/>
    </row>
    <row r="1033" spans="1:31" ht="22.5" customHeight="1">
      <c r="A1033" s="69"/>
      <c r="B1033" s="69"/>
      <c r="C1033" s="69"/>
      <c r="D1033" s="69"/>
      <c r="E1033" s="185"/>
      <c r="F1033" s="69"/>
      <c r="G1033" s="185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  <c r="AA1033" s="69"/>
      <c r="AB1033" s="69"/>
      <c r="AC1033" s="69"/>
      <c r="AD1033" s="69"/>
      <c r="AE1033" s="69"/>
    </row>
    <row r="1034" spans="1:31" ht="22.5" customHeight="1">
      <c r="A1034" s="69"/>
      <c r="B1034" s="69"/>
      <c r="C1034" s="69"/>
      <c r="D1034" s="69"/>
      <c r="E1034" s="185"/>
      <c r="F1034" s="69"/>
      <c r="G1034" s="185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  <c r="AA1034" s="69"/>
      <c r="AB1034" s="69"/>
      <c r="AC1034" s="69"/>
      <c r="AD1034" s="69"/>
      <c r="AE1034" s="69"/>
    </row>
    <row r="1035" spans="1:31" ht="22.5" customHeight="1">
      <c r="A1035" s="69"/>
      <c r="B1035" s="69"/>
      <c r="C1035" s="69"/>
      <c r="D1035" s="69"/>
      <c r="E1035" s="185"/>
      <c r="F1035" s="69"/>
      <c r="G1035" s="185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  <c r="AA1035" s="69"/>
      <c r="AB1035" s="69"/>
      <c r="AC1035" s="69"/>
      <c r="AD1035" s="69"/>
      <c r="AE1035" s="69"/>
    </row>
    <row r="1036" spans="1:31" ht="22.5" customHeight="1">
      <c r="A1036" s="69"/>
      <c r="B1036" s="69"/>
      <c r="C1036" s="69"/>
      <c r="D1036" s="69"/>
      <c r="E1036" s="185"/>
      <c r="F1036" s="69"/>
      <c r="G1036" s="185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  <c r="AA1036" s="69"/>
      <c r="AB1036" s="69"/>
      <c r="AC1036" s="69"/>
      <c r="AD1036" s="69"/>
      <c r="AE1036" s="69"/>
    </row>
    <row r="1037" spans="1:31" ht="22.5" customHeight="1">
      <c r="A1037" s="69"/>
      <c r="B1037" s="69"/>
      <c r="C1037" s="69"/>
      <c r="D1037" s="69"/>
      <c r="E1037" s="185"/>
      <c r="F1037" s="69"/>
      <c r="G1037" s="185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  <c r="AA1037" s="69"/>
      <c r="AB1037" s="69"/>
      <c r="AC1037" s="69"/>
      <c r="AD1037" s="69"/>
      <c r="AE1037" s="69"/>
    </row>
    <row r="1038" spans="1:31" ht="22.5" customHeight="1">
      <c r="A1038" s="69"/>
      <c r="B1038" s="69"/>
      <c r="C1038" s="69"/>
      <c r="D1038" s="69"/>
      <c r="E1038" s="185"/>
      <c r="F1038" s="69"/>
      <c r="G1038" s="185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  <c r="AA1038" s="69"/>
      <c r="AB1038" s="69"/>
      <c r="AC1038" s="69"/>
      <c r="AD1038" s="69"/>
      <c r="AE1038" s="69"/>
    </row>
    <row r="1039" spans="1:31" ht="22.5" customHeight="1">
      <c r="A1039" s="69"/>
      <c r="B1039" s="69"/>
      <c r="C1039" s="69"/>
      <c r="D1039" s="69"/>
      <c r="E1039" s="185"/>
      <c r="F1039" s="69"/>
      <c r="G1039" s="185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  <c r="AA1039" s="69"/>
      <c r="AB1039" s="69"/>
      <c r="AC1039" s="69"/>
      <c r="AD1039" s="69"/>
      <c r="AE1039" s="69"/>
    </row>
    <row r="1040" spans="1:31" ht="22.5" customHeight="1">
      <c r="A1040" s="69"/>
      <c r="B1040" s="69"/>
      <c r="C1040" s="69"/>
      <c r="D1040" s="69"/>
      <c r="E1040" s="185"/>
      <c r="F1040" s="69"/>
      <c r="G1040" s="185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  <c r="AA1040" s="69"/>
      <c r="AB1040" s="69"/>
      <c r="AC1040" s="69"/>
      <c r="AD1040" s="69"/>
      <c r="AE1040" s="69"/>
    </row>
    <row r="1041" spans="1:31" ht="22.5" customHeight="1">
      <c r="A1041" s="69"/>
      <c r="B1041" s="69"/>
      <c r="C1041" s="69"/>
      <c r="D1041" s="69"/>
      <c r="E1041" s="185"/>
      <c r="F1041" s="69"/>
      <c r="G1041" s="185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  <c r="AA1041" s="69"/>
      <c r="AB1041" s="69"/>
      <c r="AC1041" s="69"/>
      <c r="AD1041" s="69"/>
      <c r="AE1041" s="69"/>
    </row>
    <row r="1042" spans="1:31" ht="22.5" customHeight="1">
      <c r="A1042" s="69"/>
      <c r="B1042" s="69"/>
      <c r="C1042" s="69"/>
      <c r="D1042" s="69"/>
      <c r="E1042" s="185"/>
      <c r="F1042" s="69"/>
      <c r="G1042" s="185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  <c r="AA1042" s="69"/>
      <c r="AB1042" s="69"/>
      <c r="AC1042" s="69"/>
      <c r="AD1042" s="69"/>
      <c r="AE1042" s="69"/>
    </row>
    <row r="1043" spans="1:31" ht="22.5" customHeight="1">
      <c r="A1043" s="69"/>
      <c r="B1043" s="69"/>
      <c r="C1043" s="69"/>
      <c r="D1043" s="69"/>
      <c r="E1043" s="185"/>
      <c r="F1043" s="69"/>
      <c r="G1043" s="185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</row>
    <row r="1044" spans="1:31" ht="22.5" customHeight="1">
      <c r="A1044" s="69"/>
      <c r="B1044" s="69"/>
      <c r="C1044" s="69"/>
      <c r="D1044" s="69"/>
      <c r="E1044" s="185"/>
      <c r="F1044" s="69"/>
      <c r="G1044" s="185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  <c r="AA1044" s="69"/>
      <c r="AB1044" s="69"/>
      <c r="AC1044" s="69"/>
      <c r="AD1044" s="69"/>
      <c r="AE1044" s="69"/>
    </row>
    <row r="1045" spans="1:31" ht="22.5" customHeight="1">
      <c r="A1045" s="69"/>
      <c r="B1045" s="69"/>
      <c r="C1045" s="69"/>
      <c r="D1045" s="69"/>
      <c r="E1045" s="185"/>
      <c r="F1045" s="69"/>
      <c r="G1045" s="185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  <c r="AD1045" s="69"/>
      <c r="AE1045" s="69"/>
    </row>
    <row r="1046" spans="1:31" ht="22.5" customHeight="1">
      <c r="A1046" s="69"/>
      <c r="B1046" s="69"/>
      <c r="C1046" s="69"/>
      <c r="D1046" s="69"/>
      <c r="E1046" s="185"/>
      <c r="F1046" s="69"/>
      <c r="G1046" s="185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  <c r="AA1046" s="69"/>
      <c r="AB1046" s="69"/>
      <c r="AC1046" s="69"/>
      <c r="AD1046" s="69"/>
      <c r="AE1046" s="69"/>
    </row>
    <row r="1047" spans="1:31" ht="22.5" customHeight="1">
      <c r="A1047" s="69"/>
      <c r="B1047" s="69"/>
      <c r="C1047" s="69"/>
      <c r="D1047" s="69"/>
      <c r="E1047" s="185"/>
      <c r="F1047" s="69"/>
      <c r="G1047" s="185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  <c r="AA1047" s="69"/>
      <c r="AB1047" s="69"/>
      <c r="AC1047" s="69"/>
      <c r="AD1047" s="69"/>
      <c r="AE1047" s="69"/>
    </row>
    <row r="1048" spans="1:31" ht="22.5" customHeight="1">
      <c r="A1048" s="69"/>
      <c r="B1048" s="69"/>
      <c r="C1048" s="69"/>
      <c r="D1048" s="69"/>
      <c r="E1048" s="185"/>
      <c r="F1048" s="69"/>
      <c r="G1048" s="185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  <c r="AA1048" s="69"/>
      <c r="AB1048" s="69"/>
      <c r="AC1048" s="69"/>
      <c r="AD1048" s="69"/>
      <c r="AE1048" s="69"/>
    </row>
    <row r="1049" spans="1:31" ht="22.5" customHeight="1">
      <c r="A1049" s="69"/>
      <c r="B1049" s="69"/>
      <c r="C1049" s="69"/>
      <c r="D1049" s="69"/>
      <c r="E1049" s="185"/>
      <c r="F1049" s="69"/>
      <c r="G1049" s="185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  <c r="AA1049" s="69"/>
      <c r="AB1049" s="69"/>
      <c r="AC1049" s="69"/>
      <c r="AD1049" s="69"/>
      <c r="AE1049" s="69"/>
    </row>
    <row r="1050" spans="1:31" ht="22.5" customHeight="1">
      <c r="A1050" s="69"/>
      <c r="B1050" s="69"/>
      <c r="C1050" s="69"/>
      <c r="D1050" s="69"/>
      <c r="E1050" s="185"/>
      <c r="F1050" s="69"/>
      <c r="G1050" s="185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  <c r="AA1050" s="69"/>
      <c r="AB1050" s="69"/>
      <c r="AC1050" s="69"/>
      <c r="AD1050" s="69"/>
      <c r="AE1050" s="69"/>
    </row>
    <row r="1051" spans="1:31" ht="22.5" customHeight="1">
      <c r="A1051" s="69"/>
      <c r="B1051" s="69"/>
      <c r="C1051" s="69"/>
      <c r="D1051" s="69"/>
      <c r="E1051" s="185"/>
      <c r="F1051" s="69"/>
      <c r="G1051" s="185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  <c r="AA1051" s="69"/>
      <c r="AB1051" s="69"/>
      <c r="AC1051" s="69"/>
      <c r="AD1051" s="69"/>
      <c r="AE1051" s="69"/>
    </row>
    <row r="1052" spans="1:31" ht="22.5" customHeight="1">
      <c r="A1052" s="69"/>
      <c r="B1052" s="69"/>
      <c r="C1052" s="69"/>
      <c r="D1052" s="69"/>
      <c r="E1052" s="185"/>
      <c r="F1052" s="69"/>
      <c r="G1052" s="185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  <c r="AA1052" s="69"/>
      <c r="AB1052" s="69"/>
      <c r="AC1052" s="69"/>
      <c r="AD1052" s="69"/>
      <c r="AE1052" s="69"/>
    </row>
    <row r="1053" spans="1:31" ht="22.5" customHeight="1">
      <c r="A1053" s="69"/>
      <c r="B1053" s="69"/>
      <c r="C1053" s="69"/>
      <c r="D1053" s="69"/>
      <c r="E1053" s="185"/>
      <c r="F1053" s="69"/>
      <c r="G1053" s="185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  <c r="AA1053" s="69"/>
      <c r="AB1053" s="69"/>
      <c r="AC1053" s="69"/>
      <c r="AD1053" s="69"/>
      <c r="AE1053" s="69"/>
    </row>
    <row r="1054" spans="1:31" ht="22.5" customHeight="1">
      <c r="A1054" s="69"/>
      <c r="B1054" s="69"/>
      <c r="C1054" s="69"/>
      <c r="D1054" s="69"/>
      <c r="E1054" s="185"/>
      <c r="F1054" s="69"/>
      <c r="G1054" s="185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  <c r="AA1054" s="69"/>
      <c r="AB1054" s="69"/>
      <c r="AC1054" s="69"/>
      <c r="AD1054" s="69"/>
      <c r="AE1054" s="69"/>
    </row>
    <row r="1055" spans="1:31" ht="22.5" customHeight="1">
      <c r="A1055" s="69"/>
      <c r="B1055" s="69"/>
      <c r="C1055" s="69"/>
      <c r="D1055" s="69"/>
      <c r="E1055" s="185"/>
      <c r="F1055" s="69"/>
      <c r="G1055" s="185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  <c r="AA1055" s="69"/>
      <c r="AB1055" s="69"/>
      <c r="AC1055" s="69"/>
      <c r="AD1055" s="69"/>
      <c r="AE1055" s="69"/>
    </row>
    <row r="1056" spans="1:31" ht="22.5" customHeight="1">
      <c r="A1056" s="69"/>
      <c r="B1056" s="69"/>
      <c r="C1056" s="69"/>
      <c r="D1056" s="69"/>
      <c r="E1056" s="185"/>
      <c r="F1056" s="69"/>
      <c r="G1056" s="185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  <c r="AA1056" s="69"/>
      <c r="AB1056" s="69"/>
      <c r="AC1056" s="69"/>
      <c r="AD1056" s="69"/>
      <c r="AE1056" s="69"/>
    </row>
    <row r="1057" spans="1:31" ht="22.5" customHeight="1">
      <c r="A1057" s="69"/>
      <c r="B1057" s="69"/>
      <c r="C1057" s="69"/>
      <c r="D1057" s="69"/>
      <c r="E1057" s="185"/>
      <c r="F1057" s="69"/>
      <c r="G1057" s="185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  <c r="AD1057" s="69"/>
      <c r="AE1057" s="69"/>
    </row>
    <row r="1058" spans="1:31" ht="22.5" customHeight="1">
      <c r="A1058" s="69"/>
      <c r="B1058" s="69"/>
      <c r="C1058" s="69"/>
      <c r="D1058" s="69"/>
      <c r="E1058" s="185"/>
      <c r="F1058" s="69"/>
      <c r="G1058" s="185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  <c r="AA1058" s="69"/>
      <c r="AB1058" s="69"/>
      <c r="AC1058" s="69"/>
      <c r="AD1058" s="69"/>
      <c r="AE1058" s="69"/>
    </row>
    <row r="1059" spans="1:31" ht="22.5" customHeight="1">
      <c r="A1059" s="69"/>
      <c r="B1059" s="69"/>
      <c r="C1059" s="69"/>
      <c r="D1059" s="69"/>
      <c r="E1059" s="185"/>
      <c r="F1059" s="69"/>
      <c r="G1059" s="185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  <c r="AA1059" s="69"/>
      <c r="AB1059" s="69"/>
      <c r="AC1059" s="69"/>
      <c r="AD1059" s="69"/>
      <c r="AE1059" s="69"/>
    </row>
    <row r="1060" spans="1:31" ht="22.5" customHeight="1">
      <c r="A1060" s="69"/>
      <c r="B1060" s="69"/>
      <c r="C1060" s="69"/>
      <c r="D1060" s="69"/>
      <c r="E1060" s="185"/>
      <c r="F1060" s="69"/>
      <c r="G1060" s="185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  <c r="AA1060" s="69"/>
      <c r="AB1060" s="69"/>
      <c r="AC1060" s="69"/>
      <c r="AD1060" s="69"/>
      <c r="AE1060" s="69"/>
    </row>
    <row r="1061" spans="1:31" ht="22.5" customHeight="1">
      <c r="A1061" s="69"/>
      <c r="B1061" s="69"/>
      <c r="C1061" s="69"/>
      <c r="D1061" s="69"/>
      <c r="E1061" s="185"/>
      <c r="F1061" s="69"/>
      <c r="G1061" s="185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  <c r="AA1061" s="69"/>
      <c r="AB1061" s="69"/>
      <c r="AC1061" s="69"/>
      <c r="AD1061" s="69"/>
      <c r="AE1061" s="69"/>
    </row>
    <row r="1062" spans="1:31" ht="22.5" customHeight="1">
      <c r="A1062" s="69"/>
      <c r="B1062" s="69"/>
      <c r="C1062" s="69"/>
      <c r="D1062" s="69"/>
      <c r="E1062" s="185"/>
      <c r="F1062" s="69"/>
      <c r="G1062" s="185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  <c r="AA1062" s="69"/>
      <c r="AB1062" s="69"/>
      <c r="AC1062" s="69"/>
      <c r="AD1062" s="69"/>
      <c r="AE1062" s="69"/>
    </row>
    <row r="1063" spans="1:31" ht="22.5" customHeight="1">
      <c r="A1063" s="69"/>
      <c r="B1063" s="69"/>
      <c r="C1063" s="69"/>
      <c r="D1063" s="69"/>
      <c r="E1063" s="185"/>
      <c r="F1063" s="69"/>
      <c r="G1063" s="185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  <c r="AA1063" s="69"/>
      <c r="AB1063" s="69"/>
      <c r="AC1063" s="69"/>
      <c r="AD1063" s="69"/>
      <c r="AE1063" s="69"/>
    </row>
    <row r="1064" spans="1:31" ht="22.5" customHeight="1">
      <c r="A1064" s="69"/>
      <c r="B1064" s="69"/>
      <c r="C1064" s="69"/>
      <c r="D1064" s="69"/>
      <c r="E1064" s="185"/>
      <c r="F1064" s="69"/>
      <c r="G1064" s="185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  <c r="AA1064" s="69"/>
      <c r="AB1064" s="69"/>
      <c r="AC1064" s="69"/>
      <c r="AD1064" s="69"/>
      <c r="AE1064" s="69"/>
    </row>
    <row r="1065" spans="1:31" ht="22.5" customHeight="1">
      <c r="A1065" s="69"/>
      <c r="B1065" s="69"/>
      <c r="C1065" s="69"/>
      <c r="D1065" s="69"/>
      <c r="E1065" s="185"/>
      <c r="F1065" s="69"/>
      <c r="G1065" s="185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  <c r="AA1065" s="69"/>
      <c r="AB1065" s="69"/>
      <c r="AC1065" s="69"/>
      <c r="AD1065" s="69"/>
      <c r="AE1065" s="69"/>
    </row>
    <row r="1066" spans="1:31" ht="22.5" customHeight="1">
      <c r="A1066" s="69"/>
      <c r="B1066" s="69"/>
      <c r="C1066" s="69"/>
      <c r="D1066" s="69"/>
      <c r="E1066" s="185"/>
      <c r="F1066" s="69"/>
      <c r="G1066" s="185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  <c r="AA1066" s="69"/>
      <c r="AB1066" s="69"/>
      <c r="AC1066" s="69"/>
      <c r="AD1066" s="69"/>
      <c r="AE1066" s="69"/>
    </row>
    <row r="1067" spans="1:31" ht="22.5" customHeight="1">
      <c r="A1067" s="69"/>
      <c r="B1067" s="69"/>
      <c r="C1067" s="69"/>
      <c r="D1067" s="69"/>
      <c r="E1067" s="185"/>
      <c r="F1067" s="69"/>
      <c r="G1067" s="185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  <c r="AA1067" s="69"/>
      <c r="AB1067" s="69"/>
      <c r="AC1067" s="69"/>
      <c r="AD1067" s="69"/>
      <c r="AE1067" s="69"/>
    </row>
    <row r="1068" spans="1:31" ht="22.5" customHeight="1">
      <c r="A1068" s="69"/>
      <c r="B1068" s="69"/>
      <c r="C1068" s="69"/>
      <c r="D1068" s="69"/>
      <c r="E1068" s="185"/>
      <c r="F1068" s="69"/>
      <c r="G1068" s="185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  <c r="AA1068" s="69"/>
      <c r="AB1068" s="69"/>
      <c r="AC1068" s="69"/>
      <c r="AD1068" s="69"/>
      <c r="AE1068" s="69"/>
    </row>
    <row r="1069" spans="1:31" ht="22.5" customHeight="1">
      <c r="A1069" s="69"/>
      <c r="B1069" s="69"/>
      <c r="C1069" s="69"/>
      <c r="D1069" s="69"/>
      <c r="E1069" s="185"/>
      <c r="F1069" s="69"/>
      <c r="G1069" s="185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  <c r="AA1069" s="69"/>
      <c r="AB1069" s="69"/>
      <c r="AC1069" s="69"/>
      <c r="AD1069" s="69"/>
      <c r="AE1069" s="69"/>
    </row>
    <row r="1070" spans="1:31" ht="22.5" customHeight="1">
      <c r="A1070" s="69"/>
      <c r="B1070" s="69"/>
      <c r="C1070" s="69"/>
      <c r="D1070" s="69"/>
      <c r="E1070" s="185"/>
      <c r="F1070" s="69"/>
      <c r="G1070" s="185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  <c r="AA1070" s="69"/>
      <c r="AB1070" s="69"/>
      <c r="AC1070" s="69"/>
      <c r="AD1070" s="69"/>
      <c r="AE1070" s="69"/>
    </row>
    <row r="1071" spans="1:31" ht="22.5" customHeight="1">
      <c r="A1071" s="69"/>
      <c r="B1071" s="69"/>
      <c r="C1071" s="69"/>
      <c r="D1071" s="69"/>
      <c r="E1071" s="185"/>
      <c r="F1071" s="69"/>
      <c r="G1071" s="185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  <c r="AA1071" s="69"/>
      <c r="AB1071" s="69"/>
      <c r="AC1071" s="69"/>
      <c r="AD1071" s="69"/>
      <c r="AE1071" s="69"/>
    </row>
    <row r="1072" spans="1:31" ht="22.5" customHeight="1">
      <c r="A1072" s="69"/>
      <c r="B1072" s="69"/>
      <c r="C1072" s="69"/>
      <c r="D1072" s="69"/>
      <c r="E1072" s="185"/>
      <c r="F1072" s="69"/>
      <c r="G1072" s="185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  <c r="AA1072" s="69"/>
      <c r="AB1072" s="69"/>
      <c r="AC1072" s="69"/>
      <c r="AD1072" s="69"/>
      <c r="AE1072" s="69"/>
    </row>
    <row r="1073" spans="1:31" ht="22.5" customHeight="1">
      <c r="A1073" s="69"/>
      <c r="B1073" s="69"/>
      <c r="C1073" s="69"/>
      <c r="D1073" s="69"/>
      <c r="E1073" s="185"/>
      <c r="F1073" s="69"/>
      <c r="G1073" s="185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  <c r="AA1073" s="69"/>
      <c r="AB1073" s="69"/>
      <c r="AC1073" s="69"/>
      <c r="AD1073" s="69"/>
      <c r="AE1073" s="69"/>
    </row>
    <row r="1074" spans="1:31" ht="22.5" customHeight="1">
      <c r="A1074" s="69"/>
      <c r="B1074" s="69"/>
      <c r="C1074" s="69"/>
      <c r="D1074" s="69"/>
      <c r="E1074" s="185"/>
      <c r="F1074" s="69"/>
      <c r="G1074" s="185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  <c r="AA1074" s="69"/>
      <c r="AB1074" s="69"/>
      <c r="AC1074" s="69"/>
      <c r="AD1074" s="69"/>
      <c r="AE1074" s="69"/>
    </row>
    <row r="1075" spans="1:31" ht="22.5" customHeight="1">
      <c r="A1075" s="69"/>
      <c r="B1075" s="69"/>
      <c r="C1075" s="69"/>
      <c r="D1075" s="69"/>
      <c r="E1075" s="185"/>
      <c r="F1075" s="69"/>
      <c r="G1075" s="185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  <c r="AA1075" s="69"/>
      <c r="AB1075" s="69"/>
      <c r="AC1075" s="69"/>
      <c r="AD1075" s="69"/>
      <c r="AE1075" s="69"/>
    </row>
    <row r="1076" spans="1:31" ht="22.5" customHeight="1">
      <c r="A1076" s="69"/>
      <c r="B1076" s="69"/>
      <c r="C1076" s="69"/>
      <c r="D1076" s="69"/>
      <c r="E1076" s="185"/>
      <c r="F1076" s="69"/>
      <c r="G1076" s="185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  <c r="AA1076" s="69"/>
      <c r="AB1076" s="69"/>
      <c r="AC1076" s="69"/>
      <c r="AD1076" s="69"/>
      <c r="AE1076" s="69"/>
    </row>
    <row r="1077" spans="1:31" ht="22.5" customHeight="1">
      <c r="A1077" s="69"/>
      <c r="B1077" s="69"/>
      <c r="C1077" s="69"/>
      <c r="D1077" s="69"/>
      <c r="E1077" s="185"/>
      <c r="F1077" s="69"/>
      <c r="G1077" s="185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  <c r="AA1077" s="69"/>
      <c r="AB1077" s="69"/>
      <c r="AC1077" s="69"/>
      <c r="AD1077" s="69"/>
      <c r="AE1077" s="69"/>
    </row>
    <row r="1078" spans="1:31" ht="22.5" customHeight="1">
      <c r="A1078" s="69"/>
      <c r="B1078" s="69"/>
      <c r="C1078" s="69"/>
      <c r="D1078" s="69"/>
      <c r="E1078" s="185"/>
      <c r="F1078" s="69"/>
      <c r="G1078" s="185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  <c r="AA1078" s="69"/>
      <c r="AB1078" s="69"/>
      <c r="AC1078" s="69"/>
      <c r="AD1078" s="69"/>
      <c r="AE1078" s="69"/>
    </row>
    <row r="1079" spans="1:31" ht="22.5" customHeight="1">
      <c r="A1079" s="69"/>
      <c r="B1079" s="69"/>
      <c r="C1079" s="69"/>
      <c r="D1079" s="69"/>
      <c r="E1079" s="185"/>
      <c r="F1079" s="69"/>
      <c r="G1079" s="185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  <c r="AA1079" s="69"/>
      <c r="AB1079" s="69"/>
      <c r="AC1079" s="69"/>
      <c r="AD1079" s="69"/>
      <c r="AE1079" s="69"/>
    </row>
    <row r="1080" spans="1:31" ht="22.5" customHeight="1">
      <c r="A1080" s="69"/>
      <c r="B1080" s="69"/>
      <c r="C1080" s="69"/>
      <c r="D1080" s="69"/>
      <c r="E1080" s="185"/>
      <c r="F1080" s="69"/>
      <c r="G1080" s="185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  <c r="Z1080" s="69"/>
      <c r="AA1080" s="69"/>
      <c r="AB1080" s="69"/>
      <c r="AC1080" s="69"/>
      <c r="AD1080" s="69"/>
      <c r="AE1080" s="69"/>
    </row>
    <row r="1081" spans="1:31" ht="22.5" customHeight="1">
      <c r="A1081" s="69"/>
      <c r="B1081" s="69"/>
      <c r="C1081" s="69"/>
      <c r="D1081" s="69"/>
      <c r="E1081" s="185"/>
      <c r="F1081" s="69"/>
      <c r="G1081" s="185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  <c r="Z1081" s="69"/>
      <c r="AA1081" s="69"/>
      <c r="AB1081" s="69"/>
      <c r="AC1081" s="69"/>
      <c r="AD1081" s="69"/>
      <c r="AE1081" s="69"/>
    </row>
    <row r="1082" spans="1:31" ht="22.5" customHeight="1">
      <c r="A1082" s="69"/>
      <c r="B1082" s="69"/>
      <c r="C1082" s="69"/>
      <c r="D1082" s="69"/>
      <c r="E1082" s="185"/>
      <c r="F1082" s="69"/>
      <c r="G1082" s="185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  <c r="Z1082" s="69"/>
      <c r="AA1082" s="69"/>
      <c r="AB1082" s="69"/>
      <c r="AC1082" s="69"/>
      <c r="AD1082" s="69"/>
      <c r="AE1082" s="69"/>
    </row>
    <row r="1083" spans="1:31" ht="22.5" customHeight="1">
      <c r="A1083" s="69"/>
      <c r="B1083" s="69"/>
      <c r="C1083" s="69"/>
      <c r="D1083" s="69"/>
      <c r="E1083" s="185"/>
      <c r="F1083" s="69"/>
      <c r="G1083" s="185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  <c r="AA1083" s="69"/>
      <c r="AB1083" s="69"/>
      <c r="AC1083" s="69"/>
      <c r="AD1083" s="69"/>
      <c r="AE1083" s="69"/>
    </row>
    <row r="1084" spans="1:31" ht="22.5" customHeight="1">
      <c r="A1084" s="69"/>
      <c r="B1084" s="69"/>
      <c r="C1084" s="69"/>
      <c r="D1084" s="69"/>
      <c r="E1084" s="185"/>
      <c r="F1084" s="69"/>
      <c r="G1084" s="185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  <c r="Z1084" s="69"/>
      <c r="AA1084" s="69"/>
      <c r="AB1084" s="69"/>
      <c r="AC1084" s="69"/>
      <c r="AD1084" s="69"/>
      <c r="AE1084" s="69"/>
    </row>
    <row r="1085" spans="1:31" ht="22.5" customHeight="1">
      <c r="A1085" s="69"/>
      <c r="B1085" s="69"/>
      <c r="C1085" s="69"/>
      <c r="D1085" s="69"/>
      <c r="E1085" s="185"/>
      <c r="F1085" s="69"/>
      <c r="G1085" s="185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  <c r="Z1085" s="69"/>
      <c r="AA1085" s="69"/>
      <c r="AB1085" s="69"/>
      <c r="AC1085" s="69"/>
      <c r="AD1085" s="69"/>
      <c r="AE1085" s="69"/>
    </row>
    <row r="1086" spans="1:31" ht="22.5" customHeight="1">
      <c r="A1086" s="69"/>
      <c r="B1086" s="69"/>
      <c r="C1086" s="69"/>
      <c r="D1086" s="69"/>
      <c r="E1086" s="185"/>
      <c r="F1086" s="69"/>
      <c r="G1086" s="185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  <c r="Z1086" s="69"/>
      <c r="AA1086" s="69"/>
      <c r="AB1086" s="69"/>
      <c r="AC1086" s="69"/>
      <c r="AD1086" s="69"/>
      <c r="AE1086" s="69"/>
    </row>
    <row r="1087" spans="1:31" ht="22.5" customHeight="1">
      <c r="A1087" s="69"/>
      <c r="B1087" s="69"/>
      <c r="C1087" s="69"/>
      <c r="D1087" s="69"/>
      <c r="E1087" s="185"/>
      <c r="F1087" s="69"/>
      <c r="G1087" s="185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  <c r="Z1087" s="69"/>
      <c r="AA1087" s="69"/>
      <c r="AB1087" s="69"/>
      <c r="AC1087" s="69"/>
      <c r="AD1087" s="69"/>
      <c r="AE1087" s="69"/>
    </row>
    <row r="1088" spans="1:31" ht="22.5" customHeight="1">
      <c r="A1088" s="69"/>
      <c r="B1088" s="69"/>
      <c r="C1088" s="69"/>
      <c r="D1088" s="69"/>
      <c r="E1088" s="185"/>
      <c r="F1088" s="69"/>
      <c r="G1088" s="185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  <c r="Z1088" s="69"/>
      <c r="AA1088" s="69"/>
      <c r="AB1088" s="69"/>
      <c r="AC1088" s="69"/>
      <c r="AD1088" s="69"/>
      <c r="AE1088" s="69"/>
    </row>
    <row r="1089" spans="1:31" ht="22.5" customHeight="1">
      <c r="A1089" s="69"/>
      <c r="B1089" s="69"/>
      <c r="C1089" s="69"/>
      <c r="D1089" s="69"/>
      <c r="E1089" s="185"/>
      <c r="F1089" s="69"/>
      <c r="G1089" s="185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  <c r="AA1089" s="69"/>
      <c r="AB1089" s="69"/>
      <c r="AC1089" s="69"/>
      <c r="AD1089" s="69"/>
      <c r="AE1089" s="69"/>
    </row>
    <row r="1090" spans="1:31" ht="22.5" customHeight="1">
      <c r="A1090" s="69"/>
      <c r="B1090" s="69"/>
      <c r="C1090" s="69"/>
      <c r="D1090" s="69"/>
      <c r="E1090" s="185"/>
      <c r="F1090" s="69"/>
      <c r="G1090" s="185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  <c r="Z1090" s="69"/>
      <c r="AA1090" s="69"/>
      <c r="AB1090" s="69"/>
      <c r="AC1090" s="69"/>
      <c r="AD1090" s="69"/>
      <c r="AE1090" s="69"/>
    </row>
    <row r="1091" spans="1:31" ht="22.5" customHeight="1">
      <c r="A1091" s="69"/>
      <c r="B1091" s="69"/>
      <c r="C1091" s="69"/>
      <c r="D1091" s="69"/>
      <c r="E1091" s="185"/>
      <c r="F1091" s="69"/>
      <c r="G1091" s="185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  <c r="Z1091" s="69"/>
      <c r="AA1091" s="69"/>
      <c r="AB1091" s="69"/>
      <c r="AC1091" s="69"/>
      <c r="AD1091" s="69"/>
      <c r="AE1091" s="69"/>
    </row>
    <row r="1092" spans="1:31" ht="22.5" customHeight="1">
      <c r="A1092" s="69"/>
      <c r="B1092" s="69"/>
      <c r="C1092" s="69"/>
      <c r="D1092" s="69"/>
      <c r="E1092" s="185"/>
      <c r="F1092" s="69"/>
      <c r="G1092" s="185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  <c r="Z1092" s="69"/>
      <c r="AA1092" s="69"/>
      <c r="AB1092" s="69"/>
      <c r="AC1092" s="69"/>
      <c r="AD1092" s="69"/>
      <c r="AE1092" s="69"/>
    </row>
    <row r="1093" spans="1:31" ht="22.5" customHeight="1">
      <c r="A1093" s="69"/>
      <c r="B1093" s="69"/>
      <c r="C1093" s="69"/>
      <c r="D1093" s="69"/>
      <c r="E1093" s="185"/>
      <c r="F1093" s="69"/>
      <c r="G1093" s="185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  <c r="Z1093" s="69"/>
      <c r="AA1093" s="69"/>
      <c r="AB1093" s="69"/>
      <c r="AC1093" s="69"/>
      <c r="AD1093" s="69"/>
      <c r="AE1093" s="69"/>
    </row>
    <row r="1094" spans="1:31" ht="22.5" customHeight="1">
      <c r="A1094" s="69"/>
      <c r="B1094" s="69"/>
      <c r="C1094" s="69"/>
      <c r="D1094" s="69"/>
      <c r="E1094" s="185"/>
      <c r="F1094" s="69"/>
      <c r="G1094" s="185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  <c r="Z1094" s="69"/>
      <c r="AA1094" s="69"/>
      <c r="AB1094" s="69"/>
      <c r="AC1094" s="69"/>
      <c r="AD1094" s="69"/>
      <c r="AE1094" s="69"/>
    </row>
    <row r="1095" spans="1:31" ht="22.5" customHeight="1">
      <c r="A1095" s="69"/>
      <c r="B1095" s="69"/>
      <c r="C1095" s="69"/>
      <c r="D1095" s="69"/>
      <c r="E1095" s="185"/>
      <c r="F1095" s="69"/>
      <c r="G1095" s="185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  <c r="Z1095" s="69"/>
      <c r="AA1095" s="69"/>
      <c r="AB1095" s="69"/>
      <c r="AC1095" s="69"/>
      <c r="AD1095" s="69"/>
      <c r="AE1095" s="69"/>
    </row>
    <row r="1096" spans="1:31" ht="22.5" customHeight="1">
      <c r="A1096" s="69"/>
      <c r="B1096" s="69"/>
      <c r="C1096" s="69"/>
      <c r="D1096" s="69"/>
      <c r="E1096" s="185"/>
      <c r="F1096" s="69"/>
      <c r="G1096" s="185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  <c r="Z1096" s="69"/>
      <c r="AA1096" s="69"/>
      <c r="AB1096" s="69"/>
      <c r="AC1096" s="69"/>
      <c r="AD1096" s="69"/>
      <c r="AE1096" s="69"/>
    </row>
    <row r="1097" spans="1:31" ht="22.5" customHeight="1">
      <c r="A1097" s="69"/>
      <c r="B1097" s="69"/>
      <c r="C1097" s="69"/>
      <c r="D1097" s="69"/>
      <c r="E1097" s="185"/>
      <c r="F1097" s="69"/>
      <c r="G1097" s="185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  <c r="AA1097" s="69"/>
      <c r="AB1097" s="69"/>
      <c r="AC1097" s="69"/>
      <c r="AD1097" s="69"/>
      <c r="AE1097" s="69"/>
    </row>
    <row r="1098" spans="1:31" ht="22.5" customHeight="1">
      <c r="A1098" s="69"/>
      <c r="B1098" s="69"/>
      <c r="C1098" s="69"/>
      <c r="D1098" s="69"/>
      <c r="E1098" s="185"/>
      <c r="F1098" s="69"/>
      <c r="G1098" s="185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  <c r="Z1098" s="69"/>
      <c r="AA1098" s="69"/>
      <c r="AB1098" s="69"/>
      <c r="AC1098" s="69"/>
      <c r="AD1098" s="69"/>
      <c r="AE1098" s="69"/>
    </row>
    <row r="1099" spans="1:31" ht="22.5" customHeight="1">
      <c r="A1099" s="69"/>
      <c r="B1099" s="69"/>
      <c r="C1099" s="69"/>
      <c r="D1099" s="69"/>
      <c r="E1099" s="185"/>
      <c r="F1099" s="69"/>
      <c r="G1099" s="185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  <c r="Z1099" s="69"/>
      <c r="AA1099" s="69"/>
      <c r="AB1099" s="69"/>
      <c r="AC1099" s="69"/>
      <c r="AD1099" s="69"/>
      <c r="AE1099" s="69"/>
    </row>
    <row r="1100" spans="1:31" ht="22.5" customHeight="1">
      <c r="A1100" s="69"/>
      <c r="B1100" s="69"/>
      <c r="C1100" s="69"/>
      <c r="D1100" s="69"/>
      <c r="E1100" s="185"/>
      <c r="F1100" s="69"/>
      <c r="G1100" s="185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  <c r="Z1100" s="69"/>
      <c r="AA1100" s="69"/>
      <c r="AB1100" s="69"/>
      <c r="AC1100" s="69"/>
      <c r="AD1100" s="69"/>
      <c r="AE1100" s="69"/>
    </row>
    <row r="1101" spans="1:31" ht="22.5" customHeight="1">
      <c r="A1101" s="69"/>
      <c r="B1101" s="69"/>
      <c r="C1101" s="69"/>
      <c r="D1101" s="69"/>
      <c r="E1101" s="185"/>
      <c r="F1101" s="69"/>
      <c r="G1101" s="185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  <c r="Z1101" s="69"/>
      <c r="AA1101" s="69"/>
      <c r="AB1101" s="69"/>
      <c r="AC1101" s="69"/>
      <c r="AD1101" s="69"/>
      <c r="AE1101" s="69"/>
    </row>
    <row r="1102" spans="1:31" ht="22.5" customHeight="1">
      <c r="A1102" s="69"/>
      <c r="B1102" s="69"/>
      <c r="C1102" s="69"/>
      <c r="D1102" s="69"/>
      <c r="E1102" s="185"/>
      <c r="F1102" s="69"/>
      <c r="G1102" s="185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  <c r="Z1102" s="69"/>
      <c r="AA1102" s="69"/>
      <c r="AB1102" s="69"/>
      <c r="AC1102" s="69"/>
      <c r="AD1102" s="69"/>
      <c r="AE1102" s="69"/>
    </row>
    <row r="1103" spans="1:31" ht="22.5" customHeight="1">
      <c r="A1103" s="69"/>
      <c r="B1103" s="69"/>
      <c r="C1103" s="69"/>
      <c r="D1103" s="69"/>
      <c r="E1103" s="185"/>
      <c r="F1103" s="69"/>
      <c r="G1103" s="185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  <c r="Z1103" s="69"/>
      <c r="AA1103" s="69"/>
      <c r="AB1103" s="69"/>
      <c r="AC1103" s="69"/>
      <c r="AD1103" s="69"/>
      <c r="AE1103" s="69"/>
    </row>
    <row r="1104" spans="1:31" ht="22.5" customHeight="1">
      <c r="A1104" s="69"/>
      <c r="B1104" s="69"/>
      <c r="C1104" s="69"/>
      <c r="D1104" s="69"/>
      <c r="E1104" s="185"/>
      <c r="F1104" s="69"/>
      <c r="G1104" s="185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  <c r="Z1104" s="69"/>
      <c r="AA1104" s="69"/>
      <c r="AB1104" s="69"/>
      <c r="AC1104" s="69"/>
      <c r="AD1104" s="69"/>
      <c r="AE1104" s="69"/>
    </row>
    <row r="1105" spans="1:31" ht="22.5" customHeight="1">
      <c r="A1105" s="69"/>
      <c r="B1105" s="69"/>
      <c r="C1105" s="69"/>
      <c r="D1105" s="69"/>
      <c r="E1105" s="185"/>
      <c r="F1105" s="69"/>
      <c r="G1105" s="185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  <c r="Z1105" s="69"/>
      <c r="AA1105" s="69"/>
      <c r="AB1105" s="69"/>
      <c r="AC1105" s="69"/>
      <c r="AD1105" s="69"/>
      <c r="AE1105" s="69"/>
    </row>
    <row r="1106" spans="1:31" ht="22.5" customHeight="1">
      <c r="A1106" s="69"/>
      <c r="B1106" s="69"/>
      <c r="C1106" s="69"/>
      <c r="D1106" s="69"/>
      <c r="E1106" s="185"/>
      <c r="F1106" s="69"/>
      <c r="G1106" s="185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  <c r="Z1106" s="69"/>
      <c r="AA1106" s="69"/>
      <c r="AB1106" s="69"/>
      <c r="AC1106" s="69"/>
      <c r="AD1106" s="69"/>
      <c r="AE1106" s="69"/>
    </row>
    <row r="1107" spans="1:31" ht="22.5" customHeight="1">
      <c r="A1107" s="69"/>
      <c r="B1107" s="69"/>
      <c r="C1107" s="69"/>
      <c r="D1107" s="69"/>
      <c r="E1107" s="185"/>
      <c r="F1107" s="69"/>
      <c r="G1107" s="185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  <c r="Z1107" s="69"/>
      <c r="AA1107" s="69"/>
      <c r="AB1107" s="69"/>
      <c r="AC1107" s="69"/>
      <c r="AD1107" s="69"/>
      <c r="AE1107" s="69"/>
    </row>
    <row r="1108" spans="1:31" ht="22.5" customHeight="1">
      <c r="A1108" s="69"/>
      <c r="B1108" s="69"/>
      <c r="C1108" s="69"/>
      <c r="D1108" s="69"/>
      <c r="E1108" s="185"/>
      <c r="F1108" s="69"/>
      <c r="G1108" s="185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  <c r="Z1108" s="69"/>
      <c r="AA1108" s="69"/>
      <c r="AB1108" s="69"/>
      <c r="AC1108" s="69"/>
      <c r="AD1108" s="69"/>
      <c r="AE1108" s="69"/>
    </row>
    <row r="1109" spans="1:31" ht="22.5" customHeight="1">
      <c r="A1109" s="69"/>
      <c r="B1109" s="69"/>
      <c r="C1109" s="69"/>
      <c r="D1109" s="69"/>
      <c r="E1109" s="185"/>
      <c r="F1109" s="69"/>
      <c r="G1109" s="185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  <c r="Z1109" s="69"/>
      <c r="AA1109" s="69"/>
      <c r="AB1109" s="69"/>
      <c r="AC1109" s="69"/>
      <c r="AD1109" s="69"/>
      <c r="AE1109" s="69"/>
    </row>
    <row r="1110" spans="1:31" ht="22.5" customHeight="1">
      <c r="A1110" s="69"/>
      <c r="B1110" s="69"/>
      <c r="C1110" s="69"/>
      <c r="D1110" s="69"/>
      <c r="E1110" s="185"/>
      <c r="F1110" s="69"/>
      <c r="G1110" s="185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  <c r="AA1110" s="69"/>
      <c r="AB1110" s="69"/>
      <c r="AC1110" s="69"/>
      <c r="AD1110" s="69"/>
      <c r="AE1110" s="69"/>
    </row>
    <row r="1111" spans="1:31" ht="22.5" customHeight="1">
      <c r="A1111" s="69"/>
      <c r="B1111" s="69"/>
      <c r="C1111" s="69"/>
      <c r="D1111" s="69"/>
      <c r="E1111" s="185"/>
      <c r="F1111" s="69"/>
      <c r="G1111" s="185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69"/>
      <c r="AA1111" s="69"/>
      <c r="AB1111" s="69"/>
      <c r="AC1111" s="69"/>
      <c r="AD1111" s="69"/>
      <c r="AE1111" s="69"/>
    </row>
    <row r="1112" spans="1:31" ht="22.5" customHeight="1">
      <c r="A1112" s="69"/>
      <c r="B1112" s="69"/>
      <c r="C1112" s="69"/>
      <c r="D1112" s="69"/>
      <c r="E1112" s="185"/>
      <c r="F1112" s="69"/>
      <c r="G1112" s="185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  <c r="Z1112" s="69"/>
      <c r="AA1112" s="69"/>
      <c r="AB1112" s="69"/>
      <c r="AC1112" s="69"/>
      <c r="AD1112" s="69"/>
      <c r="AE1112" s="69"/>
    </row>
    <row r="1113" spans="1:31" ht="22.5" customHeight="1">
      <c r="A1113" s="69"/>
      <c r="B1113" s="69"/>
      <c r="C1113" s="69"/>
      <c r="D1113" s="69"/>
      <c r="E1113" s="185"/>
      <c r="F1113" s="69"/>
      <c r="G1113" s="185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69"/>
      <c r="AA1113" s="69"/>
      <c r="AB1113" s="69"/>
      <c r="AC1113" s="69"/>
      <c r="AD1113" s="69"/>
      <c r="AE1113" s="69"/>
    </row>
    <row r="1114" spans="1:31" ht="22.5" customHeight="1">
      <c r="A1114" s="69"/>
      <c r="B1114" s="69"/>
      <c r="C1114" s="69"/>
      <c r="D1114" s="69"/>
      <c r="E1114" s="185"/>
      <c r="F1114" s="69"/>
      <c r="G1114" s="185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69"/>
      <c r="AA1114" s="69"/>
      <c r="AB1114" s="69"/>
      <c r="AC1114" s="69"/>
      <c r="AD1114" s="69"/>
      <c r="AE1114" s="69"/>
    </row>
    <row r="1115" spans="1:31" ht="22.5" customHeight="1">
      <c r="A1115" s="69"/>
      <c r="B1115" s="69"/>
      <c r="C1115" s="69"/>
      <c r="D1115" s="69"/>
      <c r="E1115" s="185"/>
      <c r="F1115" s="69"/>
      <c r="G1115" s="185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  <c r="AA1115" s="69"/>
      <c r="AB1115" s="69"/>
      <c r="AC1115" s="69"/>
      <c r="AD1115" s="69"/>
      <c r="AE1115" s="69"/>
    </row>
    <row r="1116" spans="1:31" ht="22.5" customHeight="1">
      <c r="A1116" s="69"/>
      <c r="B1116" s="69"/>
      <c r="C1116" s="69"/>
      <c r="D1116" s="69"/>
      <c r="E1116" s="185"/>
      <c r="F1116" s="69"/>
      <c r="G1116" s="185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  <c r="AA1116" s="69"/>
      <c r="AB1116" s="69"/>
      <c r="AC1116" s="69"/>
      <c r="AD1116" s="69"/>
      <c r="AE1116" s="69"/>
    </row>
    <row r="1117" spans="1:31" ht="22.5" customHeight="1">
      <c r="A1117" s="69"/>
      <c r="B1117" s="69"/>
      <c r="C1117" s="69"/>
      <c r="D1117" s="69"/>
      <c r="E1117" s="185"/>
      <c r="F1117" s="69"/>
      <c r="G1117" s="185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  <c r="AA1117" s="69"/>
      <c r="AB1117" s="69"/>
      <c r="AC1117" s="69"/>
      <c r="AD1117" s="69"/>
      <c r="AE1117" s="69"/>
    </row>
    <row r="1118" spans="1:31" ht="22.5" customHeight="1">
      <c r="A1118" s="69"/>
      <c r="B1118" s="69"/>
      <c r="C1118" s="69"/>
      <c r="D1118" s="69"/>
      <c r="E1118" s="185"/>
      <c r="F1118" s="69"/>
      <c r="G1118" s="185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/>
      <c r="AA1118" s="69"/>
      <c r="AB1118" s="69"/>
      <c r="AC1118" s="69"/>
      <c r="AD1118" s="69"/>
      <c r="AE1118" s="69"/>
    </row>
    <row r="1119" spans="1:31" ht="22.5" customHeight="1">
      <c r="A1119" s="69"/>
      <c r="B1119" s="69"/>
      <c r="C1119" s="69"/>
      <c r="D1119" s="69"/>
      <c r="E1119" s="185"/>
      <c r="F1119" s="69"/>
      <c r="G1119" s="185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  <c r="AA1119" s="69"/>
      <c r="AB1119" s="69"/>
      <c r="AC1119" s="69"/>
      <c r="AD1119" s="69"/>
      <c r="AE1119" s="69"/>
    </row>
    <row r="1120" spans="1:31" ht="22.5" customHeight="1">
      <c r="A1120" s="69"/>
      <c r="B1120" s="69"/>
      <c r="C1120" s="69"/>
      <c r="D1120" s="69"/>
      <c r="E1120" s="185"/>
      <c r="F1120" s="69"/>
      <c r="G1120" s="185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  <c r="AA1120" s="69"/>
      <c r="AB1120" s="69"/>
      <c r="AC1120" s="69"/>
      <c r="AD1120" s="69"/>
      <c r="AE1120" s="69"/>
    </row>
    <row r="1121" spans="1:31" ht="22.5" customHeight="1">
      <c r="A1121" s="69"/>
      <c r="B1121" s="69"/>
      <c r="C1121" s="69"/>
      <c r="D1121" s="69"/>
      <c r="E1121" s="185"/>
      <c r="F1121" s="69"/>
      <c r="G1121" s="185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  <c r="Z1121" s="69"/>
      <c r="AA1121" s="69"/>
      <c r="AB1121" s="69"/>
      <c r="AC1121" s="69"/>
      <c r="AD1121" s="69"/>
      <c r="AE1121" s="69"/>
    </row>
    <row r="1122" spans="1:31" ht="22.5" customHeight="1">
      <c r="A1122" s="69"/>
      <c r="B1122" s="69"/>
      <c r="C1122" s="69"/>
      <c r="D1122" s="69"/>
      <c r="E1122" s="185"/>
      <c r="F1122" s="69"/>
      <c r="G1122" s="185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  <c r="Z1122" s="69"/>
      <c r="AA1122" s="69"/>
      <c r="AB1122" s="69"/>
      <c r="AC1122" s="69"/>
      <c r="AD1122" s="69"/>
      <c r="AE1122" s="69"/>
    </row>
    <row r="1123" spans="1:31" ht="22.5" customHeight="1">
      <c r="A1123" s="69"/>
      <c r="B1123" s="69"/>
      <c r="C1123" s="69"/>
      <c r="D1123" s="69"/>
      <c r="E1123" s="185"/>
      <c r="F1123" s="69"/>
      <c r="G1123" s="185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</row>
    <row r="1124" spans="1:31" ht="22.5" customHeight="1">
      <c r="A1124" s="69"/>
      <c r="B1124" s="69"/>
      <c r="C1124" s="69"/>
      <c r="D1124" s="69"/>
      <c r="E1124" s="185"/>
      <c r="F1124" s="69"/>
      <c r="G1124" s="185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  <c r="Z1124" s="69"/>
      <c r="AA1124" s="69"/>
      <c r="AB1124" s="69"/>
      <c r="AC1124" s="69"/>
      <c r="AD1124" s="69"/>
      <c r="AE1124" s="69"/>
    </row>
    <row r="1125" spans="1:31" ht="22.5" customHeight="1">
      <c r="A1125" s="69"/>
      <c r="B1125" s="69"/>
      <c r="C1125" s="69"/>
      <c r="D1125" s="69"/>
      <c r="E1125" s="185"/>
      <c r="F1125" s="69"/>
      <c r="G1125" s="185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  <c r="AA1125" s="69"/>
      <c r="AB1125" s="69"/>
      <c r="AC1125" s="69"/>
      <c r="AD1125" s="69"/>
      <c r="AE1125" s="69"/>
    </row>
    <row r="1126" spans="1:31" ht="22.5" customHeight="1">
      <c r="A1126" s="69"/>
      <c r="B1126" s="69"/>
      <c r="C1126" s="69"/>
      <c r="D1126" s="69"/>
      <c r="E1126" s="185"/>
      <c r="F1126" s="69"/>
      <c r="G1126" s="185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  <c r="Z1126" s="69"/>
      <c r="AA1126" s="69"/>
      <c r="AB1126" s="69"/>
      <c r="AC1126" s="69"/>
      <c r="AD1126" s="69"/>
      <c r="AE1126" s="69"/>
    </row>
    <row r="1127" spans="1:31" ht="22.5" customHeight="1">
      <c r="A1127" s="69"/>
      <c r="B1127" s="69"/>
      <c r="C1127" s="69"/>
      <c r="D1127" s="69"/>
      <c r="E1127" s="185"/>
      <c r="F1127" s="69"/>
      <c r="G1127" s="185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  <c r="Z1127" s="69"/>
      <c r="AA1127" s="69"/>
      <c r="AB1127" s="69"/>
      <c r="AC1127" s="69"/>
      <c r="AD1127" s="69"/>
      <c r="AE1127" s="69"/>
    </row>
    <row r="1128" spans="1:31" ht="22.5" customHeight="1">
      <c r="A1128" s="69"/>
      <c r="B1128" s="69"/>
      <c r="C1128" s="69"/>
      <c r="D1128" s="69"/>
      <c r="E1128" s="185"/>
      <c r="F1128" s="69"/>
      <c r="G1128" s="185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  <c r="AA1128" s="69"/>
      <c r="AB1128" s="69"/>
      <c r="AC1128" s="69"/>
      <c r="AD1128" s="69"/>
      <c r="AE1128" s="69"/>
    </row>
    <row r="1129" spans="1:31" ht="22.5" customHeight="1">
      <c r="A1129" s="69"/>
      <c r="B1129" s="69"/>
      <c r="C1129" s="69"/>
      <c r="D1129" s="69"/>
      <c r="E1129" s="185"/>
      <c r="F1129" s="69"/>
      <c r="G1129" s="185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69"/>
      <c r="T1129" s="69"/>
      <c r="U1129" s="69"/>
      <c r="V1129" s="69"/>
      <c r="W1129" s="69"/>
      <c r="X1129" s="69"/>
      <c r="Y1129" s="69"/>
      <c r="Z1129" s="69"/>
      <c r="AA1129" s="69"/>
      <c r="AB1129" s="69"/>
      <c r="AC1129" s="69"/>
      <c r="AD1129" s="69"/>
      <c r="AE1129" s="69"/>
    </row>
    <row r="1130" spans="1:31" ht="22.5" customHeight="1">
      <c r="A1130" s="69"/>
      <c r="B1130" s="69"/>
      <c r="C1130" s="69"/>
      <c r="D1130" s="69"/>
      <c r="E1130" s="185"/>
      <c r="F1130" s="69"/>
      <c r="G1130" s="185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  <c r="Z1130" s="69"/>
      <c r="AA1130" s="69"/>
      <c r="AB1130" s="69"/>
      <c r="AC1130" s="69"/>
      <c r="AD1130" s="69"/>
      <c r="AE1130" s="69"/>
    </row>
    <row r="1131" spans="1:31" ht="22.5" customHeight="1">
      <c r="A1131" s="69"/>
      <c r="B1131" s="69"/>
      <c r="C1131" s="69"/>
      <c r="D1131" s="69"/>
      <c r="E1131" s="185"/>
      <c r="F1131" s="69"/>
      <c r="G1131" s="185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/>
      <c r="X1131" s="69"/>
      <c r="Y1131" s="69"/>
      <c r="Z1131" s="69"/>
      <c r="AA1131" s="69"/>
      <c r="AB1131" s="69"/>
      <c r="AC1131" s="69"/>
      <c r="AD1131" s="69"/>
      <c r="AE1131" s="69"/>
    </row>
    <row r="1132" spans="1:31" ht="22.5" customHeight="1">
      <c r="A1132" s="69"/>
      <c r="B1132" s="69"/>
      <c r="C1132" s="69"/>
      <c r="D1132" s="69"/>
      <c r="E1132" s="185"/>
      <c r="F1132" s="69"/>
      <c r="G1132" s="185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  <c r="T1132" s="69"/>
      <c r="U1132" s="69"/>
      <c r="V1132" s="69"/>
      <c r="W1132" s="69"/>
      <c r="X1132" s="69"/>
      <c r="Y1132" s="69"/>
      <c r="Z1132" s="69"/>
      <c r="AA1132" s="69"/>
      <c r="AB1132" s="69"/>
      <c r="AC1132" s="69"/>
      <c r="AD1132" s="69"/>
      <c r="AE1132" s="69"/>
    </row>
    <row r="1133" spans="1:31" ht="22.5" customHeight="1">
      <c r="A1133" s="69"/>
      <c r="B1133" s="69"/>
      <c r="C1133" s="69"/>
      <c r="D1133" s="69"/>
      <c r="E1133" s="185"/>
      <c r="F1133" s="69"/>
      <c r="G1133" s="185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69"/>
      <c r="T1133" s="69"/>
      <c r="U1133" s="69"/>
      <c r="V1133" s="69"/>
      <c r="W1133" s="69"/>
      <c r="X1133" s="69"/>
      <c r="Y1133" s="69"/>
      <c r="Z1133" s="69"/>
      <c r="AA1133" s="69"/>
      <c r="AB1133" s="69"/>
      <c r="AC1133" s="69"/>
      <c r="AD1133" s="69"/>
      <c r="AE1133" s="69"/>
    </row>
    <row r="1134" spans="1:31" ht="22.5" customHeight="1">
      <c r="A1134" s="69"/>
      <c r="B1134" s="69"/>
      <c r="C1134" s="69"/>
      <c r="D1134" s="69"/>
      <c r="E1134" s="185"/>
      <c r="F1134" s="69"/>
      <c r="G1134" s="185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/>
      <c r="U1134" s="69"/>
      <c r="V1134" s="69"/>
      <c r="W1134" s="69"/>
      <c r="X1134" s="69"/>
      <c r="Y1134" s="69"/>
      <c r="Z1134" s="69"/>
      <c r="AA1134" s="69"/>
      <c r="AB1134" s="69"/>
      <c r="AC1134" s="69"/>
      <c r="AD1134" s="69"/>
      <c r="AE1134" s="69"/>
    </row>
    <row r="1135" spans="1:31" ht="22.5" customHeight="1">
      <c r="A1135" s="69"/>
      <c r="B1135" s="69"/>
      <c r="C1135" s="69"/>
      <c r="D1135" s="69"/>
      <c r="E1135" s="185"/>
      <c r="F1135" s="69"/>
      <c r="G1135" s="185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  <c r="AA1135" s="69"/>
      <c r="AB1135" s="69"/>
      <c r="AC1135" s="69"/>
      <c r="AD1135" s="69"/>
      <c r="AE1135" s="69"/>
    </row>
    <row r="1136" spans="1:31" ht="22.5" customHeight="1">
      <c r="A1136" s="69"/>
      <c r="B1136" s="69"/>
      <c r="C1136" s="69"/>
      <c r="D1136" s="69"/>
      <c r="E1136" s="185"/>
      <c r="F1136" s="69"/>
      <c r="G1136" s="185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  <c r="T1136" s="69"/>
      <c r="U1136" s="69"/>
      <c r="V1136" s="69"/>
      <c r="W1136" s="69"/>
      <c r="X1136" s="69"/>
      <c r="Y1136" s="69"/>
      <c r="Z1136" s="69"/>
      <c r="AA1136" s="69"/>
      <c r="AB1136" s="69"/>
      <c r="AC1136" s="69"/>
      <c r="AD1136" s="69"/>
      <c r="AE1136" s="69"/>
    </row>
    <row r="1137" spans="1:31" ht="22.5" customHeight="1">
      <c r="A1137" s="69"/>
      <c r="B1137" s="69"/>
      <c r="C1137" s="69"/>
      <c r="D1137" s="69"/>
      <c r="E1137" s="185"/>
      <c r="F1137" s="69"/>
      <c r="G1137" s="185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69"/>
      <c r="T1137" s="69"/>
      <c r="U1137" s="69"/>
      <c r="V1137" s="69"/>
      <c r="W1137" s="69"/>
      <c r="X1137" s="69"/>
      <c r="Y1137" s="69"/>
      <c r="Z1137" s="69"/>
      <c r="AA1137" s="69"/>
      <c r="AB1137" s="69"/>
      <c r="AC1137" s="69"/>
      <c r="AD1137" s="69"/>
      <c r="AE1137" s="69"/>
    </row>
    <row r="1138" spans="1:31" ht="22.5" customHeight="1">
      <c r="A1138" s="69"/>
      <c r="B1138" s="69"/>
      <c r="C1138" s="69"/>
      <c r="D1138" s="69"/>
      <c r="E1138" s="185"/>
      <c r="F1138" s="69"/>
      <c r="G1138" s="185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  <c r="T1138" s="69"/>
      <c r="U1138" s="69"/>
      <c r="V1138" s="69"/>
      <c r="W1138" s="69"/>
      <c r="X1138" s="69"/>
      <c r="Y1138" s="69"/>
      <c r="Z1138" s="69"/>
      <c r="AA1138" s="69"/>
      <c r="AB1138" s="69"/>
      <c r="AC1138" s="69"/>
      <c r="AD1138" s="69"/>
      <c r="AE1138" s="69"/>
    </row>
    <row r="1139" spans="1:31" ht="22.5" customHeight="1">
      <c r="A1139" s="69"/>
      <c r="B1139" s="69"/>
      <c r="C1139" s="69"/>
      <c r="D1139" s="69"/>
      <c r="E1139" s="185"/>
      <c r="F1139" s="69"/>
      <c r="G1139" s="185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  <c r="Z1139" s="69"/>
      <c r="AA1139" s="69"/>
      <c r="AB1139" s="69"/>
      <c r="AC1139" s="69"/>
      <c r="AD1139" s="69"/>
      <c r="AE1139" s="69"/>
    </row>
    <row r="1140" spans="1:31" ht="22.5" customHeight="1">
      <c r="A1140" s="69"/>
      <c r="B1140" s="69"/>
      <c r="C1140" s="69"/>
      <c r="D1140" s="69"/>
      <c r="E1140" s="185"/>
      <c r="F1140" s="69"/>
      <c r="G1140" s="185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  <c r="Z1140" s="69"/>
      <c r="AA1140" s="69"/>
      <c r="AB1140" s="69"/>
      <c r="AC1140" s="69"/>
      <c r="AD1140" s="69"/>
      <c r="AE1140" s="69"/>
    </row>
    <row r="1141" spans="1:31" ht="22.5" customHeight="1">
      <c r="A1141" s="69"/>
      <c r="B1141" s="69"/>
      <c r="C1141" s="69"/>
      <c r="D1141" s="69"/>
      <c r="E1141" s="185"/>
      <c r="F1141" s="69"/>
      <c r="G1141" s="185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  <c r="Z1141" s="69"/>
      <c r="AA1141" s="69"/>
      <c r="AB1141" s="69"/>
      <c r="AC1141" s="69"/>
      <c r="AD1141" s="69"/>
      <c r="AE1141" s="69"/>
    </row>
    <row r="1142" spans="1:31" ht="22.5" customHeight="1">
      <c r="A1142" s="69"/>
      <c r="B1142" s="69"/>
      <c r="C1142" s="69"/>
      <c r="D1142" s="69"/>
      <c r="E1142" s="185"/>
      <c r="F1142" s="69"/>
      <c r="G1142" s="185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  <c r="Z1142" s="69"/>
      <c r="AA1142" s="69"/>
      <c r="AB1142" s="69"/>
      <c r="AC1142" s="69"/>
      <c r="AD1142" s="69"/>
      <c r="AE1142" s="69"/>
    </row>
    <row r="1143" spans="1:31" ht="22.5" customHeight="1">
      <c r="A1143" s="69"/>
      <c r="B1143" s="69"/>
      <c r="C1143" s="69"/>
      <c r="D1143" s="69"/>
      <c r="E1143" s="185"/>
      <c r="F1143" s="69"/>
      <c r="G1143" s="185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  <c r="Z1143" s="69"/>
      <c r="AA1143" s="69"/>
      <c r="AB1143" s="69"/>
      <c r="AC1143" s="69"/>
      <c r="AD1143" s="69"/>
      <c r="AE1143" s="69"/>
    </row>
    <row r="1144" spans="1:31" ht="22.5" customHeight="1">
      <c r="A1144" s="69"/>
      <c r="B1144" s="69"/>
      <c r="C1144" s="69"/>
      <c r="D1144" s="69"/>
      <c r="E1144" s="185"/>
      <c r="F1144" s="69"/>
      <c r="G1144" s="185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U1144" s="69"/>
      <c r="V1144" s="69"/>
      <c r="W1144" s="69"/>
      <c r="X1144" s="69"/>
      <c r="Y1144" s="69"/>
      <c r="Z1144" s="69"/>
      <c r="AA1144" s="69"/>
      <c r="AB1144" s="69"/>
      <c r="AC1144" s="69"/>
      <c r="AD1144" s="69"/>
      <c r="AE1144" s="69"/>
    </row>
    <row r="1145" spans="1:31" ht="22.5" customHeight="1">
      <c r="A1145" s="69"/>
      <c r="B1145" s="69"/>
      <c r="C1145" s="69"/>
      <c r="D1145" s="69"/>
      <c r="E1145" s="185"/>
      <c r="F1145" s="69"/>
      <c r="G1145" s="185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69"/>
      <c r="T1145" s="69"/>
      <c r="U1145" s="69"/>
      <c r="V1145" s="69"/>
      <c r="W1145" s="69"/>
      <c r="X1145" s="69"/>
      <c r="Y1145" s="69"/>
      <c r="Z1145" s="69"/>
      <c r="AA1145" s="69"/>
      <c r="AB1145" s="69"/>
      <c r="AC1145" s="69"/>
      <c r="AD1145" s="69"/>
      <c r="AE1145" s="69"/>
    </row>
    <row r="1146" spans="1:31" ht="22.5" customHeight="1">
      <c r="A1146" s="69"/>
      <c r="B1146" s="69"/>
      <c r="C1146" s="69"/>
      <c r="D1146" s="69"/>
      <c r="E1146" s="185"/>
      <c r="F1146" s="69"/>
      <c r="G1146" s="185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  <c r="AA1146" s="69"/>
      <c r="AB1146" s="69"/>
      <c r="AC1146" s="69"/>
      <c r="AD1146" s="69"/>
      <c r="AE1146" s="69"/>
    </row>
    <row r="1147" spans="1:31" ht="22.5" customHeight="1">
      <c r="A1147" s="69"/>
      <c r="B1147" s="69"/>
      <c r="C1147" s="69"/>
      <c r="D1147" s="69"/>
      <c r="E1147" s="185"/>
      <c r="F1147" s="69"/>
      <c r="G1147" s="185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  <c r="T1147" s="69"/>
      <c r="U1147" s="69"/>
      <c r="V1147" s="69"/>
      <c r="W1147" s="69"/>
      <c r="X1147" s="69"/>
      <c r="Y1147" s="69"/>
      <c r="Z1147" s="69"/>
      <c r="AA1147" s="69"/>
      <c r="AB1147" s="69"/>
      <c r="AC1147" s="69"/>
      <c r="AD1147" s="69"/>
      <c r="AE1147" s="69"/>
    </row>
    <row r="1148" spans="1:31" ht="22.5" customHeight="1">
      <c r="A1148" s="69"/>
      <c r="B1148" s="69"/>
      <c r="C1148" s="69"/>
      <c r="D1148" s="69"/>
      <c r="E1148" s="185"/>
      <c r="F1148" s="69"/>
      <c r="G1148" s="185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  <c r="Z1148" s="69"/>
      <c r="AA1148" s="69"/>
      <c r="AB1148" s="69"/>
      <c r="AC1148" s="69"/>
      <c r="AD1148" s="69"/>
      <c r="AE1148" s="69"/>
    </row>
    <row r="1149" spans="1:31" ht="22.5" customHeight="1">
      <c r="A1149" s="69"/>
      <c r="B1149" s="69"/>
      <c r="C1149" s="69"/>
      <c r="D1149" s="69"/>
      <c r="E1149" s="185"/>
      <c r="F1149" s="69"/>
      <c r="G1149" s="185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  <c r="Z1149" s="69"/>
      <c r="AA1149" s="69"/>
      <c r="AB1149" s="69"/>
      <c r="AC1149" s="69"/>
      <c r="AD1149" s="69"/>
      <c r="AE1149" s="69"/>
    </row>
    <row r="1150" spans="1:31" ht="22.5" customHeight="1">
      <c r="A1150" s="69"/>
      <c r="B1150" s="69"/>
      <c r="C1150" s="69"/>
      <c r="D1150" s="69"/>
      <c r="E1150" s="185"/>
      <c r="F1150" s="69"/>
      <c r="G1150" s="185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  <c r="T1150" s="69"/>
      <c r="U1150" s="69"/>
      <c r="V1150" s="69"/>
      <c r="W1150" s="69"/>
      <c r="X1150" s="69"/>
      <c r="Y1150" s="69"/>
      <c r="Z1150" s="69"/>
      <c r="AA1150" s="69"/>
      <c r="AB1150" s="69"/>
      <c r="AC1150" s="69"/>
      <c r="AD1150" s="69"/>
      <c r="AE1150" s="69"/>
    </row>
    <row r="1151" spans="1:31" ht="22.5" customHeight="1">
      <c r="A1151" s="69"/>
      <c r="B1151" s="69"/>
      <c r="C1151" s="69"/>
      <c r="D1151" s="69"/>
      <c r="E1151" s="185"/>
      <c r="F1151" s="69"/>
      <c r="G1151" s="185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  <c r="Z1151" s="69"/>
      <c r="AA1151" s="69"/>
      <c r="AB1151" s="69"/>
      <c r="AC1151" s="69"/>
      <c r="AD1151" s="69"/>
      <c r="AE1151" s="69"/>
    </row>
    <row r="1152" spans="1:31" ht="22.5" customHeight="1">
      <c r="A1152" s="69"/>
      <c r="B1152" s="69"/>
      <c r="C1152" s="69"/>
      <c r="D1152" s="69"/>
      <c r="E1152" s="185"/>
      <c r="F1152" s="69"/>
      <c r="G1152" s="185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/>
      <c r="Z1152" s="69"/>
      <c r="AA1152" s="69"/>
      <c r="AB1152" s="69"/>
      <c r="AC1152" s="69"/>
      <c r="AD1152" s="69"/>
      <c r="AE1152" s="69"/>
    </row>
    <row r="1153" spans="1:31" ht="22.5" customHeight="1">
      <c r="A1153" s="69"/>
      <c r="B1153" s="69"/>
      <c r="C1153" s="69"/>
      <c r="D1153" s="69"/>
      <c r="E1153" s="185"/>
      <c r="F1153" s="69"/>
      <c r="G1153" s="185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  <c r="T1153" s="69"/>
      <c r="U1153" s="69"/>
      <c r="V1153" s="69"/>
      <c r="W1153" s="69"/>
      <c r="X1153" s="69"/>
      <c r="Y1153" s="69"/>
      <c r="Z1153" s="69"/>
      <c r="AA1153" s="69"/>
      <c r="AB1153" s="69"/>
      <c r="AC1153" s="69"/>
      <c r="AD1153" s="69"/>
      <c r="AE1153" s="69"/>
    </row>
    <row r="1154" spans="1:31" ht="22.5" customHeight="1">
      <c r="A1154" s="69"/>
      <c r="B1154" s="69"/>
      <c r="C1154" s="69"/>
      <c r="D1154" s="69"/>
      <c r="E1154" s="185"/>
      <c r="F1154" s="69"/>
      <c r="G1154" s="185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  <c r="Z1154" s="69"/>
      <c r="AA1154" s="69"/>
      <c r="AB1154" s="69"/>
      <c r="AC1154" s="69"/>
      <c r="AD1154" s="69"/>
      <c r="AE1154" s="69"/>
    </row>
    <row r="1155" spans="1:31" ht="22.5" customHeight="1">
      <c r="A1155" s="69"/>
      <c r="B1155" s="69"/>
      <c r="C1155" s="69"/>
      <c r="D1155" s="69"/>
      <c r="E1155" s="185"/>
      <c r="F1155" s="69"/>
      <c r="G1155" s="185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  <c r="T1155" s="69"/>
      <c r="U1155" s="69"/>
      <c r="V1155" s="69"/>
      <c r="W1155" s="69"/>
      <c r="X1155" s="69"/>
      <c r="Y1155" s="69"/>
      <c r="Z1155" s="69"/>
      <c r="AA1155" s="69"/>
      <c r="AB1155" s="69"/>
      <c r="AC1155" s="69"/>
      <c r="AD1155" s="69"/>
      <c r="AE1155" s="69"/>
    </row>
    <row r="1156" spans="1:31" ht="22.5" customHeight="1">
      <c r="A1156" s="69"/>
      <c r="B1156" s="69"/>
      <c r="C1156" s="69"/>
      <c r="D1156" s="69"/>
      <c r="E1156" s="185"/>
      <c r="F1156" s="69"/>
      <c r="G1156" s="185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  <c r="Z1156" s="69"/>
      <c r="AA1156" s="69"/>
      <c r="AB1156" s="69"/>
      <c r="AC1156" s="69"/>
      <c r="AD1156" s="69"/>
      <c r="AE1156" s="69"/>
    </row>
    <row r="1157" spans="1:31" ht="22.5" customHeight="1">
      <c r="A1157" s="69"/>
      <c r="B1157" s="69"/>
      <c r="C1157" s="69"/>
      <c r="D1157" s="69"/>
      <c r="E1157" s="185"/>
      <c r="F1157" s="69"/>
      <c r="G1157" s="185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/>
      <c r="Z1157" s="69"/>
      <c r="AA1157" s="69"/>
      <c r="AB1157" s="69"/>
      <c r="AC1157" s="69"/>
      <c r="AD1157" s="69"/>
      <c r="AE1157" s="69"/>
    </row>
    <row r="1158" spans="1:31" ht="22.5" customHeight="1">
      <c r="A1158" s="69"/>
      <c r="B1158" s="69"/>
      <c r="C1158" s="69"/>
      <c r="D1158" s="69"/>
      <c r="E1158" s="185"/>
      <c r="F1158" s="69"/>
      <c r="G1158" s="185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  <c r="Z1158" s="69"/>
      <c r="AA1158" s="69"/>
      <c r="AB1158" s="69"/>
      <c r="AC1158" s="69"/>
      <c r="AD1158" s="69"/>
      <c r="AE1158" s="69"/>
    </row>
    <row r="1159" spans="1:31" ht="22.5" customHeight="1">
      <c r="A1159" s="69"/>
      <c r="B1159" s="69"/>
      <c r="C1159" s="69"/>
      <c r="D1159" s="69"/>
      <c r="E1159" s="185"/>
      <c r="F1159" s="69"/>
      <c r="G1159" s="185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69"/>
      <c r="T1159" s="69"/>
      <c r="U1159" s="69"/>
      <c r="V1159" s="69"/>
      <c r="W1159" s="69"/>
      <c r="X1159" s="69"/>
      <c r="Y1159" s="69"/>
      <c r="Z1159" s="69"/>
      <c r="AA1159" s="69"/>
      <c r="AB1159" s="69"/>
      <c r="AC1159" s="69"/>
      <c r="AD1159" s="69"/>
      <c r="AE1159" s="69"/>
    </row>
    <row r="1160" spans="1:31" ht="22.5" customHeight="1">
      <c r="A1160" s="69"/>
      <c r="B1160" s="69"/>
      <c r="C1160" s="69"/>
      <c r="D1160" s="69"/>
      <c r="E1160" s="185"/>
      <c r="F1160" s="69"/>
      <c r="G1160" s="185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  <c r="T1160" s="69"/>
      <c r="U1160" s="69"/>
      <c r="V1160" s="69"/>
      <c r="W1160" s="69"/>
      <c r="X1160" s="69"/>
      <c r="Y1160" s="69"/>
      <c r="Z1160" s="69"/>
      <c r="AA1160" s="69"/>
      <c r="AB1160" s="69"/>
      <c r="AC1160" s="69"/>
      <c r="AD1160" s="69"/>
      <c r="AE1160" s="69"/>
    </row>
    <row r="1161" spans="1:31" ht="22.5" customHeight="1">
      <c r="A1161" s="69"/>
      <c r="B1161" s="69"/>
      <c r="C1161" s="69"/>
      <c r="D1161" s="69"/>
      <c r="E1161" s="185"/>
      <c r="F1161" s="69"/>
      <c r="G1161" s="185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  <c r="Z1161" s="69"/>
      <c r="AA1161" s="69"/>
      <c r="AB1161" s="69"/>
      <c r="AC1161" s="69"/>
      <c r="AD1161" s="69"/>
      <c r="AE1161" s="69"/>
    </row>
    <row r="1162" spans="1:31" ht="22.5" customHeight="1">
      <c r="A1162" s="69"/>
      <c r="B1162" s="69"/>
      <c r="C1162" s="69"/>
      <c r="D1162" s="69"/>
      <c r="E1162" s="185"/>
      <c r="F1162" s="69"/>
      <c r="G1162" s="185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  <c r="Z1162" s="69"/>
      <c r="AA1162" s="69"/>
      <c r="AB1162" s="69"/>
      <c r="AC1162" s="69"/>
      <c r="AD1162" s="69"/>
      <c r="AE1162" s="69"/>
    </row>
    <row r="1163" spans="1:31" ht="22.5" customHeight="1">
      <c r="A1163" s="69"/>
      <c r="B1163" s="69"/>
      <c r="C1163" s="69"/>
      <c r="D1163" s="69"/>
      <c r="E1163" s="185"/>
      <c r="F1163" s="69"/>
      <c r="G1163" s="185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  <c r="AA1163" s="69"/>
      <c r="AB1163" s="69"/>
      <c r="AC1163" s="69"/>
      <c r="AD1163" s="69"/>
      <c r="AE1163" s="69"/>
    </row>
    <row r="1164" spans="1:31" ht="22.5" customHeight="1">
      <c r="A1164" s="69"/>
      <c r="B1164" s="69"/>
      <c r="C1164" s="69"/>
      <c r="D1164" s="69"/>
      <c r="E1164" s="185"/>
      <c r="F1164" s="69"/>
      <c r="G1164" s="185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  <c r="Z1164" s="69"/>
      <c r="AA1164" s="69"/>
      <c r="AB1164" s="69"/>
      <c r="AC1164" s="69"/>
      <c r="AD1164" s="69"/>
      <c r="AE1164" s="69"/>
    </row>
    <row r="1165" spans="1:31" ht="22.5" customHeight="1">
      <c r="A1165" s="69"/>
      <c r="B1165" s="69"/>
      <c r="C1165" s="69"/>
      <c r="D1165" s="69"/>
      <c r="E1165" s="185"/>
      <c r="F1165" s="69"/>
      <c r="G1165" s="185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  <c r="Z1165" s="69"/>
      <c r="AA1165" s="69"/>
      <c r="AB1165" s="69"/>
      <c r="AC1165" s="69"/>
      <c r="AD1165" s="69"/>
      <c r="AE1165" s="69"/>
    </row>
    <row r="1166" spans="1:31" ht="22.5" customHeight="1">
      <c r="A1166" s="69"/>
      <c r="B1166" s="69"/>
      <c r="C1166" s="69"/>
      <c r="D1166" s="69"/>
      <c r="E1166" s="185"/>
      <c r="F1166" s="69"/>
      <c r="G1166" s="185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69"/>
      <c r="X1166" s="69"/>
      <c r="Y1166" s="69"/>
      <c r="Z1166" s="69"/>
      <c r="AA1166" s="69"/>
      <c r="AB1166" s="69"/>
      <c r="AC1166" s="69"/>
      <c r="AD1166" s="69"/>
      <c r="AE1166" s="69"/>
    </row>
    <row r="1167" spans="1:31" ht="22.5" customHeight="1">
      <c r="A1167" s="69"/>
      <c r="B1167" s="69"/>
      <c r="C1167" s="69"/>
      <c r="D1167" s="69"/>
      <c r="E1167" s="185"/>
      <c r="F1167" s="69"/>
      <c r="G1167" s="185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  <c r="T1167" s="69"/>
      <c r="U1167" s="69"/>
      <c r="V1167" s="69"/>
      <c r="W1167" s="69"/>
      <c r="X1167" s="69"/>
      <c r="Y1167" s="69"/>
      <c r="Z1167" s="69"/>
      <c r="AA1167" s="69"/>
      <c r="AB1167" s="69"/>
      <c r="AC1167" s="69"/>
      <c r="AD1167" s="69"/>
      <c r="AE1167" s="69"/>
    </row>
    <row r="1168" spans="1:31" ht="22.5" customHeight="1">
      <c r="A1168" s="69"/>
      <c r="B1168" s="69"/>
      <c r="C1168" s="69"/>
      <c r="D1168" s="69"/>
      <c r="E1168" s="185"/>
      <c r="F1168" s="69"/>
      <c r="G1168" s="185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  <c r="T1168" s="69"/>
      <c r="U1168" s="69"/>
      <c r="V1168" s="69"/>
      <c r="W1168" s="69"/>
      <c r="X1168" s="69"/>
      <c r="Y1168" s="69"/>
      <c r="Z1168" s="69"/>
      <c r="AA1168" s="69"/>
      <c r="AB1168" s="69"/>
      <c r="AC1168" s="69"/>
      <c r="AD1168" s="69"/>
      <c r="AE1168" s="69"/>
    </row>
    <row r="1169" spans="1:31" ht="22.5" customHeight="1">
      <c r="A1169" s="69"/>
      <c r="B1169" s="69"/>
      <c r="C1169" s="69"/>
      <c r="D1169" s="69"/>
      <c r="E1169" s="185"/>
      <c r="F1169" s="69"/>
      <c r="G1169" s="185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  <c r="T1169" s="69"/>
      <c r="U1169" s="69"/>
      <c r="V1169" s="69"/>
      <c r="W1169" s="69"/>
      <c r="X1169" s="69"/>
      <c r="Y1169" s="69"/>
      <c r="Z1169" s="69"/>
      <c r="AA1169" s="69"/>
      <c r="AB1169" s="69"/>
      <c r="AC1169" s="69"/>
      <c r="AD1169" s="69"/>
      <c r="AE1169" s="69"/>
    </row>
    <row r="1170" spans="1:31" ht="22.5" customHeight="1">
      <c r="A1170" s="69"/>
      <c r="B1170" s="69"/>
      <c r="C1170" s="69"/>
      <c r="D1170" s="69"/>
      <c r="E1170" s="185"/>
      <c r="F1170" s="69"/>
      <c r="G1170" s="185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  <c r="T1170" s="69"/>
      <c r="U1170" s="69"/>
      <c r="V1170" s="69"/>
      <c r="W1170" s="69"/>
      <c r="X1170" s="69"/>
      <c r="Y1170" s="69"/>
      <c r="Z1170" s="69"/>
      <c r="AA1170" s="69"/>
      <c r="AB1170" s="69"/>
      <c r="AC1170" s="69"/>
      <c r="AD1170" s="69"/>
      <c r="AE1170" s="69"/>
    </row>
    <row r="1171" spans="1:31" ht="22.5" customHeight="1">
      <c r="A1171" s="69"/>
      <c r="B1171" s="69"/>
      <c r="C1171" s="69"/>
      <c r="D1171" s="69"/>
      <c r="E1171" s="185"/>
      <c r="F1171" s="69"/>
      <c r="G1171" s="185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  <c r="Z1171" s="69"/>
      <c r="AA1171" s="69"/>
      <c r="AB1171" s="69"/>
      <c r="AC1171" s="69"/>
      <c r="AD1171" s="69"/>
      <c r="AE1171" s="69"/>
    </row>
    <row r="1172" spans="1:31" ht="22.5" customHeight="1">
      <c r="A1172" s="69"/>
      <c r="B1172" s="69"/>
      <c r="C1172" s="69"/>
      <c r="D1172" s="69"/>
      <c r="E1172" s="185"/>
      <c r="F1172" s="69"/>
      <c r="G1172" s="185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69"/>
      <c r="U1172" s="69"/>
      <c r="V1172" s="69"/>
      <c r="W1172" s="69"/>
      <c r="X1172" s="69"/>
      <c r="Y1172" s="69"/>
      <c r="Z1172" s="69"/>
      <c r="AA1172" s="69"/>
      <c r="AB1172" s="69"/>
      <c r="AC1172" s="69"/>
      <c r="AD1172" s="69"/>
      <c r="AE1172" s="69"/>
    </row>
    <row r="1173" spans="1:31" ht="22.5" customHeight="1">
      <c r="A1173" s="69"/>
      <c r="B1173" s="69"/>
      <c r="C1173" s="69"/>
      <c r="D1173" s="69"/>
      <c r="E1173" s="185"/>
      <c r="F1173" s="69"/>
      <c r="G1173" s="185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  <c r="Z1173" s="69"/>
      <c r="AA1173" s="69"/>
      <c r="AB1173" s="69"/>
      <c r="AC1173" s="69"/>
      <c r="AD1173" s="69"/>
      <c r="AE1173" s="69"/>
    </row>
    <row r="1174" spans="1:31" ht="22.5" customHeight="1">
      <c r="A1174" s="69"/>
      <c r="B1174" s="69"/>
      <c r="C1174" s="69"/>
      <c r="D1174" s="69"/>
      <c r="E1174" s="185"/>
      <c r="F1174" s="69"/>
      <c r="G1174" s="185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  <c r="Z1174" s="69"/>
      <c r="AA1174" s="69"/>
      <c r="AB1174" s="69"/>
      <c r="AC1174" s="69"/>
      <c r="AD1174" s="69"/>
      <c r="AE1174" s="69"/>
    </row>
    <row r="1175" spans="1:31" ht="22.5" customHeight="1">
      <c r="A1175" s="69"/>
      <c r="B1175" s="69"/>
      <c r="C1175" s="69"/>
      <c r="D1175" s="69"/>
      <c r="E1175" s="185"/>
      <c r="F1175" s="69"/>
      <c r="G1175" s="185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  <c r="Z1175" s="69"/>
      <c r="AA1175" s="69"/>
      <c r="AB1175" s="69"/>
      <c r="AC1175" s="69"/>
      <c r="AD1175" s="69"/>
      <c r="AE1175" s="69"/>
    </row>
    <row r="1176" spans="1:31" ht="22.5" customHeight="1">
      <c r="A1176" s="69"/>
      <c r="B1176" s="69"/>
      <c r="C1176" s="69"/>
      <c r="D1176" s="69"/>
      <c r="E1176" s="185"/>
      <c r="F1176" s="69"/>
      <c r="G1176" s="185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  <c r="Z1176" s="69"/>
      <c r="AA1176" s="69"/>
      <c r="AB1176" s="69"/>
      <c r="AC1176" s="69"/>
      <c r="AD1176" s="69"/>
      <c r="AE1176" s="69"/>
    </row>
    <row r="1177" spans="1:31" ht="22.5" customHeight="1">
      <c r="A1177" s="69"/>
      <c r="B1177" s="69"/>
      <c r="C1177" s="69"/>
      <c r="D1177" s="69"/>
      <c r="E1177" s="185"/>
      <c r="F1177" s="69"/>
      <c r="G1177" s="185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  <c r="V1177" s="69"/>
      <c r="W1177" s="69"/>
      <c r="X1177" s="69"/>
      <c r="Y1177" s="69"/>
      <c r="Z1177" s="69"/>
      <c r="AA1177" s="69"/>
      <c r="AB1177" s="69"/>
      <c r="AC1177" s="69"/>
      <c r="AD1177" s="69"/>
      <c r="AE1177" s="69"/>
    </row>
    <row r="1178" spans="1:31" ht="22.5" customHeight="1">
      <c r="A1178" s="69"/>
      <c r="B1178" s="69"/>
      <c r="C1178" s="69"/>
      <c r="D1178" s="69"/>
      <c r="E1178" s="185"/>
      <c r="F1178" s="69"/>
      <c r="G1178" s="185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  <c r="Z1178" s="69"/>
      <c r="AA1178" s="69"/>
      <c r="AB1178" s="69"/>
      <c r="AC1178" s="69"/>
      <c r="AD1178" s="69"/>
      <c r="AE1178" s="69"/>
    </row>
    <row r="1179" spans="1:31" ht="22.5" customHeight="1">
      <c r="A1179" s="69"/>
      <c r="B1179" s="69"/>
      <c r="C1179" s="69"/>
      <c r="D1179" s="69"/>
      <c r="E1179" s="185"/>
      <c r="F1179" s="69"/>
      <c r="G1179" s="185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69"/>
      <c r="T1179" s="69"/>
      <c r="U1179" s="69"/>
      <c r="V1179" s="69"/>
      <c r="W1179" s="69"/>
      <c r="X1179" s="69"/>
      <c r="Y1179" s="69"/>
      <c r="Z1179" s="69"/>
      <c r="AA1179" s="69"/>
      <c r="AB1179" s="69"/>
      <c r="AC1179" s="69"/>
      <c r="AD1179" s="69"/>
      <c r="AE1179" s="69"/>
    </row>
    <row r="1180" spans="1:31" ht="22.5" customHeight="1">
      <c r="A1180" s="69"/>
      <c r="B1180" s="69"/>
      <c r="C1180" s="69"/>
      <c r="D1180" s="69"/>
      <c r="E1180" s="185"/>
      <c r="F1180" s="69"/>
      <c r="G1180" s="185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  <c r="Z1180" s="69"/>
      <c r="AA1180" s="69"/>
      <c r="AB1180" s="69"/>
      <c r="AC1180" s="69"/>
      <c r="AD1180" s="69"/>
      <c r="AE1180" s="69"/>
    </row>
    <row r="1181" spans="1:31" ht="22.5" customHeight="1">
      <c r="A1181" s="69"/>
      <c r="B1181" s="69"/>
      <c r="C1181" s="69"/>
      <c r="D1181" s="69"/>
      <c r="E1181" s="185"/>
      <c r="F1181" s="69"/>
      <c r="G1181" s="185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  <c r="Z1181" s="69"/>
      <c r="AA1181" s="69"/>
      <c r="AB1181" s="69"/>
      <c r="AC1181" s="69"/>
      <c r="AD1181" s="69"/>
      <c r="AE1181" s="69"/>
    </row>
    <row r="1182" spans="1:31" ht="22.5" customHeight="1">
      <c r="A1182" s="69"/>
      <c r="B1182" s="69"/>
      <c r="C1182" s="69"/>
      <c r="D1182" s="69"/>
      <c r="E1182" s="185"/>
      <c r="F1182" s="69"/>
      <c r="G1182" s="185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U1182" s="69"/>
      <c r="V1182" s="69"/>
      <c r="W1182" s="69"/>
      <c r="X1182" s="69"/>
      <c r="Y1182" s="69"/>
      <c r="Z1182" s="69"/>
      <c r="AA1182" s="69"/>
      <c r="AB1182" s="69"/>
      <c r="AC1182" s="69"/>
      <c r="AD1182" s="69"/>
      <c r="AE1182" s="69"/>
    </row>
    <row r="1183" spans="1:31" ht="22.5" customHeight="1">
      <c r="A1183" s="69"/>
      <c r="B1183" s="69"/>
      <c r="C1183" s="69"/>
      <c r="D1183" s="69"/>
      <c r="E1183" s="185"/>
      <c r="F1183" s="69"/>
      <c r="G1183" s="185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  <c r="Z1183" s="69"/>
      <c r="AA1183" s="69"/>
      <c r="AB1183" s="69"/>
      <c r="AC1183" s="69"/>
      <c r="AD1183" s="69"/>
      <c r="AE1183" s="69"/>
    </row>
    <row r="1184" spans="1:31" ht="22.5" customHeight="1">
      <c r="A1184" s="69"/>
      <c r="B1184" s="69"/>
      <c r="C1184" s="69"/>
      <c r="D1184" s="69"/>
      <c r="E1184" s="185"/>
      <c r="F1184" s="69"/>
      <c r="G1184" s="185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69"/>
      <c r="X1184" s="69"/>
      <c r="Y1184" s="69"/>
      <c r="Z1184" s="69"/>
      <c r="AA1184" s="69"/>
      <c r="AB1184" s="69"/>
      <c r="AC1184" s="69"/>
      <c r="AD1184" s="69"/>
      <c r="AE1184" s="69"/>
    </row>
    <row r="1185" spans="1:31" ht="22.5" customHeight="1">
      <c r="A1185" s="69"/>
      <c r="B1185" s="69"/>
      <c r="C1185" s="69"/>
      <c r="D1185" s="69"/>
      <c r="E1185" s="185"/>
      <c r="F1185" s="69"/>
      <c r="G1185" s="185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/>
      <c r="Z1185" s="69"/>
      <c r="AA1185" s="69"/>
      <c r="AB1185" s="69"/>
      <c r="AC1185" s="69"/>
      <c r="AD1185" s="69"/>
      <c r="AE1185" s="69"/>
    </row>
    <row r="1186" spans="1:31" ht="22.5" customHeight="1">
      <c r="A1186" s="69"/>
      <c r="B1186" s="69"/>
      <c r="C1186" s="69"/>
      <c r="D1186" s="69"/>
      <c r="E1186" s="185"/>
      <c r="F1186" s="69"/>
      <c r="G1186" s="185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  <c r="T1186" s="69"/>
      <c r="U1186" s="69"/>
      <c r="V1186" s="69"/>
      <c r="W1186" s="69"/>
      <c r="X1186" s="69"/>
      <c r="Y1186" s="69"/>
      <c r="Z1186" s="69"/>
      <c r="AA1186" s="69"/>
      <c r="AB1186" s="69"/>
      <c r="AC1186" s="69"/>
      <c r="AD1186" s="69"/>
      <c r="AE1186" s="69"/>
    </row>
    <row r="1187" spans="1:31" ht="22.5" customHeight="1">
      <c r="A1187" s="69"/>
      <c r="B1187" s="69"/>
      <c r="C1187" s="69"/>
      <c r="D1187" s="69"/>
      <c r="E1187" s="185"/>
      <c r="F1187" s="69"/>
      <c r="G1187" s="185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/>
      <c r="T1187" s="69"/>
      <c r="U1187" s="69"/>
      <c r="V1187" s="69"/>
      <c r="W1187" s="69"/>
      <c r="X1187" s="69"/>
      <c r="Y1187" s="69"/>
      <c r="Z1187" s="69"/>
      <c r="AA1187" s="69"/>
      <c r="AB1187" s="69"/>
      <c r="AC1187" s="69"/>
      <c r="AD1187" s="69"/>
      <c r="AE1187" s="69"/>
    </row>
    <row r="1188" spans="1:31" ht="22.5" customHeight="1">
      <c r="A1188" s="69"/>
      <c r="B1188" s="69"/>
      <c r="C1188" s="69"/>
      <c r="D1188" s="69"/>
      <c r="E1188" s="185"/>
      <c r="F1188" s="69"/>
      <c r="G1188" s="185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  <c r="T1188" s="69"/>
      <c r="U1188" s="69"/>
      <c r="V1188" s="69"/>
      <c r="W1188" s="69"/>
      <c r="X1188" s="69"/>
      <c r="Y1188" s="69"/>
      <c r="Z1188" s="69"/>
      <c r="AA1188" s="69"/>
      <c r="AB1188" s="69"/>
      <c r="AC1188" s="69"/>
      <c r="AD1188" s="69"/>
      <c r="AE1188" s="69"/>
    </row>
    <row r="1189" spans="1:31" ht="22.5" customHeight="1">
      <c r="A1189" s="69"/>
      <c r="B1189" s="69"/>
      <c r="C1189" s="69"/>
      <c r="D1189" s="69"/>
      <c r="E1189" s="185"/>
      <c r="F1189" s="69"/>
      <c r="G1189" s="185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  <c r="Z1189" s="69"/>
      <c r="AA1189" s="69"/>
      <c r="AB1189" s="69"/>
      <c r="AC1189" s="69"/>
      <c r="AD1189" s="69"/>
      <c r="AE1189" s="69"/>
    </row>
    <row r="1190" spans="1:31" ht="22.5" customHeight="1">
      <c r="A1190" s="69"/>
      <c r="B1190" s="69"/>
      <c r="C1190" s="69"/>
      <c r="D1190" s="69"/>
      <c r="E1190" s="185"/>
      <c r="F1190" s="69"/>
      <c r="G1190" s="185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  <c r="Z1190" s="69"/>
      <c r="AA1190" s="69"/>
      <c r="AB1190" s="69"/>
      <c r="AC1190" s="69"/>
      <c r="AD1190" s="69"/>
      <c r="AE1190" s="69"/>
    </row>
    <row r="1191" spans="1:31" ht="22.5" customHeight="1">
      <c r="A1191" s="69"/>
      <c r="B1191" s="69"/>
      <c r="C1191" s="69"/>
      <c r="D1191" s="69"/>
      <c r="E1191" s="185"/>
      <c r="F1191" s="69"/>
      <c r="G1191" s="185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  <c r="T1191" s="69"/>
      <c r="U1191" s="69"/>
      <c r="V1191" s="69"/>
      <c r="W1191" s="69"/>
      <c r="X1191" s="69"/>
      <c r="Y1191" s="69"/>
      <c r="Z1191" s="69"/>
      <c r="AA1191" s="69"/>
      <c r="AB1191" s="69"/>
      <c r="AC1191" s="69"/>
      <c r="AD1191" s="69"/>
      <c r="AE1191" s="69"/>
    </row>
    <row r="1192" spans="1:31" ht="22.5" customHeight="1">
      <c r="A1192" s="69"/>
      <c r="B1192" s="69"/>
      <c r="C1192" s="69"/>
      <c r="D1192" s="69"/>
      <c r="E1192" s="185"/>
      <c r="F1192" s="69"/>
      <c r="G1192" s="185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/>
      <c r="Y1192" s="69"/>
      <c r="Z1192" s="69"/>
      <c r="AA1192" s="69"/>
      <c r="AB1192" s="69"/>
      <c r="AC1192" s="69"/>
      <c r="AD1192" s="69"/>
      <c r="AE1192" s="69"/>
    </row>
    <row r="1193" spans="1:31" ht="22.5" customHeight="1">
      <c r="A1193" s="69"/>
      <c r="B1193" s="69"/>
      <c r="C1193" s="69"/>
      <c r="D1193" s="69"/>
      <c r="E1193" s="185"/>
      <c r="F1193" s="69"/>
      <c r="G1193" s="185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69"/>
      <c r="T1193" s="69"/>
      <c r="U1193" s="69"/>
      <c r="V1193" s="69"/>
      <c r="W1193" s="69"/>
      <c r="X1193" s="69"/>
      <c r="Y1193" s="69"/>
      <c r="Z1193" s="69"/>
      <c r="AA1193" s="69"/>
      <c r="AB1193" s="69"/>
      <c r="AC1193" s="69"/>
      <c r="AD1193" s="69"/>
      <c r="AE1193" s="69"/>
    </row>
    <row r="1194" spans="1:31" ht="22.5" customHeight="1">
      <c r="A1194" s="69"/>
      <c r="B1194" s="69"/>
      <c r="C1194" s="69"/>
      <c r="D1194" s="69"/>
      <c r="E1194" s="185"/>
      <c r="F1194" s="69"/>
      <c r="G1194" s="185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  <c r="Z1194" s="69"/>
      <c r="AA1194" s="69"/>
      <c r="AB1194" s="69"/>
      <c r="AC1194" s="69"/>
      <c r="AD1194" s="69"/>
      <c r="AE1194" s="69"/>
    </row>
    <row r="1195" spans="1:31" ht="22.5" customHeight="1">
      <c r="A1195" s="69"/>
      <c r="B1195" s="69"/>
      <c r="C1195" s="69"/>
      <c r="D1195" s="69"/>
      <c r="E1195" s="185"/>
      <c r="F1195" s="69"/>
      <c r="G1195" s="185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/>
      <c r="AA1195" s="69"/>
      <c r="AB1195" s="69"/>
      <c r="AC1195" s="69"/>
      <c r="AD1195" s="69"/>
      <c r="AE1195" s="69"/>
    </row>
    <row r="1196" spans="1:31" ht="22.5" customHeight="1">
      <c r="A1196" s="69"/>
      <c r="B1196" s="69"/>
      <c r="C1196" s="69"/>
      <c r="D1196" s="69"/>
      <c r="E1196" s="185"/>
      <c r="F1196" s="69"/>
      <c r="G1196" s="185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  <c r="T1196" s="69"/>
      <c r="U1196" s="69"/>
      <c r="V1196" s="69"/>
      <c r="W1196" s="69"/>
      <c r="X1196" s="69"/>
      <c r="Y1196" s="69"/>
      <c r="Z1196" s="69"/>
      <c r="AA1196" s="69"/>
      <c r="AB1196" s="69"/>
      <c r="AC1196" s="69"/>
      <c r="AD1196" s="69"/>
      <c r="AE1196" s="69"/>
    </row>
    <row r="1197" spans="1:31" ht="22.5" customHeight="1">
      <c r="A1197" s="69"/>
      <c r="B1197" s="69"/>
      <c r="C1197" s="69"/>
      <c r="D1197" s="69"/>
      <c r="E1197" s="185"/>
      <c r="F1197" s="69"/>
      <c r="G1197" s="185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69"/>
      <c r="T1197" s="69"/>
      <c r="U1197" s="69"/>
      <c r="V1197" s="69"/>
      <c r="W1197" s="69"/>
      <c r="X1197" s="69"/>
      <c r="Y1197" s="69"/>
      <c r="Z1197" s="69"/>
      <c r="AA1197" s="69"/>
      <c r="AB1197" s="69"/>
      <c r="AC1197" s="69"/>
      <c r="AD1197" s="69"/>
      <c r="AE1197" s="69"/>
    </row>
    <row r="1198" spans="1:31" ht="22.5" customHeight="1">
      <c r="A1198" s="69"/>
      <c r="B1198" s="69"/>
      <c r="C1198" s="69"/>
      <c r="D1198" s="69"/>
      <c r="E1198" s="185"/>
      <c r="F1198" s="69"/>
      <c r="G1198" s="185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  <c r="T1198" s="69"/>
      <c r="U1198" s="69"/>
      <c r="V1198" s="69"/>
      <c r="W1198" s="69"/>
      <c r="X1198" s="69"/>
      <c r="Y1198" s="69"/>
      <c r="Z1198" s="69"/>
      <c r="AA1198" s="69"/>
      <c r="AB1198" s="69"/>
      <c r="AC1198" s="69"/>
      <c r="AD1198" s="69"/>
      <c r="AE1198" s="69"/>
    </row>
    <row r="1199" spans="1:31" ht="22.5" customHeight="1">
      <c r="A1199" s="69"/>
      <c r="B1199" s="69"/>
      <c r="C1199" s="69"/>
      <c r="D1199" s="69"/>
      <c r="E1199" s="185"/>
      <c r="F1199" s="69"/>
      <c r="G1199" s="185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69"/>
      <c r="T1199" s="69"/>
      <c r="U1199" s="69"/>
      <c r="V1199" s="69"/>
      <c r="W1199" s="69"/>
      <c r="X1199" s="69"/>
      <c r="Y1199" s="69"/>
      <c r="Z1199" s="69"/>
      <c r="AA1199" s="69"/>
      <c r="AB1199" s="69"/>
      <c r="AC1199" s="69"/>
      <c r="AD1199" s="69"/>
      <c r="AE1199" s="69"/>
    </row>
    <row r="1200" spans="1:31" ht="22.5" customHeight="1">
      <c r="A1200" s="69"/>
      <c r="B1200" s="69"/>
      <c r="C1200" s="69"/>
      <c r="D1200" s="69"/>
      <c r="E1200" s="185"/>
      <c r="F1200" s="69"/>
      <c r="G1200" s="185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  <c r="Z1200" s="69"/>
      <c r="AA1200" s="69"/>
      <c r="AB1200" s="69"/>
      <c r="AC1200" s="69"/>
      <c r="AD1200" s="69"/>
      <c r="AE1200" s="69"/>
    </row>
    <row r="1201" spans="1:31" ht="22.5" customHeight="1">
      <c r="A1201" s="69"/>
      <c r="B1201" s="69"/>
      <c r="C1201" s="69"/>
      <c r="D1201" s="69"/>
      <c r="E1201" s="185"/>
      <c r="F1201" s="69"/>
      <c r="G1201" s="185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  <c r="Z1201" s="69"/>
      <c r="AA1201" s="69"/>
      <c r="AB1201" s="69"/>
      <c r="AC1201" s="69"/>
      <c r="AD1201" s="69"/>
      <c r="AE1201" s="69"/>
    </row>
    <row r="1202" spans="1:31" ht="22.5" customHeight="1">
      <c r="A1202" s="69"/>
      <c r="B1202" s="69"/>
      <c r="C1202" s="69"/>
      <c r="D1202" s="69"/>
      <c r="E1202" s="185"/>
      <c r="F1202" s="69"/>
      <c r="G1202" s="185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69"/>
      <c r="X1202" s="69"/>
      <c r="Y1202" s="69"/>
      <c r="Z1202" s="69"/>
      <c r="AA1202" s="69"/>
      <c r="AB1202" s="69"/>
      <c r="AC1202" s="69"/>
      <c r="AD1202" s="69"/>
      <c r="AE1202" s="69"/>
    </row>
    <row r="1203" spans="1:31" ht="22.5" customHeight="1">
      <c r="A1203" s="69"/>
      <c r="B1203" s="69"/>
      <c r="C1203" s="69"/>
      <c r="D1203" s="69"/>
      <c r="E1203" s="185"/>
      <c r="F1203" s="69"/>
      <c r="G1203" s="185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  <c r="AA1203" s="69"/>
      <c r="AB1203" s="69"/>
      <c r="AC1203" s="69"/>
      <c r="AD1203" s="69"/>
      <c r="AE1203" s="69"/>
    </row>
    <row r="1204" spans="1:31" ht="22.5" customHeight="1">
      <c r="A1204" s="69"/>
      <c r="B1204" s="69"/>
      <c r="C1204" s="69"/>
      <c r="D1204" s="69"/>
      <c r="E1204" s="185"/>
      <c r="F1204" s="69"/>
      <c r="G1204" s="185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  <c r="T1204" s="69"/>
      <c r="U1204" s="69"/>
      <c r="V1204" s="69"/>
      <c r="W1204" s="69"/>
      <c r="X1204" s="69"/>
      <c r="Y1204" s="69"/>
      <c r="Z1204" s="69"/>
      <c r="AA1204" s="69"/>
      <c r="AB1204" s="69"/>
      <c r="AC1204" s="69"/>
      <c r="AD1204" s="69"/>
      <c r="AE1204" s="69"/>
    </row>
    <row r="1205" spans="1:31" ht="22.5" customHeight="1">
      <c r="A1205" s="69"/>
      <c r="B1205" s="69"/>
      <c r="C1205" s="69"/>
      <c r="D1205" s="69"/>
      <c r="E1205" s="185"/>
      <c r="F1205" s="69"/>
      <c r="G1205" s="185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69"/>
      <c r="T1205" s="69"/>
      <c r="U1205" s="69"/>
      <c r="V1205" s="69"/>
      <c r="W1205" s="69"/>
      <c r="X1205" s="69"/>
      <c r="Y1205" s="69"/>
      <c r="Z1205" s="69"/>
      <c r="AA1205" s="69"/>
      <c r="AB1205" s="69"/>
      <c r="AC1205" s="69"/>
      <c r="AD1205" s="69"/>
      <c r="AE1205" s="69"/>
    </row>
    <row r="1206" spans="1:31" ht="22.5" customHeight="1">
      <c r="A1206" s="69"/>
      <c r="B1206" s="69"/>
      <c r="C1206" s="69"/>
      <c r="D1206" s="69"/>
      <c r="E1206" s="185"/>
      <c r="F1206" s="69"/>
      <c r="G1206" s="185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  <c r="Z1206" s="69"/>
      <c r="AA1206" s="69"/>
      <c r="AB1206" s="69"/>
      <c r="AC1206" s="69"/>
      <c r="AD1206" s="69"/>
      <c r="AE1206" s="69"/>
    </row>
    <row r="1207" spans="1:31" ht="22.5" customHeight="1">
      <c r="A1207" s="69"/>
      <c r="B1207" s="69"/>
      <c r="C1207" s="69"/>
      <c r="D1207" s="69"/>
      <c r="E1207" s="185"/>
      <c r="F1207" s="69"/>
      <c r="G1207" s="185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69"/>
      <c r="T1207" s="69"/>
      <c r="U1207" s="69"/>
      <c r="V1207" s="69"/>
      <c r="W1207" s="69"/>
      <c r="X1207" s="69"/>
      <c r="Y1207" s="69"/>
      <c r="Z1207" s="69"/>
      <c r="AA1207" s="69"/>
      <c r="AB1207" s="69"/>
      <c r="AC1207" s="69"/>
      <c r="AD1207" s="69"/>
      <c r="AE1207" s="69"/>
    </row>
    <row r="1208" spans="1:31" ht="22.5" customHeight="1">
      <c r="A1208" s="69"/>
      <c r="B1208" s="69"/>
      <c r="C1208" s="69"/>
      <c r="D1208" s="69"/>
      <c r="E1208" s="185"/>
      <c r="F1208" s="69"/>
      <c r="G1208" s="185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  <c r="T1208" s="69"/>
      <c r="U1208" s="69"/>
      <c r="V1208" s="69"/>
      <c r="W1208" s="69"/>
      <c r="X1208" s="69"/>
      <c r="Y1208" s="69"/>
      <c r="Z1208" s="69"/>
      <c r="AA1208" s="69"/>
      <c r="AB1208" s="69"/>
      <c r="AC1208" s="69"/>
      <c r="AD1208" s="69"/>
      <c r="AE1208" s="69"/>
    </row>
    <row r="1209" spans="1:31" ht="22.5" customHeight="1">
      <c r="A1209" s="69"/>
      <c r="B1209" s="69"/>
      <c r="C1209" s="69"/>
      <c r="D1209" s="69"/>
      <c r="E1209" s="185"/>
      <c r="F1209" s="69"/>
      <c r="G1209" s="185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69"/>
      <c r="T1209" s="69"/>
      <c r="U1209" s="69"/>
      <c r="V1209" s="69"/>
      <c r="W1209" s="69"/>
      <c r="X1209" s="69"/>
      <c r="Y1209" s="69"/>
      <c r="Z1209" s="69"/>
      <c r="AA1209" s="69"/>
      <c r="AB1209" s="69"/>
      <c r="AC1209" s="69"/>
      <c r="AD1209" s="69"/>
      <c r="AE1209" s="69"/>
    </row>
    <row r="1210" spans="1:31" ht="22.5" customHeight="1">
      <c r="A1210" s="69"/>
      <c r="B1210" s="69"/>
      <c r="C1210" s="69"/>
      <c r="D1210" s="69"/>
      <c r="E1210" s="185"/>
      <c r="F1210" s="69"/>
      <c r="G1210" s="185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  <c r="T1210" s="69"/>
      <c r="U1210" s="69"/>
      <c r="V1210" s="69"/>
      <c r="W1210" s="69"/>
      <c r="X1210" s="69"/>
      <c r="Y1210" s="69"/>
      <c r="Z1210" s="69"/>
      <c r="AA1210" s="69"/>
      <c r="AB1210" s="69"/>
      <c r="AC1210" s="69"/>
      <c r="AD1210" s="69"/>
      <c r="AE1210" s="69"/>
    </row>
    <row r="1211" spans="1:31" ht="22.5" customHeight="1">
      <c r="A1211" s="69"/>
      <c r="B1211" s="69"/>
      <c r="C1211" s="69"/>
      <c r="D1211" s="69"/>
      <c r="E1211" s="185"/>
      <c r="F1211" s="69"/>
      <c r="G1211" s="185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69"/>
      <c r="T1211" s="69"/>
      <c r="U1211" s="69"/>
      <c r="V1211" s="69"/>
      <c r="W1211" s="69"/>
      <c r="X1211" s="69"/>
      <c r="Y1211" s="69"/>
      <c r="Z1211" s="69"/>
      <c r="AA1211" s="69"/>
      <c r="AB1211" s="69"/>
      <c r="AC1211" s="69"/>
      <c r="AD1211" s="69"/>
      <c r="AE1211" s="69"/>
    </row>
    <row r="1212" spans="1:31" ht="22.5" customHeight="1">
      <c r="A1212" s="69"/>
      <c r="B1212" s="69"/>
      <c r="C1212" s="69"/>
      <c r="D1212" s="69"/>
      <c r="E1212" s="185"/>
      <c r="F1212" s="69"/>
      <c r="G1212" s="185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  <c r="T1212" s="69"/>
      <c r="U1212" s="69"/>
      <c r="V1212" s="69"/>
      <c r="W1212" s="69"/>
      <c r="X1212" s="69"/>
      <c r="Y1212" s="69"/>
      <c r="Z1212" s="69"/>
      <c r="AA1212" s="69"/>
      <c r="AB1212" s="69"/>
      <c r="AC1212" s="69"/>
      <c r="AD1212" s="69"/>
      <c r="AE1212" s="69"/>
    </row>
    <row r="1213" spans="1:31" ht="22.5" customHeight="1">
      <c r="A1213" s="69"/>
      <c r="B1213" s="69"/>
      <c r="C1213" s="69"/>
      <c r="D1213" s="69"/>
      <c r="E1213" s="185"/>
      <c r="F1213" s="69"/>
      <c r="G1213" s="185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69"/>
      <c r="T1213" s="69"/>
      <c r="U1213" s="69"/>
      <c r="V1213" s="69"/>
      <c r="W1213" s="69"/>
      <c r="X1213" s="69"/>
      <c r="Y1213" s="69"/>
      <c r="Z1213" s="69"/>
      <c r="AA1213" s="69"/>
      <c r="AB1213" s="69"/>
      <c r="AC1213" s="69"/>
      <c r="AD1213" s="69"/>
      <c r="AE1213" s="69"/>
    </row>
    <row r="1214" spans="1:31" ht="22.5" customHeight="1">
      <c r="A1214" s="69"/>
      <c r="B1214" s="69"/>
      <c r="C1214" s="69"/>
      <c r="D1214" s="69"/>
      <c r="E1214" s="185"/>
      <c r="F1214" s="69"/>
      <c r="G1214" s="185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  <c r="T1214" s="69"/>
      <c r="U1214" s="69"/>
      <c r="V1214" s="69"/>
      <c r="W1214" s="69"/>
      <c r="X1214" s="69"/>
      <c r="Y1214" s="69"/>
      <c r="Z1214" s="69"/>
      <c r="AA1214" s="69"/>
      <c r="AB1214" s="69"/>
      <c r="AC1214" s="69"/>
      <c r="AD1214" s="69"/>
      <c r="AE1214" s="69"/>
    </row>
    <row r="1215" spans="1:31" ht="22.5" customHeight="1">
      <c r="A1215" s="69"/>
      <c r="B1215" s="69"/>
      <c r="C1215" s="69"/>
      <c r="D1215" s="69"/>
      <c r="E1215" s="185"/>
      <c r="F1215" s="69"/>
      <c r="G1215" s="185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  <c r="Z1215" s="69"/>
      <c r="AA1215" s="69"/>
      <c r="AB1215" s="69"/>
      <c r="AC1215" s="69"/>
      <c r="AD1215" s="69"/>
      <c r="AE1215" s="69"/>
    </row>
    <row r="1216" spans="1:31" ht="22.5" customHeight="1">
      <c r="A1216" s="69"/>
      <c r="B1216" s="69"/>
      <c r="C1216" s="69"/>
      <c r="D1216" s="69"/>
      <c r="E1216" s="185"/>
      <c r="F1216" s="69"/>
      <c r="G1216" s="185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  <c r="T1216" s="69"/>
      <c r="U1216" s="69"/>
      <c r="V1216" s="69"/>
      <c r="W1216" s="69"/>
      <c r="X1216" s="69"/>
      <c r="Y1216" s="69"/>
      <c r="Z1216" s="69"/>
      <c r="AA1216" s="69"/>
      <c r="AB1216" s="69"/>
      <c r="AC1216" s="69"/>
      <c r="AD1216" s="69"/>
      <c r="AE1216" s="69"/>
    </row>
    <row r="1217" spans="1:31" ht="22.5" customHeight="1">
      <c r="A1217" s="69"/>
      <c r="B1217" s="69"/>
      <c r="C1217" s="69"/>
      <c r="D1217" s="69"/>
      <c r="E1217" s="185"/>
      <c r="F1217" s="69"/>
      <c r="G1217" s="185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69"/>
      <c r="T1217" s="69"/>
      <c r="U1217" s="69"/>
      <c r="V1217" s="69"/>
      <c r="W1217" s="69"/>
      <c r="X1217" s="69"/>
      <c r="Y1217" s="69"/>
      <c r="Z1217" s="69"/>
      <c r="AA1217" s="69"/>
      <c r="AB1217" s="69"/>
      <c r="AC1217" s="69"/>
      <c r="AD1217" s="69"/>
      <c r="AE1217" s="69"/>
    </row>
    <row r="1218" spans="1:31" ht="22.5" customHeight="1">
      <c r="A1218" s="69"/>
      <c r="B1218" s="69"/>
      <c r="C1218" s="69"/>
      <c r="D1218" s="69"/>
      <c r="E1218" s="185"/>
      <c r="F1218" s="69"/>
      <c r="G1218" s="185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  <c r="T1218" s="69"/>
      <c r="U1218" s="69"/>
      <c r="V1218" s="69"/>
      <c r="W1218" s="69"/>
      <c r="X1218" s="69"/>
      <c r="Y1218" s="69"/>
      <c r="Z1218" s="69"/>
      <c r="AA1218" s="69"/>
      <c r="AB1218" s="69"/>
      <c r="AC1218" s="69"/>
      <c r="AD1218" s="69"/>
      <c r="AE1218" s="69"/>
    </row>
    <row r="1219" spans="1:31" ht="22.5" customHeight="1">
      <c r="A1219" s="69"/>
      <c r="B1219" s="69"/>
      <c r="C1219" s="69"/>
      <c r="D1219" s="69"/>
      <c r="E1219" s="185"/>
      <c r="F1219" s="69"/>
      <c r="G1219" s="185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69"/>
      <c r="T1219" s="69"/>
      <c r="U1219" s="69"/>
      <c r="V1219" s="69"/>
      <c r="W1219" s="69"/>
      <c r="X1219" s="69"/>
      <c r="Y1219" s="69"/>
      <c r="Z1219" s="69"/>
      <c r="AA1219" s="69"/>
      <c r="AB1219" s="69"/>
      <c r="AC1219" s="69"/>
      <c r="AD1219" s="69"/>
      <c r="AE1219" s="69"/>
    </row>
    <row r="1220" spans="1:31" ht="22.5" customHeight="1">
      <c r="A1220" s="69"/>
      <c r="B1220" s="69"/>
      <c r="C1220" s="69"/>
      <c r="D1220" s="69"/>
      <c r="E1220" s="185"/>
      <c r="F1220" s="69"/>
      <c r="G1220" s="185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69"/>
      <c r="X1220" s="69"/>
      <c r="Y1220" s="69"/>
      <c r="Z1220" s="69"/>
      <c r="AA1220" s="69"/>
      <c r="AB1220" s="69"/>
      <c r="AC1220" s="69"/>
      <c r="AD1220" s="69"/>
      <c r="AE1220" s="69"/>
    </row>
    <row r="1221" spans="1:31" ht="22.5" customHeight="1">
      <c r="A1221" s="69"/>
      <c r="B1221" s="69"/>
      <c r="C1221" s="69"/>
      <c r="D1221" s="69"/>
      <c r="E1221" s="185"/>
      <c r="F1221" s="69"/>
      <c r="G1221" s="185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69"/>
      <c r="T1221" s="69"/>
      <c r="U1221" s="69"/>
      <c r="V1221" s="69"/>
      <c r="W1221" s="69"/>
      <c r="X1221" s="69"/>
      <c r="Y1221" s="69"/>
      <c r="Z1221" s="69"/>
      <c r="AA1221" s="69"/>
      <c r="AB1221" s="69"/>
      <c r="AC1221" s="69"/>
      <c r="AD1221" s="69"/>
      <c r="AE1221" s="69"/>
    </row>
    <row r="1222" spans="1:31" ht="22.5" customHeight="1">
      <c r="A1222" s="69"/>
      <c r="B1222" s="69"/>
      <c r="C1222" s="69"/>
      <c r="D1222" s="69"/>
      <c r="E1222" s="185"/>
      <c r="F1222" s="69"/>
      <c r="G1222" s="185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  <c r="T1222" s="69"/>
      <c r="U1222" s="69"/>
      <c r="V1222" s="69"/>
      <c r="W1222" s="69"/>
      <c r="X1222" s="69"/>
      <c r="Y1222" s="69"/>
      <c r="Z1222" s="69"/>
      <c r="AA1222" s="69"/>
      <c r="AB1222" s="69"/>
      <c r="AC1222" s="69"/>
      <c r="AD1222" s="69"/>
      <c r="AE1222" s="69"/>
    </row>
    <row r="1223" spans="1:31" ht="22.5" customHeight="1">
      <c r="A1223" s="69"/>
      <c r="B1223" s="69"/>
      <c r="C1223" s="69"/>
      <c r="D1223" s="69"/>
      <c r="E1223" s="185"/>
      <c r="F1223" s="69"/>
      <c r="G1223" s="185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  <c r="Z1223" s="69"/>
      <c r="AA1223" s="69"/>
      <c r="AB1223" s="69"/>
      <c r="AC1223" s="69"/>
      <c r="AD1223" s="69"/>
      <c r="AE1223" s="69"/>
    </row>
    <row r="1224" spans="1:31" ht="22.5" customHeight="1">
      <c r="A1224" s="69"/>
      <c r="B1224" s="69"/>
      <c r="C1224" s="69"/>
      <c r="D1224" s="69"/>
      <c r="E1224" s="185"/>
      <c r="F1224" s="69"/>
      <c r="G1224" s="185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  <c r="T1224" s="69"/>
      <c r="U1224" s="69"/>
      <c r="V1224" s="69"/>
      <c r="W1224" s="69"/>
      <c r="X1224" s="69"/>
      <c r="Y1224" s="69"/>
      <c r="Z1224" s="69"/>
      <c r="AA1224" s="69"/>
      <c r="AB1224" s="69"/>
      <c r="AC1224" s="69"/>
      <c r="AD1224" s="69"/>
      <c r="AE1224" s="69"/>
    </row>
    <row r="1225" spans="1:31" ht="22.5" customHeight="1">
      <c r="A1225" s="69"/>
      <c r="B1225" s="69"/>
      <c r="C1225" s="69"/>
      <c r="D1225" s="69"/>
      <c r="E1225" s="185"/>
      <c r="F1225" s="69"/>
      <c r="G1225" s="185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69"/>
      <c r="T1225" s="69"/>
      <c r="U1225" s="69"/>
      <c r="V1225" s="69"/>
      <c r="W1225" s="69"/>
      <c r="X1225" s="69"/>
      <c r="Y1225" s="69"/>
      <c r="Z1225" s="69"/>
      <c r="AA1225" s="69"/>
      <c r="AB1225" s="69"/>
      <c r="AC1225" s="69"/>
      <c r="AD1225" s="69"/>
      <c r="AE1225" s="69"/>
    </row>
    <row r="1226" spans="1:31" ht="22.5" customHeight="1">
      <c r="A1226" s="69"/>
      <c r="B1226" s="69"/>
      <c r="C1226" s="69"/>
      <c r="D1226" s="69"/>
      <c r="E1226" s="185"/>
      <c r="F1226" s="69"/>
      <c r="G1226" s="185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  <c r="T1226" s="69"/>
      <c r="U1226" s="69"/>
      <c r="V1226" s="69"/>
      <c r="W1226" s="69"/>
      <c r="X1226" s="69"/>
      <c r="Y1226" s="69"/>
      <c r="Z1226" s="69"/>
      <c r="AA1226" s="69"/>
      <c r="AB1226" s="69"/>
      <c r="AC1226" s="69"/>
      <c r="AD1226" s="69"/>
      <c r="AE1226" s="69"/>
    </row>
    <row r="1227" spans="1:31" ht="22.5" customHeight="1">
      <c r="A1227" s="69"/>
      <c r="B1227" s="69"/>
      <c r="C1227" s="69"/>
      <c r="D1227" s="69"/>
      <c r="E1227" s="185"/>
      <c r="F1227" s="69"/>
      <c r="G1227" s="185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  <c r="Z1227" s="69"/>
      <c r="AA1227" s="69"/>
      <c r="AB1227" s="69"/>
      <c r="AC1227" s="69"/>
      <c r="AD1227" s="69"/>
      <c r="AE1227" s="69"/>
    </row>
    <row r="1228" spans="1:31" ht="22.5" customHeight="1">
      <c r="A1228" s="69"/>
      <c r="B1228" s="69"/>
      <c r="C1228" s="69"/>
      <c r="D1228" s="69"/>
      <c r="E1228" s="185"/>
      <c r="F1228" s="69"/>
      <c r="G1228" s="185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  <c r="T1228" s="69"/>
      <c r="U1228" s="69"/>
      <c r="V1228" s="69"/>
      <c r="W1228" s="69"/>
      <c r="X1228" s="69"/>
      <c r="Y1228" s="69"/>
      <c r="Z1228" s="69"/>
      <c r="AA1228" s="69"/>
      <c r="AB1228" s="69"/>
      <c r="AC1228" s="69"/>
      <c r="AD1228" s="69"/>
      <c r="AE1228" s="69"/>
    </row>
    <row r="1229" spans="1:31" ht="22.5" customHeight="1">
      <c r="A1229" s="69"/>
      <c r="B1229" s="69"/>
      <c r="C1229" s="69"/>
      <c r="D1229" s="69"/>
      <c r="E1229" s="185"/>
      <c r="F1229" s="69"/>
      <c r="G1229" s="185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69"/>
      <c r="T1229" s="69"/>
      <c r="U1229" s="69"/>
      <c r="V1229" s="69"/>
      <c r="W1229" s="69"/>
      <c r="X1229" s="69"/>
      <c r="Y1229" s="69"/>
      <c r="Z1229" s="69"/>
      <c r="AA1229" s="69"/>
      <c r="AB1229" s="69"/>
      <c r="AC1229" s="69"/>
      <c r="AD1229" s="69"/>
      <c r="AE1229" s="69"/>
    </row>
    <row r="1230" spans="1:31" ht="22.5" customHeight="1">
      <c r="A1230" s="69"/>
      <c r="B1230" s="69"/>
      <c r="C1230" s="69"/>
      <c r="D1230" s="69"/>
      <c r="E1230" s="185"/>
      <c r="F1230" s="69"/>
      <c r="G1230" s="185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  <c r="T1230" s="69"/>
      <c r="U1230" s="69"/>
      <c r="V1230" s="69"/>
      <c r="W1230" s="69"/>
      <c r="X1230" s="69"/>
      <c r="Y1230" s="69"/>
      <c r="Z1230" s="69"/>
      <c r="AA1230" s="69"/>
      <c r="AB1230" s="69"/>
      <c r="AC1230" s="69"/>
      <c r="AD1230" s="69"/>
      <c r="AE1230" s="69"/>
    </row>
    <row r="1231" spans="1:31" ht="22.5" customHeight="1">
      <c r="A1231" s="69"/>
      <c r="B1231" s="69"/>
      <c r="C1231" s="69"/>
      <c r="D1231" s="69"/>
      <c r="E1231" s="185"/>
      <c r="F1231" s="69"/>
      <c r="G1231" s="185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69"/>
      <c r="T1231" s="69"/>
      <c r="U1231" s="69"/>
      <c r="V1231" s="69"/>
      <c r="W1231" s="69"/>
      <c r="X1231" s="69"/>
      <c r="Y1231" s="69"/>
      <c r="Z1231" s="69"/>
      <c r="AA1231" s="69"/>
      <c r="AB1231" s="69"/>
      <c r="AC1231" s="69"/>
      <c r="AD1231" s="69"/>
      <c r="AE1231" s="69"/>
    </row>
    <row r="1232" spans="1:31" ht="22.5" customHeight="1">
      <c r="A1232" s="69"/>
      <c r="B1232" s="69"/>
      <c r="C1232" s="69"/>
      <c r="D1232" s="69"/>
      <c r="E1232" s="185"/>
      <c r="F1232" s="69"/>
      <c r="G1232" s="185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  <c r="Z1232" s="69"/>
      <c r="AA1232" s="69"/>
      <c r="AB1232" s="69"/>
      <c r="AC1232" s="69"/>
      <c r="AD1232" s="69"/>
      <c r="AE1232" s="69"/>
    </row>
    <row r="1233" spans="1:31" ht="22.5" customHeight="1">
      <c r="A1233" s="69"/>
      <c r="B1233" s="69"/>
      <c r="C1233" s="69"/>
      <c r="D1233" s="69"/>
      <c r="E1233" s="185"/>
      <c r="F1233" s="69"/>
      <c r="G1233" s="185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69"/>
      <c r="T1233" s="69"/>
      <c r="U1233" s="69"/>
      <c r="V1233" s="69"/>
      <c r="W1233" s="69"/>
      <c r="X1233" s="69"/>
      <c r="Y1233" s="69"/>
      <c r="Z1233" s="69"/>
      <c r="AA1233" s="69"/>
      <c r="AB1233" s="69"/>
      <c r="AC1233" s="69"/>
      <c r="AD1233" s="69"/>
      <c r="AE1233" s="69"/>
    </row>
    <row r="1234" spans="1:31" ht="22.5" customHeight="1">
      <c r="A1234" s="69"/>
      <c r="B1234" s="69"/>
      <c r="C1234" s="69"/>
      <c r="D1234" s="69"/>
      <c r="E1234" s="185"/>
      <c r="F1234" s="69"/>
      <c r="G1234" s="185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  <c r="T1234" s="69"/>
      <c r="U1234" s="69"/>
      <c r="V1234" s="69"/>
      <c r="W1234" s="69"/>
      <c r="X1234" s="69"/>
      <c r="Y1234" s="69"/>
      <c r="Z1234" s="69"/>
      <c r="AA1234" s="69"/>
      <c r="AB1234" s="69"/>
      <c r="AC1234" s="69"/>
      <c r="AD1234" s="69"/>
      <c r="AE1234" s="69"/>
    </row>
    <row r="1235" spans="1:31" ht="22.5" customHeight="1">
      <c r="A1235" s="69"/>
      <c r="B1235" s="69"/>
      <c r="C1235" s="69"/>
      <c r="D1235" s="69"/>
      <c r="E1235" s="185"/>
      <c r="F1235" s="69"/>
      <c r="G1235" s="185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69"/>
      <c r="T1235" s="69"/>
      <c r="U1235" s="69"/>
      <c r="V1235" s="69"/>
      <c r="W1235" s="69"/>
      <c r="X1235" s="69"/>
      <c r="Y1235" s="69"/>
      <c r="Z1235" s="69"/>
      <c r="AA1235" s="69"/>
      <c r="AB1235" s="69"/>
      <c r="AC1235" s="69"/>
      <c r="AD1235" s="69"/>
      <c r="AE1235" s="69"/>
    </row>
    <row r="1236" spans="1:31" ht="22.5" customHeight="1">
      <c r="A1236" s="69"/>
      <c r="B1236" s="69"/>
      <c r="C1236" s="69"/>
      <c r="D1236" s="69"/>
      <c r="E1236" s="185"/>
      <c r="F1236" s="69"/>
      <c r="G1236" s="185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  <c r="T1236" s="69"/>
      <c r="U1236" s="69"/>
      <c r="V1236" s="69"/>
      <c r="W1236" s="69"/>
      <c r="X1236" s="69"/>
      <c r="Y1236" s="69"/>
      <c r="Z1236" s="69"/>
      <c r="AA1236" s="69"/>
      <c r="AB1236" s="69"/>
      <c r="AC1236" s="69"/>
      <c r="AD1236" s="69"/>
      <c r="AE1236" s="69"/>
    </row>
    <row r="1237" spans="1:31" ht="22.5" customHeight="1">
      <c r="A1237" s="69"/>
      <c r="B1237" s="69"/>
      <c r="C1237" s="69"/>
      <c r="D1237" s="69"/>
      <c r="E1237" s="185"/>
      <c r="F1237" s="69"/>
      <c r="G1237" s="185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69"/>
      <c r="T1237" s="69"/>
      <c r="U1237" s="69"/>
      <c r="V1237" s="69"/>
      <c r="W1237" s="69"/>
      <c r="X1237" s="69"/>
      <c r="Y1237" s="69"/>
      <c r="Z1237" s="69"/>
      <c r="AA1237" s="69"/>
      <c r="AB1237" s="69"/>
      <c r="AC1237" s="69"/>
      <c r="AD1237" s="69"/>
      <c r="AE1237" s="69"/>
    </row>
    <row r="1238" spans="1:31" ht="22.5" customHeight="1">
      <c r="A1238" s="69"/>
      <c r="B1238" s="69"/>
      <c r="C1238" s="69"/>
      <c r="D1238" s="69"/>
      <c r="E1238" s="185"/>
      <c r="F1238" s="69"/>
      <c r="G1238" s="185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69"/>
      <c r="X1238" s="69"/>
      <c r="Y1238" s="69"/>
      <c r="Z1238" s="69"/>
      <c r="AA1238" s="69"/>
      <c r="AB1238" s="69"/>
      <c r="AC1238" s="69"/>
      <c r="AD1238" s="69"/>
      <c r="AE1238" s="69"/>
    </row>
    <row r="1239" spans="1:31" ht="22.5" customHeight="1">
      <c r="A1239" s="69"/>
      <c r="B1239" s="69"/>
      <c r="C1239" s="69"/>
      <c r="D1239" s="69"/>
      <c r="E1239" s="185"/>
      <c r="F1239" s="69"/>
      <c r="G1239" s="185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69"/>
      <c r="T1239" s="69"/>
      <c r="U1239" s="69"/>
      <c r="V1239" s="69"/>
      <c r="W1239" s="69"/>
      <c r="X1239" s="69"/>
      <c r="Y1239" s="69"/>
      <c r="Z1239" s="69"/>
      <c r="AA1239" s="69"/>
      <c r="AB1239" s="69"/>
      <c r="AC1239" s="69"/>
      <c r="AD1239" s="69"/>
      <c r="AE1239" s="69"/>
    </row>
    <row r="1240" spans="1:31" ht="22.5" customHeight="1">
      <c r="A1240" s="69"/>
      <c r="B1240" s="69"/>
      <c r="C1240" s="69"/>
      <c r="D1240" s="69"/>
      <c r="E1240" s="185"/>
      <c r="F1240" s="69"/>
      <c r="G1240" s="185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  <c r="T1240" s="69"/>
      <c r="U1240" s="69"/>
      <c r="V1240" s="69"/>
      <c r="W1240" s="69"/>
      <c r="X1240" s="69"/>
      <c r="Y1240" s="69"/>
      <c r="Z1240" s="69"/>
      <c r="AA1240" s="69"/>
      <c r="AB1240" s="69"/>
      <c r="AC1240" s="69"/>
      <c r="AD1240" s="69"/>
      <c r="AE1240" s="69"/>
    </row>
    <row r="1241" spans="1:31" ht="22.5" customHeight="1">
      <c r="A1241" s="69"/>
      <c r="B1241" s="69"/>
      <c r="C1241" s="69"/>
      <c r="D1241" s="69"/>
      <c r="E1241" s="185"/>
      <c r="F1241" s="69"/>
      <c r="G1241" s="185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69"/>
      <c r="T1241" s="69"/>
      <c r="U1241" s="69"/>
      <c r="V1241" s="69"/>
      <c r="W1241" s="69"/>
      <c r="X1241" s="69"/>
      <c r="Y1241" s="69"/>
      <c r="Z1241" s="69"/>
      <c r="AA1241" s="69"/>
      <c r="AB1241" s="69"/>
      <c r="AC1241" s="69"/>
      <c r="AD1241" s="69"/>
      <c r="AE1241" s="69"/>
    </row>
    <row r="1242" spans="1:31" ht="22.5" customHeight="1">
      <c r="A1242" s="69"/>
      <c r="B1242" s="69"/>
      <c r="C1242" s="69"/>
      <c r="D1242" s="69"/>
      <c r="E1242" s="185"/>
      <c r="F1242" s="69"/>
      <c r="G1242" s="185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  <c r="T1242" s="69"/>
      <c r="U1242" s="69"/>
      <c r="V1242" s="69"/>
      <c r="W1242" s="69"/>
      <c r="X1242" s="69"/>
      <c r="Y1242" s="69"/>
      <c r="Z1242" s="69"/>
      <c r="AA1242" s="69"/>
      <c r="AB1242" s="69"/>
      <c r="AC1242" s="69"/>
      <c r="AD1242" s="69"/>
      <c r="AE1242" s="69"/>
    </row>
    <row r="1243" spans="1:31" ht="22.5" customHeight="1">
      <c r="A1243" s="69"/>
      <c r="B1243" s="69"/>
      <c r="C1243" s="69"/>
      <c r="D1243" s="69"/>
      <c r="E1243" s="185"/>
      <c r="F1243" s="69"/>
      <c r="G1243" s="185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  <c r="AA1243" s="69"/>
      <c r="AB1243" s="69"/>
      <c r="AC1243" s="69"/>
      <c r="AD1243" s="69"/>
      <c r="AE1243" s="69"/>
    </row>
    <row r="1244" spans="1:31" ht="22.5" customHeight="1">
      <c r="A1244" s="69"/>
      <c r="B1244" s="69"/>
      <c r="C1244" s="69"/>
      <c r="D1244" s="69"/>
      <c r="E1244" s="185"/>
      <c r="F1244" s="69"/>
      <c r="G1244" s="185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  <c r="T1244" s="69"/>
      <c r="U1244" s="69"/>
      <c r="V1244" s="69"/>
      <c r="W1244" s="69"/>
      <c r="X1244" s="69"/>
      <c r="Y1244" s="69"/>
      <c r="Z1244" s="69"/>
      <c r="AA1244" s="69"/>
      <c r="AB1244" s="69"/>
      <c r="AC1244" s="69"/>
      <c r="AD1244" s="69"/>
      <c r="AE1244" s="69"/>
    </row>
    <row r="1245" spans="1:31" ht="22.5" customHeight="1">
      <c r="A1245" s="69"/>
      <c r="B1245" s="69"/>
      <c r="C1245" s="69"/>
      <c r="D1245" s="69"/>
      <c r="E1245" s="185"/>
      <c r="F1245" s="69"/>
      <c r="G1245" s="185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69"/>
      <c r="T1245" s="69"/>
      <c r="U1245" s="69"/>
      <c r="V1245" s="69"/>
      <c r="W1245" s="69"/>
      <c r="X1245" s="69"/>
      <c r="Y1245" s="69"/>
      <c r="Z1245" s="69"/>
      <c r="AA1245" s="69"/>
      <c r="AB1245" s="69"/>
      <c r="AC1245" s="69"/>
      <c r="AD1245" s="69"/>
      <c r="AE1245" s="69"/>
    </row>
    <row r="1246" spans="1:31" ht="22.5" customHeight="1">
      <c r="A1246" s="69"/>
      <c r="B1246" s="69"/>
      <c r="C1246" s="69"/>
      <c r="D1246" s="69"/>
      <c r="E1246" s="185"/>
      <c r="F1246" s="69"/>
      <c r="G1246" s="185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  <c r="T1246" s="69"/>
      <c r="U1246" s="69"/>
      <c r="V1246" s="69"/>
      <c r="W1246" s="69"/>
      <c r="X1246" s="69"/>
      <c r="Y1246" s="69"/>
      <c r="Z1246" s="69"/>
      <c r="AA1246" s="69"/>
      <c r="AB1246" s="69"/>
      <c r="AC1246" s="69"/>
      <c r="AD1246" s="69"/>
      <c r="AE1246" s="69"/>
    </row>
    <row r="1247" spans="1:31" ht="22.5" customHeight="1">
      <c r="A1247" s="69"/>
      <c r="B1247" s="69"/>
      <c r="C1247" s="69"/>
      <c r="D1247" s="69"/>
      <c r="E1247" s="185"/>
      <c r="F1247" s="69"/>
      <c r="G1247" s="185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  <c r="Z1247" s="69"/>
      <c r="AA1247" s="69"/>
      <c r="AB1247" s="69"/>
      <c r="AC1247" s="69"/>
      <c r="AD1247" s="69"/>
      <c r="AE1247" s="69"/>
    </row>
    <row r="1248" spans="1:31" ht="22.5" customHeight="1">
      <c r="A1248" s="69"/>
      <c r="B1248" s="69"/>
      <c r="C1248" s="69"/>
      <c r="D1248" s="69"/>
      <c r="E1248" s="185"/>
      <c r="F1248" s="69"/>
      <c r="G1248" s="185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  <c r="T1248" s="69"/>
      <c r="U1248" s="69"/>
      <c r="V1248" s="69"/>
      <c r="W1248" s="69"/>
      <c r="X1248" s="69"/>
      <c r="Y1248" s="69"/>
      <c r="Z1248" s="69"/>
      <c r="AA1248" s="69"/>
      <c r="AB1248" s="69"/>
      <c r="AC1248" s="69"/>
      <c r="AD1248" s="69"/>
      <c r="AE1248" s="69"/>
    </row>
    <row r="1249" spans="1:31" ht="22.5" customHeight="1">
      <c r="A1249" s="69"/>
      <c r="B1249" s="69"/>
      <c r="C1249" s="69"/>
      <c r="D1249" s="69"/>
      <c r="E1249" s="185"/>
      <c r="F1249" s="69"/>
      <c r="G1249" s="185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69"/>
      <c r="T1249" s="69"/>
      <c r="U1249" s="69"/>
      <c r="V1249" s="69"/>
      <c r="W1249" s="69"/>
      <c r="X1249" s="69"/>
      <c r="Y1249" s="69"/>
      <c r="Z1249" s="69"/>
      <c r="AA1249" s="69"/>
      <c r="AB1249" s="69"/>
      <c r="AC1249" s="69"/>
      <c r="AD1249" s="69"/>
      <c r="AE1249" s="69"/>
    </row>
    <row r="1250" spans="1:31" ht="22.5" customHeight="1">
      <c r="A1250" s="69"/>
      <c r="B1250" s="69"/>
      <c r="C1250" s="69"/>
      <c r="D1250" s="69"/>
      <c r="E1250" s="185"/>
      <c r="F1250" s="69"/>
      <c r="G1250" s="185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  <c r="T1250" s="69"/>
      <c r="U1250" s="69"/>
      <c r="V1250" s="69"/>
      <c r="W1250" s="69"/>
      <c r="X1250" s="69"/>
      <c r="Y1250" s="69"/>
      <c r="Z1250" s="69"/>
      <c r="AA1250" s="69"/>
      <c r="AB1250" s="69"/>
      <c r="AC1250" s="69"/>
      <c r="AD1250" s="69"/>
      <c r="AE1250" s="69"/>
    </row>
    <row r="1251" spans="1:31" ht="22.5" customHeight="1">
      <c r="A1251" s="69"/>
      <c r="B1251" s="69"/>
      <c r="C1251" s="69"/>
      <c r="D1251" s="69"/>
      <c r="E1251" s="185"/>
      <c r="F1251" s="69"/>
      <c r="G1251" s="185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69"/>
      <c r="T1251" s="69"/>
      <c r="U1251" s="69"/>
      <c r="V1251" s="69"/>
      <c r="W1251" s="69"/>
      <c r="X1251" s="69"/>
      <c r="Y1251" s="69"/>
      <c r="Z1251" s="69"/>
      <c r="AA1251" s="69"/>
      <c r="AB1251" s="69"/>
      <c r="AC1251" s="69"/>
      <c r="AD1251" s="69"/>
      <c r="AE1251" s="69"/>
    </row>
    <row r="1252" spans="1:31" ht="22.5" customHeight="1">
      <c r="A1252" s="69"/>
      <c r="B1252" s="69"/>
      <c r="C1252" s="69"/>
      <c r="D1252" s="69"/>
      <c r="E1252" s="185"/>
      <c r="F1252" s="69"/>
      <c r="G1252" s="185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  <c r="Z1252" s="69"/>
      <c r="AA1252" s="69"/>
      <c r="AB1252" s="69"/>
      <c r="AC1252" s="69"/>
      <c r="AD1252" s="69"/>
      <c r="AE1252" s="69"/>
    </row>
    <row r="1253" spans="1:31" ht="22.5" customHeight="1">
      <c r="A1253" s="69"/>
      <c r="B1253" s="69"/>
      <c r="C1253" s="69"/>
      <c r="D1253" s="69"/>
      <c r="E1253" s="185"/>
      <c r="F1253" s="69"/>
      <c r="G1253" s="185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69"/>
      <c r="T1253" s="69"/>
      <c r="U1253" s="69"/>
      <c r="V1253" s="69"/>
      <c r="W1253" s="69"/>
      <c r="X1253" s="69"/>
      <c r="Y1253" s="69"/>
      <c r="Z1253" s="69"/>
      <c r="AA1253" s="69"/>
      <c r="AB1253" s="69"/>
      <c r="AC1253" s="69"/>
      <c r="AD1253" s="69"/>
      <c r="AE1253" s="69"/>
    </row>
    <row r="1254" spans="1:31" ht="22.5" customHeight="1">
      <c r="A1254" s="69"/>
      <c r="B1254" s="69"/>
      <c r="C1254" s="69"/>
      <c r="D1254" s="69"/>
      <c r="E1254" s="185"/>
      <c r="F1254" s="69"/>
      <c r="G1254" s="185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  <c r="T1254" s="69"/>
      <c r="U1254" s="69"/>
      <c r="V1254" s="69"/>
      <c r="W1254" s="69"/>
      <c r="X1254" s="69"/>
      <c r="Y1254" s="69"/>
      <c r="Z1254" s="69"/>
      <c r="AA1254" s="69"/>
      <c r="AB1254" s="69"/>
      <c r="AC1254" s="69"/>
      <c r="AD1254" s="69"/>
      <c r="AE1254" s="69"/>
    </row>
    <row r="1255" spans="1:31" ht="22.5" customHeight="1">
      <c r="A1255" s="69"/>
      <c r="B1255" s="69"/>
      <c r="C1255" s="69"/>
      <c r="D1255" s="69"/>
      <c r="E1255" s="185"/>
      <c r="F1255" s="69"/>
      <c r="G1255" s="185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69"/>
      <c r="T1255" s="69"/>
      <c r="U1255" s="69"/>
      <c r="V1255" s="69"/>
      <c r="W1255" s="69"/>
      <c r="X1255" s="69"/>
      <c r="Y1255" s="69"/>
      <c r="Z1255" s="69"/>
      <c r="AA1255" s="69"/>
      <c r="AB1255" s="69"/>
      <c r="AC1255" s="69"/>
      <c r="AD1255" s="69"/>
      <c r="AE1255" s="69"/>
    </row>
    <row r="1256" spans="1:31" ht="22.5" customHeight="1">
      <c r="A1256" s="69"/>
      <c r="B1256" s="69"/>
      <c r="C1256" s="69"/>
      <c r="D1256" s="69"/>
      <c r="E1256" s="185"/>
      <c r="F1256" s="69"/>
      <c r="G1256" s="185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69"/>
      <c r="X1256" s="69"/>
      <c r="Y1256" s="69"/>
      <c r="Z1256" s="69"/>
      <c r="AA1256" s="69"/>
      <c r="AB1256" s="69"/>
      <c r="AC1256" s="69"/>
      <c r="AD1256" s="69"/>
      <c r="AE1256" s="69"/>
    </row>
    <row r="1257" spans="1:31" ht="22.5" customHeight="1">
      <c r="A1257" s="69"/>
      <c r="B1257" s="69"/>
      <c r="C1257" s="69"/>
      <c r="D1257" s="69"/>
      <c r="E1257" s="185"/>
      <c r="F1257" s="69"/>
      <c r="G1257" s="185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69"/>
      <c r="T1257" s="69"/>
      <c r="U1257" s="69"/>
      <c r="V1257" s="69"/>
      <c r="W1257" s="69"/>
      <c r="X1257" s="69"/>
      <c r="Y1257" s="69"/>
      <c r="Z1257" s="69"/>
      <c r="AA1257" s="69"/>
      <c r="AB1257" s="69"/>
      <c r="AC1257" s="69"/>
      <c r="AD1257" s="69"/>
      <c r="AE1257" s="69"/>
    </row>
    <row r="1258" spans="1:31" ht="22.5" customHeight="1">
      <c r="A1258" s="69"/>
      <c r="B1258" s="69"/>
      <c r="C1258" s="69"/>
      <c r="D1258" s="69"/>
      <c r="E1258" s="185"/>
      <c r="F1258" s="69"/>
      <c r="G1258" s="185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U1258" s="69"/>
      <c r="V1258" s="69"/>
      <c r="W1258" s="69"/>
      <c r="X1258" s="69"/>
      <c r="Y1258" s="69"/>
      <c r="Z1258" s="69"/>
      <c r="AA1258" s="69"/>
      <c r="AB1258" s="69"/>
      <c r="AC1258" s="69"/>
      <c r="AD1258" s="69"/>
      <c r="AE1258" s="69"/>
    </row>
    <row r="1259" spans="1:31" ht="22.5" customHeight="1">
      <c r="A1259" s="69"/>
      <c r="B1259" s="69"/>
      <c r="C1259" s="69"/>
      <c r="D1259" s="69"/>
      <c r="E1259" s="185"/>
      <c r="F1259" s="69"/>
      <c r="G1259" s="185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69"/>
      <c r="T1259" s="69"/>
      <c r="U1259" s="69"/>
      <c r="V1259" s="69"/>
      <c r="W1259" s="69"/>
      <c r="X1259" s="69"/>
      <c r="Y1259" s="69"/>
      <c r="Z1259" s="69"/>
      <c r="AA1259" s="69"/>
      <c r="AB1259" s="69"/>
      <c r="AC1259" s="69"/>
      <c r="AD1259" s="69"/>
      <c r="AE1259" s="69"/>
    </row>
    <row r="1260" spans="1:31" ht="22.5" customHeight="1">
      <c r="A1260" s="69"/>
      <c r="B1260" s="69"/>
      <c r="C1260" s="69"/>
      <c r="D1260" s="69"/>
      <c r="E1260" s="185"/>
      <c r="F1260" s="69"/>
      <c r="G1260" s="185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  <c r="T1260" s="69"/>
      <c r="U1260" s="69"/>
      <c r="V1260" s="69"/>
      <c r="W1260" s="69"/>
      <c r="X1260" s="69"/>
      <c r="Y1260" s="69"/>
      <c r="Z1260" s="69"/>
      <c r="AA1260" s="69"/>
      <c r="AB1260" s="69"/>
      <c r="AC1260" s="69"/>
      <c r="AD1260" s="69"/>
      <c r="AE1260" s="69"/>
    </row>
    <row r="1261" spans="1:31" ht="22.5" customHeight="1">
      <c r="A1261" s="69"/>
      <c r="B1261" s="69"/>
      <c r="C1261" s="69"/>
      <c r="D1261" s="69"/>
      <c r="E1261" s="185"/>
      <c r="F1261" s="69"/>
      <c r="G1261" s="185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69"/>
      <c r="T1261" s="69"/>
      <c r="U1261" s="69"/>
      <c r="V1261" s="69"/>
      <c r="W1261" s="69"/>
      <c r="X1261" s="69"/>
      <c r="Y1261" s="69"/>
      <c r="Z1261" s="69"/>
      <c r="AA1261" s="69"/>
      <c r="AB1261" s="69"/>
      <c r="AC1261" s="69"/>
      <c r="AD1261" s="69"/>
      <c r="AE1261" s="69"/>
    </row>
    <row r="1262" spans="1:31" ht="22.5" customHeight="1">
      <c r="A1262" s="69"/>
      <c r="B1262" s="69"/>
      <c r="C1262" s="69"/>
      <c r="D1262" s="69"/>
      <c r="E1262" s="185"/>
      <c r="F1262" s="69"/>
      <c r="G1262" s="185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  <c r="T1262" s="69"/>
      <c r="U1262" s="69"/>
      <c r="V1262" s="69"/>
      <c r="W1262" s="69"/>
      <c r="X1262" s="69"/>
      <c r="Y1262" s="69"/>
      <c r="Z1262" s="69"/>
      <c r="AA1262" s="69"/>
      <c r="AB1262" s="69"/>
      <c r="AC1262" s="69"/>
      <c r="AD1262" s="69"/>
      <c r="AE1262" s="69"/>
    </row>
    <row r="1263" spans="1:31" ht="22.5" customHeight="1">
      <c r="A1263" s="69"/>
      <c r="B1263" s="69"/>
      <c r="C1263" s="69"/>
      <c r="D1263" s="69"/>
      <c r="E1263" s="185"/>
      <c r="F1263" s="69"/>
      <c r="G1263" s="185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  <c r="Z1263" s="69"/>
      <c r="AA1263" s="69"/>
      <c r="AB1263" s="69"/>
      <c r="AC1263" s="69"/>
      <c r="AD1263" s="69"/>
      <c r="AE1263" s="69"/>
    </row>
    <row r="1264" spans="1:31" ht="22.5" customHeight="1">
      <c r="A1264" s="69"/>
      <c r="B1264" s="69"/>
      <c r="C1264" s="69"/>
      <c r="D1264" s="69"/>
      <c r="E1264" s="185"/>
      <c r="F1264" s="69"/>
      <c r="G1264" s="185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  <c r="T1264" s="69"/>
      <c r="U1264" s="69"/>
      <c r="V1264" s="69"/>
      <c r="W1264" s="69"/>
      <c r="X1264" s="69"/>
      <c r="Y1264" s="69"/>
      <c r="Z1264" s="69"/>
      <c r="AA1264" s="69"/>
      <c r="AB1264" s="69"/>
      <c r="AC1264" s="69"/>
      <c r="AD1264" s="69"/>
      <c r="AE1264" s="69"/>
    </row>
    <row r="1265" spans="1:31" ht="22.5" customHeight="1">
      <c r="A1265" s="69"/>
      <c r="B1265" s="69"/>
      <c r="C1265" s="69"/>
      <c r="D1265" s="69"/>
      <c r="E1265" s="185"/>
      <c r="F1265" s="69"/>
      <c r="G1265" s="185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69"/>
      <c r="T1265" s="69"/>
      <c r="U1265" s="69"/>
      <c r="V1265" s="69"/>
      <c r="W1265" s="69"/>
      <c r="X1265" s="69"/>
      <c r="Y1265" s="69"/>
      <c r="Z1265" s="69"/>
      <c r="AA1265" s="69"/>
      <c r="AB1265" s="69"/>
      <c r="AC1265" s="69"/>
      <c r="AD1265" s="69"/>
      <c r="AE1265" s="69"/>
    </row>
    <row r="1266" spans="1:31" ht="22.5" customHeight="1">
      <c r="A1266" s="69"/>
      <c r="B1266" s="69"/>
      <c r="C1266" s="69"/>
      <c r="D1266" s="69"/>
      <c r="E1266" s="185"/>
      <c r="F1266" s="69"/>
      <c r="G1266" s="185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  <c r="T1266" s="69"/>
      <c r="U1266" s="69"/>
      <c r="V1266" s="69"/>
      <c r="W1266" s="69"/>
      <c r="X1266" s="69"/>
      <c r="Y1266" s="69"/>
      <c r="Z1266" s="69"/>
      <c r="AA1266" s="69"/>
      <c r="AB1266" s="69"/>
      <c r="AC1266" s="69"/>
      <c r="AD1266" s="69"/>
      <c r="AE1266" s="69"/>
    </row>
    <row r="1267" spans="1:31" ht="22.5" customHeight="1">
      <c r="A1267" s="69"/>
      <c r="B1267" s="69"/>
      <c r="C1267" s="69"/>
      <c r="D1267" s="69"/>
      <c r="E1267" s="185"/>
      <c r="F1267" s="69"/>
      <c r="G1267" s="185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69"/>
      <c r="T1267" s="69"/>
      <c r="U1267" s="69"/>
      <c r="V1267" s="69"/>
      <c r="W1267" s="69"/>
      <c r="X1267" s="69"/>
      <c r="Y1267" s="69"/>
      <c r="Z1267" s="69"/>
      <c r="AA1267" s="69"/>
      <c r="AB1267" s="69"/>
      <c r="AC1267" s="69"/>
      <c r="AD1267" s="69"/>
      <c r="AE1267" s="69"/>
    </row>
    <row r="1268" spans="1:31" ht="22.5" customHeight="1">
      <c r="A1268" s="69"/>
      <c r="B1268" s="69"/>
      <c r="C1268" s="69"/>
      <c r="D1268" s="69"/>
      <c r="E1268" s="185"/>
      <c r="F1268" s="69"/>
      <c r="G1268" s="185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  <c r="T1268" s="69"/>
      <c r="U1268" s="69"/>
      <c r="V1268" s="69"/>
      <c r="W1268" s="69"/>
      <c r="X1268" s="69"/>
      <c r="Y1268" s="69"/>
      <c r="Z1268" s="69"/>
      <c r="AA1268" s="69"/>
      <c r="AB1268" s="69"/>
      <c r="AC1268" s="69"/>
      <c r="AD1268" s="69"/>
      <c r="AE1268" s="69"/>
    </row>
    <row r="1269" spans="1:31" ht="22.5" customHeight="1">
      <c r="A1269" s="69"/>
      <c r="B1269" s="69"/>
      <c r="C1269" s="69"/>
      <c r="D1269" s="69"/>
      <c r="E1269" s="185"/>
      <c r="F1269" s="69"/>
      <c r="G1269" s="185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69"/>
      <c r="T1269" s="69"/>
      <c r="U1269" s="69"/>
      <c r="V1269" s="69"/>
      <c r="W1269" s="69"/>
      <c r="X1269" s="69"/>
      <c r="Y1269" s="69"/>
      <c r="Z1269" s="69"/>
      <c r="AA1269" s="69"/>
      <c r="AB1269" s="69"/>
      <c r="AC1269" s="69"/>
      <c r="AD1269" s="69"/>
      <c r="AE1269" s="69"/>
    </row>
    <row r="1270" spans="1:31" ht="22.5" customHeight="1">
      <c r="A1270" s="69"/>
      <c r="B1270" s="69"/>
      <c r="C1270" s="69"/>
      <c r="D1270" s="69"/>
      <c r="E1270" s="185"/>
      <c r="F1270" s="69"/>
      <c r="G1270" s="185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  <c r="T1270" s="69"/>
      <c r="U1270" s="69"/>
      <c r="V1270" s="69"/>
      <c r="W1270" s="69"/>
      <c r="X1270" s="69"/>
      <c r="Y1270" s="69"/>
      <c r="Z1270" s="69"/>
      <c r="AA1270" s="69"/>
      <c r="AB1270" s="69"/>
      <c r="AC1270" s="69"/>
      <c r="AD1270" s="69"/>
      <c r="AE1270" s="69"/>
    </row>
    <row r="1271" spans="1:31" ht="22.5" customHeight="1">
      <c r="A1271" s="69"/>
      <c r="B1271" s="69"/>
      <c r="C1271" s="69"/>
      <c r="D1271" s="69"/>
      <c r="E1271" s="185"/>
      <c r="F1271" s="69"/>
      <c r="G1271" s="185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69"/>
      <c r="T1271" s="69"/>
      <c r="U1271" s="69"/>
      <c r="V1271" s="69"/>
      <c r="W1271" s="69"/>
      <c r="X1271" s="69"/>
      <c r="Y1271" s="69"/>
      <c r="Z1271" s="69"/>
      <c r="AA1271" s="69"/>
      <c r="AB1271" s="69"/>
      <c r="AC1271" s="69"/>
      <c r="AD1271" s="69"/>
      <c r="AE1271" s="69"/>
    </row>
    <row r="1272" spans="1:31" ht="22.5" customHeight="1">
      <c r="A1272" s="69"/>
      <c r="B1272" s="69"/>
      <c r="C1272" s="69"/>
      <c r="D1272" s="69"/>
      <c r="E1272" s="185"/>
      <c r="F1272" s="69"/>
      <c r="G1272" s="185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  <c r="Z1272" s="69"/>
      <c r="AA1272" s="69"/>
      <c r="AB1272" s="69"/>
      <c r="AC1272" s="69"/>
      <c r="AD1272" s="69"/>
      <c r="AE1272" s="69"/>
    </row>
    <row r="1273" spans="1:31" ht="22.5" customHeight="1">
      <c r="A1273" s="69"/>
      <c r="B1273" s="69"/>
      <c r="C1273" s="69"/>
      <c r="D1273" s="69"/>
      <c r="E1273" s="185"/>
      <c r="F1273" s="69"/>
      <c r="G1273" s="185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69"/>
      <c r="T1273" s="69"/>
      <c r="U1273" s="69"/>
      <c r="V1273" s="69"/>
      <c r="W1273" s="69"/>
      <c r="X1273" s="69"/>
      <c r="Y1273" s="69"/>
      <c r="Z1273" s="69"/>
      <c r="AA1273" s="69"/>
      <c r="AB1273" s="69"/>
      <c r="AC1273" s="69"/>
      <c r="AD1273" s="69"/>
      <c r="AE1273" s="69"/>
    </row>
    <row r="1274" spans="1:31" ht="22.5" customHeight="1">
      <c r="A1274" s="69"/>
      <c r="B1274" s="69"/>
      <c r="C1274" s="69"/>
      <c r="D1274" s="69"/>
      <c r="E1274" s="185"/>
      <c r="F1274" s="69"/>
      <c r="G1274" s="185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69"/>
      <c r="X1274" s="69"/>
      <c r="Y1274" s="69"/>
      <c r="Z1274" s="69"/>
      <c r="AA1274" s="69"/>
      <c r="AB1274" s="69"/>
      <c r="AC1274" s="69"/>
      <c r="AD1274" s="69"/>
      <c r="AE1274" s="69"/>
    </row>
    <row r="1275" spans="1:31" ht="22.5" customHeight="1">
      <c r="A1275" s="69"/>
      <c r="B1275" s="69"/>
      <c r="C1275" s="69"/>
      <c r="D1275" s="69"/>
      <c r="E1275" s="185"/>
      <c r="F1275" s="69"/>
      <c r="G1275" s="185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69"/>
      <c r="T1275" s="69"/>
      <c r="U1275" s="69"/>
      <c r="V1275" s="69"/>
      <c r="W1275" s="69"/>
      <c r="X1275" s="69"/>
      <c r="Y1275" s="69"/>
      <c r="Z1275" s="69"/>
      <c r="AA1275" s="69"/>
      <c r="AB1275" s="69"/>
      <c r="AC1275" s="69"/>
      <c r="AD1275" s="69"/>
      <c r="AE1275" s="69"/>
    </row>
    <row r="1276" spans="1:31" ht="22.5" customHeight="1">
      <c r="A1276" s="69"/>
      <c r="B1276" s="69"/>
      <c r="C1276" s="69"/>
      <c r="D1276" s="69"/>
      <c r="E1276" s="185"/>
      <c r="F1276" s="69"/>
      <c r="G1276" s="185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  <c r="T1276" s="69"/>
      <c r="U1276" s="69"/>
      <c r="V1276" s="69"/>
      <c r="W1276" s="69"/>
      <c r="X1276" s="69"/>
      <c r="Y1276" s="69"/>
      <c r="Z1276" s="69"/>
      <c r="AA1276" s="69"/>
      <c r="AB1276" s="69"/>
      <c r="AC1276" s="69"/>
      <c r="AD1276" s="69"/>
      <c r="AE1276" s="69"/>
    </row>
    <row r="1277" spans="1:31" ht="22.5" customHeight="1">
      <c r="A1277" s="69"/>
      <c r="B1277" s="69"/>
      <c r="C1277" s="69"/>
      <c r="D1277" s="69"/>
      <c r="E1277" s="185"/>
      <c r="F1277" s="69"/>
      <c r="G1277" s="185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69"/>
      <c r="T1277" s="69"/>
      <c r="U1277" s="69"/>
      <c r="V1277" s="69"/>
      <c r="W1277" s="69"/>
      <c r="X1277" s="69"/>
      <c r="Y1277" s="69"/>
      <c r="Z1277" s="69"/>
      <c r="AA1277" s="69"/>
      <c r="AB1277" s="69"/>
      <c r="AC1277" s="69"/>
      <c r="AD1277" s="69"/>
      <c r="AE1277" s="69"/>
    </row>
    <row r="1278" spans="1:31" ht="22.5" customHeight="1">
      <c r="A1278" s="69"/>
      <c r="B1278" s="69"/>
      <c r="C1278" s="69"/>
      <c r="D1278" s="69"/>
      <c r="E1278" s="185"/>
      <c r="F1278" s="69"/>
      <c r="G1278" s="185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  <c r="T1278" s="69"/>
      <c r="U1278" s="69"/>
      <c r="V1278" s="69"/>
      <c r="W1278" s="69"/>
      <c r="X1278" s="69"/>
      <c r="Y1278" s="69"/>
      <c r="Z1278" s="69"/>
      <c r="AA1278" s="69"/>
      <c r="AB1278" s="69"/>
      <c r="AC1278" s="69"/>
      <c r="AD1278" s="69"/>
      <c r="AE1278" s="69"/>
    </row>
    <row r="1279" spans="1:31" ht="22.5" customHeight="1">
      <c r="A1279" s="69"/>
      <c r="B1279" s="69"/>
      <c r="C1279" s="69"/>
      <c r="D1279" s="69"/>
      <c r="E1279" s="185"/>
      <c r="F1279" s="69"/>
      <c r="G1279" s="185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69"/>
      <c r="T1279" s="69"/>
      <c r="U1279" s="69"/>
      <c r="V1279" s="69"/>
      <c r="W1279" s="69"/>
      <c r="X1279" s="69"/>
      <c r="Y1279" s="69"/>
      <c r="Z1279" s="69"/>
      <c r="AA1279" s="69"/>
      <c r="AB1279" s="69"/>
      <c r="AC1279" s="69"/>
      <c r="AD1279" s="69"/>
      <c r="AE1279" s="69"/>
    </row>
    <row r="1280" spans="1:31" ht="22.5" customHeight="1">
      <c r="A1280" s="69"/>
      <c r="B1280" s="69"/>
      <c r="C1280" s="69"/>
      <c r="D1280" s="69"/>
      <c r="E1280" s="185"/>
      <c r="F1280" s="69"/>
      <c r="G1280" s="185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  <c r="T1280" s="69"/>
      <c r="U1280" s="69"/>
      <c r="V1280" s="69"/>
      <c r="W1280" s="69"/>
      <c r="X1280" s="69"/>
      <c r="Y1280" s="69"/>
      <c r="Z1280" s="69"/>
      <c r="AA1280" s="69"/>
      <c r="AB1280" s="69"/>
      <c r="AC1280" s="69"/>
      <c r="AD1280" s="69"/>
      <c r="AE1280" s="69"/>
    </row>
    <row r="1281" spans="1:31" ht="22.5" customHeight="1">
      <c r="A1281" s="69"/>
      <c r="B1281" s="69"/>
      <c r="C1281" s="69"/>
      <c r="D1281" s="69"/>
      <c r="E1281" s="185"/>
      <c r="F1281" s="69"/>
      <c r="G1281" s="185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  <c r="T1281" s="69"/>
      <c r="U1281" s="69"/>
      <c r="V1281" s="69"/>
      <c r="W1281" s="69"/>
      <c r="X1281" s="69"/>
      <c r="Y1281" s="69"/>
      <c r="Z1281" s="69"/>
      <c r="AA1281" s="69"/>
      <c r="AB1281" s="69"/>
      <c r="AC1281" s="69"/>
      <c r="AD1281" s="69"/>
      <c r="AE1281" s="69"/>
    </row>
    <row r="1282" spans="1:31" ht="22.5" customHeight="1">
      <c r="A1282" s="69"/>
      <c r="B1282" s="69"/>
      <c r="C1282" s="69"/>
      <c r="D1282" s="69"/>
      <c r="E1282" s="185"/>
      <c r="F1282" s="69"/>
      <c r="G1282" s="185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  <c r="T1282" s="69"/>
      <c r="U1282" s="69"/>
      <c r="V1282" s="69"/>
      <c r="W1282" s="69"/>
      <c r="X1282" s="69"/>
      <c r="Y1282" s="69"/>
      <c r="Z1282" s="69"/>
      <c r="AA1282" s="69"/>
      <c r="AB1282" s="69"/>
      <c r="AC1282" s="69"/>
      <c r="AD1282" s="69"/>
      <c r="AE1282" s="69"/>
    </row>
    <row r="1283" spans="1:31" ht="22.5" customHeight="1">
      <c r="A1283" s="69"/>
      <c r="B1283" s="69"/>
      <c r="C1283" s="69"/>
      <c r="D1283" s="69"/>
      <c r="E1283" s="185"/>
      <c r="F1283" s="69"/>
      <c r="G1283" s="185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  <c r="AA1283" s="69"/>
      <c r="AB1283" s="69"/>
      <c r="AC1283" s="69"/>
      <c r="AD1283" s="69"/>
      <c r="AE1283" s="69"/>
    </row>
    <row r="1284" spans="1:31" ht="22.5" customHeight="1">
      <c r="A1284" s="69"/>
      <c r="B1284" s="69"/>
      <c r="C1284" s="69"/>
      <c r="D1284" s="69"/>
      <c r="E1284" s="185"/>
      <c r="F1284" s="69"/>
      <c r="G1284" s="185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  <c r="T1284" s="69"/>
      <c r="U1284" s="69"/>
      <c r="V1284" s="69"/>
      <c r="W1284" s="69"/>
      <c r="X1284" s="69"/>
      <c r="Y1284" s="69"/>
      <c r="Z1284" s="69"/>
      <c r="AA1284" s="69"/>
      <c r="AB1284" s="69"/>
      <c r="AC1284" s="69"/>
      <c r="AD1284" s="69"/>
      <c r="AE1284" s="69"/>
    </row>
    <row r="1285" spans="1:31" ht="22.5" customHeight="1">
      <c r="A1285" s="69"/>
      <c r="B1285" s="69"/>
      <c r="C1285" s="69"/>
      <c r="D1285" s="69"/>
      <c r="E1285" s="185"/>
      <c r="F1285" s="69"/>
      <c r="G1285" s="185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  <c r="AA1285" s="69"/>
      <c r="AB1285" s="69"/>
      <c r="AC1285" s="69"/>
      <c r="AD1285" s="69"/>
      <c r="AE1285" s="69"/>
    </row>
    <row r="1286" spans="1:31" ht="22.5" customHeight="1">
      <c r="A1286" s="69"/>
      <c r="B1286" s="69"/>
      <c r="C1286" s="69"/>
      <c r="D1286" s="69"/>
      <c r="E1286" s="185"/>
      <c r="F1286" s="69"/>
      <c r="G1286" s="185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  <c r="T1286" s="69"/>
      <c r="U1286" s="69"/>
      <c r="V1286" s="69"/>
      <c r="W1286" s="69"/>
      <c r="X1286" s="69"/>
      <c r="Y1286" s="69"/>
      <c r="Z1286" s="69"/>
      <c r="AA1286" s="69"/>
      <c r="AB1286" s="69"/>
      <c r="AC1286" s="69"/>
      <c r="AD1286" s="69"/>
      <c r="AE1286" s="69"/>
    </row>
    <row r="1287" spans="1:31" ht="22.5" customHeight="1">
      <c r="A1287" s="69"/>
      <c r="B1287" s="69"/>
      <c r="C1287" s="69"/>
      <c r="D1287" s="69"/>
      <c r="E1287" s="185"/>
      <c r="F1287" s="69"/>
      <c r="G1287" s="185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69"/>
      <c r="T1287" s="69"/>
      <c r="U1287" s="69"/>
      <c r="V1287" s="69"/>
      <c r="W1287" s="69"/>
      <c r="X1287" s="69"/>
      <c r="Y1287" s="69"/>
      <c r="Z1287" s="69"/>
      <c r="AA1287" s="69"/>
      <c r="AB1287" s="69"/>
      <c r="AC1287" s="69"/>
      <c r="AD1287" s="69"/>
      <c r="AE1287" s="69"/>
    </row>
    <row r="1288" spans="1:31" ht="22.5" customHeight="1">
      <c r="A1288" s="69"/>
      <c r="B1288" s="69"/>
      <c r="C1288" s="69"/>
      <c r="D1288" s="69"/>
      <c r="E1288" s="185"/>
      <c r="F1288" s="69"/>
      <c r="G1288" s="185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  <c r="T1288" s="69"/>
      <c r="U1288" s="69"/>
      <c r="V1288" s="69"/>
      <c r="W1288" s="69"/>
      <c r="X1288" s="69"/>
      <c r="Y1288" s="69"/>
      <c r="Z1288" s="69"/>
      <c r="AA1288" s="69"/>
      <c r="AB1288" s="69"/>
      <c r="AC1288" s="69"/>
      <c r="AD1288" s="69"/>
      <c r="AE1288" s="69"/>
    </row>
    <row r="1289" spans="1:31" ht="22.5" customHeight="1">
      <c r="A1289" s="69"/>
      <c r="B1289" s="69"/>
      <c r="C1289" s="69"/>
      <c r="D1289" s="69"/>
      <c r="E1289" s="185"/>
      <c r="F1289" s="69"/>
      <c r="G1289" s="185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69"/>
      <c r="T1289" s="69"/>
      <c r="U1289" s="69"/>
      <c r="V1289" s="69"/>
      <c r="W1289" s="69"/>
      <c r="X1289" s="69"/>
      <c r="Y1289" s="69"/>
      <c r="Z1289" s="69"/>
      <c r="AA1289" s="69"/>
      <c r="AB1289" s="69"/>
      <c r="AC1289" s="69"/>
      <c r="AD1289" s="69"/>
      <c r="AE1289" s="69"/>
    </row>
    <row r="1290" spans="1:31" ht="22.5" customHeight="1">
      <c r="A1290" s="69"/>
      <c r="B1290" s="69"/>
      <c r="C1290" s="69"/>
      <c r="D1290" s="69"/>
      <c r="E1290" s="185"/>
      <c r="F1290" s="69"/>
      <c r="G1290" s="185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  <c r="T1290" s="69"/>
      <c r="U1290" s="69"/>
      <c r="V1290" s="69"/>
      <c r="W1290" s="69"/>
      <c r="X1290" s="69"/>
      <c r="Y1290" s="69"/>
      <c r="Z1290" s="69"/>
      <c r="AA1290" s="69"/>
      <c r="AB1290" s="69"/>
      <c r="AC1290" s="69"/>
      <c r="AD1290" s="69"/>
      <c r="AE1290" s="69"/>
    </row>
    <row r="1291" spans="1:31" ht="22.5" customHeight="1">
      <c r="A1291" s="69"/>
      <c r="B1291" s="69"/>
      <c r="C1291" s="69"/>
      <c r="D1291" s="69"/>
      <c r="E1291" s="185"/>
      <c r="F1291" s="69"/>
      <c r="G1291" s="185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69"/>
      <c r="T1291" s="69"/>
      <c r="U1291" s="69"/>
      <c r="V1291" s="69"/>
      <c r="W1291" s="69"/>
      <c r="X1291" s="69"/>
      <c r="Y1291" s="69"/>
      <c r="Z1291" s="69"/>
      <c r="AA1291" s="69"/>
      <c r="AB1291" s="69"/>
      <c r="AC1291" s="69"/>
      <c r="AD1291" s="69"/>
      <c r="AE1291" s="69"/>
    </row>
    <row r="1292" spans="1:31" ht="22.5" customHeight="1">
      <c r="A1292" s="69"/>
      <c r="B1292" s="69"/>
      <c r="C1292" s="69"/>
      <c r="D1292" s="69"/>
      <c r="E1292" s="185"/>
      <c r="F1292" s="69"/>
      <c r="G1292" s="185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69"/>
      <c r="X1292" s="69"/>
      <c r="Y1292" s="69"/>
      <c r="Z1292" s="69"/>
      <c r="AA1292" s="69"/>
      <c r="AB1292" s="69"/>
      <c r="AC1292" s="69"/>
      <c r="AD1292" s="69"/>
      <c r="AE1292" s="69"/>
    </row>
    <row r="1293" spans="1:31" ht="22.5" customHeight="1">
      <c r="A1293" s="69"/>
      <c r="B1293" s="69"/>
      <c r="C1293" s="69"/>
      <c r="D1293" s="69"/>
      <c r="E1293" s="185"/>
      <c r="F1293" s="69"/>
      <c r="G1293" s="185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69"/>
      <c r="T1293" s="69"/>
      <c r="U1293" s="69"/>
      <c r="V1293" s="69"/>
      <c r="W1293" s="69"/>
      <c r="X1293" s="69"/>
      <c r="Y1293" s="69"/>
      <c r="Z1293" s="69"/>
      <c r="AA1293" s="69"/>
      <c r="AB1293" s="69"/>
      <c r="AC1293" s="69"/>
      <c r="AD1293" s="69"/>
      <c r="AE1293" s="69"/>
    </row>
    <row r="1294" spans="1:31" ht="22.5" customHeight="1">
      <c r="A1294" s="69"/>
      <c r="B1294" s="69"/>
      <c r="C1294" s="69"/>
      <c r="D1294" s="69"/>
      <c r="E1294" s="185"/>
      <c r="F1294" s="69"/>
      <c r="G1294" s="185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  <c r="Z1294" s="69"/>
      <c r="AA1294" s="69"/>
      <c r="AB1294" s="69"/>
      <c r="AC1294" s="69"/>
      <c r="AD1294" s="69"/>
      <c r="AE1294" s="69"/>
    </row>
    <row r="1295" spans="1:31" ht="22.5" customHeight="1">
      <c r="A1295" s="69"/>
      <c r="B1295" s="69"/>
      <c r="C1295" s="69"/>
      <c r="D1295" s="69"/>
      <c r="E1295" s="185"/>
      <c r="F1295" s="69"/>
      <c r="G1295" s="185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69"/>
      <c r="T1295" s="69"/>
      <c r="U1295" s="69"/>
      <c r="V1295" s="69"/>
      <c r="W1295" s="69"/>
      <c r="X1295" s="69"/>
      <c r="Y1295" s="69"/>
      <c r="Z1295" s="69"/>
      <c r="AA1295" s="69"/>
      <c r="AB1295" s="69"/>
      <c r="AC1295" s="69"/>
      <c r="AD1295" s="69"/>
      <c r="AE1295" s="69"/>
    </row>
    <row r="1296" spans="1:31" ht="22.5" customHeight="1">
      <c r="A1296" s="69"/>
      <c r="B1296" s="69"/>
      <c r="C1296" s="69"/>
      <c r="D1296" s="69"/>
      <c r="E1296" s="185"/>
      <c r="F1296" s="69"/>
      <c r="G1296" s="185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U1296" s="69"/>
      <c r="V1296" s="69"/>
      <c r="W1296" s="69"/>
      <c r="X1296" s="69"/>
      <c r="Y1296" s="69"/>
      <c r="Z1296" s="69"/>
      <c r="AA1296" s="69"/>
      <c r="AB1296" s="69"/>
      <c r="AC1296" s="69"/>
      <c r="AD1296" s="69"/>
      <c r="AE1296" s="69"/>
    </row>
    <row r="1297" spans="1:31" ht="22.5" customHeight="1">
      <c r="A1297" s="69"/>
      <c r="B1297" s="69"/>
      <c r="C1297" s="69"/>
      <c r="D1297" s="69"/>
      <c r="E1297" s="185"/>
      <c r="F1297" s="69"/>
      <c r="G1297" s="185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69"/>
      <c r="T1297" s="69"/>
      <c r="U1297" s="69"/>
      <c r="V1297" s="69"/>
      <c r="W1297" s="69"/>
      <c r="X1297" s="69"/>
      <c r="Y1297" s="69"/>
      <c r="Z1297" s="69"/>
      <c r="AA1297" s="69"/>
      <c r="AB1297" s="69"/>
      <c r="AC1297" s="69"/>
      <c r="AD1297" s="69"/>
      <c r="AE1297" s="69"/>
    </row>
    <row r="1298" spans="1:31" ht="22.5" customHeight="1">
      <c r="A1298" s="69"/>
      <c r="B1298" s="69"/>
      <c r="C1298" s="69"/>
      <c r="D1298" s="69"/>
      <c r="E1298" s="185"/>
      <c r="F1298" s="69"/>
      <c r="G1298" s="185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  <c r="T1298" s="69"/>
      <c r="U1298" s="69"/>
      <c r="V1298" s="69"/>
      <c r="W1298" s="69"/>
      <c r="X1298" s="69"/>
      <c r="Y1298" s="69"/>
      <c r="Z1298" s="69"/>
      <c r="AA1298" s="69"/>
      <c r="AB1298" s="69"/>
      <c r="AC1298" s="69"/>
      <c r="AD1298" s="69"/>
      <c r="AE1298" s="69"/>
    </row>
    <row r="1299" spans="1:31" ht="22.5" customHeight="1">
      <c r="A1299" s="69"/>
      <c r="B1299" s="69"/>
      <c r="C1299" s="69"/>
      <c r="D1299" s="69"/>
      <c r="E1299" s="185"/>
      <c r="F1299" s="69"/>
      <c r="G1299" s="185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69"/>
      <c r="T1299" s="69"/>
      <c r="U1299" s="69"/>
      <c r="V1299" s="69"/>
      <c r="W1299" s="69"/>
      <c r="X1299" s="69"/>
      <c r="Y1299" s="69"/>
      <c r="Z1299" s="69"/>
      <c r="AA1299" s="69"/>
      <c r="AB1299" s="69"/>
      <c r="AC1299" s="69"/>
      <c r="AD1299" s="69"/>
      <c r="AE1299" s="69"/>
    </row>
    <row r="1300" spans="1:31" ht="22.5" customHeight="1">
      <c r="A1300" s="69"/>
      <c r="B1300" s="69"/>
      <c r="C1300" s="69"/>
      <c r="D1300" s="69"/>
      <c r="E1300" s="185"/>
      <c r="F1300" s="69"/>
      <c r="G1300" s="185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  <c r="T1300" s="69"/>
      <c r="U1300" s="69"/>
      <c r="V1300" s="69"/>
      <c r="W1300" s="69"/>
      <c r="X1300" s="69"/>
      <c r="Y1300" s="69"/>
      <c r="Z1300" s="69"/>
      <c r="AA1300" s="69"/>
      <c r="AB1300" s="69"/>
      <c r="AC1300" s="69"/>
      <c r="AD1300" s="69"/>
      <c r="AE1300" s="69"/>
    </row>
    <row r="1301" spans="1:31" ht="22.5" customHeight="1">
      <c r="A1301" s="69"/>
      <c r="B1301" s="69"/>
      <c r="C1301" s="69"/>
      <c r="D1301" s="69"/>
      <c r="E1301" s="185"/>
      <c r="F1301" s="69"/>
      <c r="G1301" s="185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69"/>
      <c r="T1301" s="69"/>
      <c r="U1301" s="69"/>
      <c r="V1301" s="69"/>
      <c r="W1301" s="69"/>
      <c r="X1301" s="69"/>
      <c r="Y1301" s="69"/>
      <c r="Z1301" s="69"/>
      <c r="AA1301" s="69"/>
      <c r="AB1301" s="69"/>
      <c r="AC1301" s="69"/>
      <c r="AD1301" s="69"/>
      <c r="AE1301" s="69"/>
    </row>
    <row r="1302" spans="1:31" ht="22.5" customHeight="1">
      <c r="A1302" s="69"/>
      <c r="B1302" s="69"/>
      <c r="C1302" s="69"/>
      <c r="D1302" s="69"/>
      <c r="E1302" s="185"/>
      <c r="F1302" s="69"/>
      <c r="G1302" s="185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  <c r="Z1302" s="69"/>
      <c r="AA1302" s="69"/>
      <c r="AB1302" s="69"/>
      <c r="AC1302" s="69"/>
      <c r="AD1302" s="69"/>
      <c r="AE1302" s="69"/>
    </row>
    <row r="1303" spans="1:31" ht="22.5" customHeight="1">
      <c r="A1303" s="69"/>
      <c r="B1303" s="69"/>
      <c r="C1303" s="69"/>
      <c r="D1303" s="69"/>
      <c r="E1303" s="185"/>
      <c r="F1303" s="69"/>
      <c r="G1303" s="185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69"/>
      <c r="T1303" s="69"/>
      <c r="U1303" s="69"/>
      <c r="V1303" s="69"/>
      <c r="W1303" s="69"/>
      <c r="X1303" s="69"/>
      <c r="Y1303" s="69"/>
      <c r="Z1303" s="69"/>
      <c r="AA1303" s="69"/>
      <c r="AB1303" s="69"/>
      <c r="AC1303" s="69"/>
      <c r="AD1303" s="69"/>
      <c r="AE1303" s="69"/>
    </row>
    <row r="1304" spans="1:31" ht="22.5" customHeight="1">
      <c r="A1304" s="69"/>
      <c r="B1304" s="69"/>
      <c r="C1304" s="69"/>
      <c r="D1304" s="69"/>
      <c r="E1304" s="185"/>
      <c r="F1304" s="69"/>
      <c r="G1304" s="185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  <c r="T1304" s="69"/>
      <c r="U1304" s="69"/>
      <c r="V1304" s="69"/>
      <c r="W1304" s="69"/>
      <c r="X1304" s="69"/>
      <c r="Y1304" s="69"/>
      <c r="Z1304" s="69"/>
      <c r="AA1304" s="69"/>
      <c r="AB1304" s="69"/>
      <c r="AC1304" s="69"/>
      <c r="AD1304" s="69"/>
      <c r="AE1304" s="69"/>
    </row>
    <row r="1305" spans="1:31" ht="22.5" customHeight="1">
      <c r="A1305" s="69"/>
      <c r="B1305" s="69"/>
      <c r="C1305" s="69"/>
      <c r="D1305" s="69"/>
      <c r="E1305" s="185"/>
      <c r="F1305" s="69"/>
      <c r="G1305" s="185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69"/>
      <c r="T1305" s="69"/>
      <c r="U1305" s="69"/>
      <c r="V1305" s="69"/>
      <c r="W1305" s="69"/>
      <c r="X1305" s="69"/>
      <c r="Y1305" s="69"/>
      <c r="Z1305" s="69"/>
      <c r="AA1305" s="69"/>
      <c r="AB1305" s="69"/>
      <c r="AC1305" s="69"/>
      <c r="AD1305" s="69"/>
      <c r="AE1305" s="69"/>
    </row>
    <row r="1306" spans="1:31" ht="22.5" customHeight="1">
      <c r="A1306" s="69"/>
      <c r="B1306" s="69"/>
      <c r="C1306" s="69"/>
      <c r="D1306" s="69"/>
      <c r="E1306" s="185"/>
      <c r="F1306" s="69"/>
      <c r="G1306" s="185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  <c r="T1306" s="69"/>
      <c r="U1306" s="69"/>
      <c r="V1306" s="69"/>
      <c r="W1306" s="69"/>
      <c r="X1306" s="69"/>
      <c r="Y1306" s="69"/>
      <c r="Z1306" s="69"/>
      <c r="AA1306" s="69"/>
      <c r="AB1306" s="69"/>
      <c r="AC1306" s="69"/>
      <c r="AD1306" s="69"/>
      <c r="AE1306" s="69"/>
    </row>
    <row r="1307" spans="1:31" ht="22.5" customHeight="1">
      <c r="A1307" s="69"/>
      <c r="B1307" s="69"/>
      <c r="C1307" s="69"/>
      <c r="D1307" s="69"/>
      <c r="E1307" s="185"/>
      <c r="F1307" s="69"/>
      <c r="G1307" s="185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69"/>
      <c r="T1307" s="69"/>
      <c r="U1307" s="69"/>
      <c r="V1307" s="69"/>
      <c r="W1307" s="69"/>
      <c r="X1307" s="69"/>
      <c r="Y1307" s="69"/>
      <c r="Z1307" s="69"/>
      <c r="AA1307" s="69"/>
      <c r="AB1307" s="69"/>
      <c r="AC1307" s="69"/>
      <c r="AD1307" s="69"/>
      <c r="AE1307" s="69"/>
    </row>
    <row r="1308" spans="1:31" ht="22.5" customHeight="1">
      <c r="A1308" s="69"/>
      <c r="B1308" s="69"/>
      <c r="C1308" s="69"/>
      <c r="D1308" s="69"/>
      <c r="E1308" s="185"/>
      <c r="F1308" s="69"/>
      <c r="G1308" s="185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  <c r="T1308" s="69"/>
      <c r="U1308" s="69"/>
      <c r="V1308" s="69"/>
      <c r="W1308" s="69"/>
      <c r="X1308" s="69"/>
      <c r="Y1308" s="69"/>
      <c r="Z1308" s="69"/>
      <c r="AA1308" s="69"/>
      <c r="AB1308" s="69"/>
      <c r="AC1308" s="69"/>
      <c r="AD1308" s="69"/>
      <c r="AE1308" s="69"/>
    </row>
    <row r="1309" spans="1:31" ht="22.5" customHeight="1">
      <c r="A1309" s="69"/>
      <c r="B1309" s="69"/>
      <c r="C1309" s="69"/>
      <c r="D1309" s="69"/>
      <c r="E1309" s="185"/>
      <c r="F1309" s="69"/>
      <c r="G1309" s="185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  <c r="Z1309" s="69"/>
      <c r="AA1309" s="69"/>
      <c r="AB1309" s="69"/>
      <c r="AC1309" s="69"/>
      <c r="AD1309" s="69"/>
      <c r="AE1309" s="69"/>
    </row>
    <row r="1310" spans="1:31" ht="22.5" customHeight="1">
      <c r="A1310" s="69"/>
      <c r="B1310" s="69"/>
      <c r="C1310" s="69"/>
      <c r="D1310" s="69"/>
      <c r="E1310" s="185"/>
      <c r="F1310" s="69"/>
      <c r="G1310" s="185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69"/>
      <c r="X1310" s="69"/>
      <c r="Y1310" s="69"/>
      <c r="Z1310" s="69"/>
      <c r="AA1310" s="69"/>
      <c r="AB1310" s="69"/>
      <c r="AC1310" s="69"/>
      <c r="AD1310" s="69"/>
      <c r="AE1310" s="69"/>
    </row>
    <row r="1311" spans="1:31" ht="22.5" customHeight="1">
      <c r="A1311" s="69"/>
      <c r="B1311" s="69"/>
      <c r="C1311" s="69"/>
      <c r="D1311" s="69"/>
      <c r="E1311" s="185"/>
      <c r="F1311" s="69"/>
      <c r="G1311" s="185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69"/>
      <c r="T1311" s="69"/>
      <c r="U1311" s="69"/>
      <c r="V1311" s="69"/>
      <c r="W1311" s="69"/>
      <c r="X1311" s="69"/>
      <c r="Y1311" s="69"/>
      <c r="Z1311" s="69"/>
      <c r="AA1311" s="69"/>
      <c r="AB1311" s="69"/>
      <c r="AC1311" s="69"/>
      <c r="AD1311" s="69"/>
      <c r="AE1311" s="69"/>
    </row>
    <row r="1312" spans="1:31" ht="22.5" customHeight="1">
      <c r="A1312" s="69"/>
      <c r="B1312" s="69"/>
      <c r="C1312" s="69"/>
      <c r="D1312" s="69"/>
      <c r="E1312" s="185"/>
      <c r="F1312" s="69"/>
      <c r="G1312" s="185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  <c r="T1312" s="69"/>
      <c r="U1312" s="69"/>
      <c r="V1312" s="69"/>
      <c r="W1312" s="69"/>
      <c r="X1312" s="69"/>
      <c r="Y1312" s="69"/>
      <c r="Z1312" s="69"/>
      <c r="AA1312" s="69"/>
      <c r="AB1312" s="69"/>
      <c r="AC1312" s="69"/>
      <c r="AD1312" s="69"/>
      <c r="AE1312" s="69"/>
    </row>
    <row r="1313" spans="1:31" ht="22.5" customHeight="1">
      <c r="A1313" s="69"/>
      <c r="B1313" s="69"/>
      <c r="C1313" s="69"/>
      <c r="D1313" s="69"/>
      <c r="E1313" s="185"/>
      <c r="F1313" s="69"/>
      <c r="G1313" s="185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69"/>
      <c r="T1313" s="69"/>
      <c r="U1313" s="69"/>
      <c r="V1313" s="69"/>
      <c r="W1313" s="69"/>
      <c r="X1313" s="69"/>
      <c r="Y1313" s="69"/>
      <c r="Z1313" s="69"/>
      <c r="AA1313" s="69"/>
      <c r="AB1313" s="69"/>
      <c r="AC1313" s="69"/>
      <c r="AD1313" s="69"/>
      <c r="AE1313" s="69"/>
    </row>
    <row r="1314" spans="1:31" ht="22.5" customHeight="1">
      <c r="A1314" s="69"/>
      <c r="B1314" s="69"/>
      <c r="C1314" s="69"/>
      <c r="D1314" s="69"/>
      <c r="E1314" s="185"/>
      <c r="F1314" s="69"/>
      <c r="G1314" s="185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  <c r="T1314" s="69"/>
      <c r="U1314" s="69"/>
      <c r="V1314" s="69"/>
      <c r="W1314" s="69"/>
      <c r="X1314" s="69"/>
      <c r="Y1314" s="69"/>
      <c r="Z1314" s="69"/>
      <c r="AA1314" s="69"/>
      <c r="AB1314" s="69"/>
      <c r="AC1314" s="69"/>
      <c r="AD1314" s="69"/>
      <c r="AE1314" s="69"/>
    </row>
    <row r="1315" spans="1:31" ht="22.5" customHeight="1">
      <c r="A1315" s="69"/>
      <c r="B1315" s="69"/>
      <c r="C1315" s="69"/>
      <c r="D1315" s="69"/>
      <c r="E1315" s="185"/>
      <c r="F1315" s="69"/>
      <c r="G1315" s="185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69"/>
      <c r="T1315" s="69"/>
      <c r="U1315" s="69"/>
      <c r="V1315" s="69"/>
      <c r="W1315" s="69"/>
      <c r="X1315" s="69"/>
      <c r="Y1315" s="69"/>
      <c r="Z1315" s="69"/>
      <c r="AA1315" s="69"/>
      <c r="AB1315" s="69"/>
      <c r="AC1315" s="69"/>
      <c r="AD1315" s="69"/>
      <c r="AE1315" s="69"/>
    </row>
    <row r="1316" spans="1:31" ht="22.5" customHeight="1">
      <c r="A1316" s="69"/>
      <c r="B1316" s="69"/>
      <c r="C1316" s="69"/>
      <c r="D1316" s="69"/>
      <c r="E1316" s="185"/>
      <c r="F1316" s="69"/>
      <c r="G1316" s="185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  <c r="T1316" s="69"/>
      <c r="U1316" s="69"/>
      <c r="V1316" s="69"/>
      <c r="W1316" s="69"/>
      <c r="X1316" s="69"/>
      <c r="Y1316" s="69"/>
      <c r="Z1316" s="69"/>
      <c r="AA1316" s="69"/>
      <c r="AB1316" s="69"/>
      <c r="AC1316" s="69"/>
      <c r="AD1316" s="69"/>
      <c r="AE1316" s="69"/>
    </row>
    <row r="1317" spans="1:31" ht="22.5" customHeight="1">
      <c r="A1317" s="69"/>
      <c r="B1317" s="69"/>
      <c r="C1317" s="69"/>
      <c r="D1317" s="69"/>
      <c r="E1317" s="185"/>
      <c r="F1317" s="69"/>
      <c r="G1317" s="185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  <c r="Z1317" s="69"/>
      <c r="AA1317" s="69"/>
      <c r="AB1317" s="69"/>
      <c r="AC1317" s="69"/>
      <c r="AD1317" s="69"/>
      <c r="AE1317" s="69"/>
    </row>
    <row r="1318" spans="1:31" ht="22.5" customHeight="1">
      <c r="A1318" s="69"/>
      <c r="B1318" s="69"/>
      <c r="C1318" s="69"/>
      <c r="D1318" s="69"/>
      <c r="E1318" s="185"/>
      <c r="F1318" s="69"/>
      <c r="G1318" s="185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  <c r="T1318" s="69"/>
      <c r="U1318" s="69"/>
      <c r="V1318" s="69"/>
      <c r="W1318" s="69"/>
      <c r="X1318" s="69"/>
      <c r="Y1318" s="69"/>
      <c r="Z1318" s="69"/>
      <c r="AA1318" s="69"/>
      <c r="AB1318" s="69"/>
      <c r="AC1318" s="69"/>
      <c r="AD1318" s="69"/>
      <c r="AE1318" s="69"/>
    </row>
    <row r="1319" spans="1:31" ht="22.5" customHeight="1">
      <c r="A1319" s="69"/>
      <c r="B1319" s="69"/>
      <c r="C1319" s="69"/>
      <c r="D1319" s="69"/>
      <c r="E1319" s="185"/>
      <c r="F1319" s="69"/>
      <c r="G1319" s="185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69"/>
      <c r="T1319" s="69"/>
      <c r="U1319" s="69"/>
      <c r="V1319" s="69"/>
      <c r="W1319" s="69"/>
      <c r="X1319" s="69"/>
      <c r="Y1319" s="69"/>
      <c r="Z1319" s="69"/>
      <c r="AA1319" s="69"/>
      <c r="AB1319" s="69"/>
      <c r="AC1319" s="69"/>
      <c r="AD1319" s="69"/>
      <c r="AE1319" s="69"/>
    </row>
    <row r="1320" spans="1:31" ht="22.5" customHeight="1">
      <c r="A1320" s="69"/>
      <c r="B1320" s="69"/>
      <c r="C1320" s="69"/>
      <c r="D1320" s="69"/>
      <c r="E1320" s="185"/>
      <c r="F1320" s="69"/>
      <c r="G1320" s="185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  <c r="T1320" s="69"/>
      <c r="U1320" s="69"/>
      <c r="V1320" s="69"/>
      <c r="W1320" s="69"/>
      <c r="X1320" s="69"/>
      <c r="Y1320" s="69"/>
      <c r="Z1320" s="69"/>
      <c r="AA1320" s="69"/>
      <c r="AB1320" s="69"/>
      <c r="AC1320" s="69"/>
      <c r="AD1320" s="69"/>
      <c r="AE1320" s="69"/>
    </row>
    <row r="1321" spans="1:31" ht="22.5" customHeight="1">
      <c r="A1321" s="69"/>
      <c r="B1321" s="69"/>
      <c r="C1321" s="69"/>
      <c r="D1321" s="69"/>
      <c r="E1321" s="185"/>
      <c r="F1321" s="69"/>
      <c r="G1321" s="185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69"/>
      <c r="T1321" s="69"/>
      <c r="U1321" s="69"/>
      <c r="V1321" s="69"/>
      <c r="W1321" s="69"/>
      <c r="X1321" s="69"/>
      <c r="Y1321" s="69"/>
      <c r="Z1321" s="69"/>
      <c r="AA1321" s="69"/>
      <c r="AB1321" s="69"/>
      <c r="AC1321" s="69"/>
      <c r="AD1321" s="69"/>
      <c r="AE1321" s="69"/>
    </row>
    <row r="1322" spans="1:31" ht="22.5" customHeight="1">
      <c r="A1322" s="69"/>
      <c r="B1322" s="69"/>
      <c r="C1322" s="69"/>
      <c r="D1322" s="69"/>
      <c r="E1322" s="185"/>
      <c r="F1322" s="69"/>
      <c r="G1322" s="185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  <c r="T1322" s="69"/>
      <c r="U1322" s="69"/>
      <c r="V1322" s="69"/>
      <c r="W1322" s="69"/>
      <c r="X1322" s="69"/>
      <c r="Y1322" s="69"/>
      <c r="Z1322" s="69"/>
      <c r="AA1322" s="69"/>
      <c r="AB1322" s="69"/>
      <c r="AC1322" s="69"/>
      <c r="AD1322" s="69"/>
      <c r="AE1322" s="69"/>
    </row>
    <row r="1323" spans="1:31" ht="22.5" customHeight="1">
      <c r="A1323" s="69"/>
      <c r="B1323" s="69"/>
      <c r="C1323" s="69"/>
      <c r="D1323" s="69"/>
      <c r="E1323" s="185"/>
      <c r="F1323" s="69"/>
      <c r="G1323" s="185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  <c r="AA1323" s="69"/>
      <c r="AB1323" s="69"/>
      <c r="AC1323" s="69"/>
      <c r="AD1323" s="69"/>
      <c r="AE1323" s="69"/>
    </row>
    <row r="1324" spans="1:31" ht="22.5" customHeight="1">
      <c r="A1324" s="69"/>
      <c r="B1324" s="69"/>
      <c r="C1324" s="69"/>
      <c r="D1324" s="69"/>
      <c r="E1324" s="185"/>
      <c r="F1324" s="69"/>
      <c r="G1324" s="185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  <c r="T1324" s="69"/>
      <c r="U1324" s="69"/>
      <c r="V1324" s="69"/>
      <c r="W1324" s="69"/>
      <c r="X1324" s="69"/>
      <c r="Y1324" s="69"/>
      <c r="Z1324" s="69"/>
      <c r="AA1324" s="69"/>
      <c r="AB1324" s="69"/>
      <c r="AC1324" s="69"/>
      <c r="AD1324" s="69"/>
      <c r="AE1324" s="69"/>
    </row>
    <row r="1325" spans="1:31" ht="22.5" customHeight="1">
      <c r="A1325" s="69"/>
      <c r="B1325" s="69"/>
      <c r="C1325" s="69"/>
      <c r="D1325" s="69"/>
      <c r="E1325" s="185"/>
      <c r="F1325" s="69"/>
      <c r="G1325" s="185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69"/>
      <c r="T1325" s="69"/>
      <c r="U1325" s="69"/>
      <c r="V1325" s="69"/>
      <c r="W1325" s="69"/>
      <c r="X1325" s="69"/>
      <c r="Y1325" s="69"/>
      <c r="Z1325" s="69"/>
      <c r="AA1325" s="69"/>
      <c r="AB1325" s="69"/>
      <c r="AC1325" s="69"/>
      <c r="AD1325" s="69"/>
      <c r="AE1325" s="69"/>
    </row>
    <row r="1326" spans="1:31" ht="22.5" customHeight="1">
      <c r="A1326" s="69"/>
      <c r="B1326" s="69"/>
      <c r="C1326" s="69"/>
      <c r="D1326" s="69"/>
      <c r="E1326" s="185"/>
      <c r="F1326" s="69"/>
      <c r="G1326" s="185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  <c r="T1326" s="69"/>
      <c r="U1326" s="69"/>
      <c r="V1326" s="69"/>
      <c r="W1326" s="69"/>
      <c r="X1326" s="69"/>
      <c r="Y1326" s="69"/>
      <c r="Z1326" s="69"/>
      <c r="AA1326" s="69"/>
      <c r="AB1326" s="69"/>
      <c r="AC1326" s="69"/>
      <c r="AD1326" s="69"/>
      <c r="AE1326" s="69"/>
    </row>
    <row r="1327" spans="1:31" ht="22.5" customHeight="1">
      <c r="A1327" s="69"/>
      <c r="B1327" s="69"/>
      <c r="C1327" s="69"/>
      <c r="D1327" s="69"/>
      <c r="E1327" s="185"/>
      <c r="F1327" s="69"/>
      <c r="G1327" s="185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69"/>
      <c r="T1327" s="69"/>
      <c r="U1327" s="69"/>
      <c r="V1327" s="69"/>
      <c r="W1327" s="69"/>
      <c r="X1327" s="69"/>
      <c r="Y1327" s="69"/>
      <c r="Z1327" s="69"/>
      <c r="AA1327" s="69"/>
      <c r="AB1327" s="69"/>
      <c r="AC1327" s="69"/>
      <c r="AD1327" s="69"/>
      <c r="AE1327" s="69"/>
    </row>
    <row r="1328" spans="1:31" ht="22.5" customHeight="1">
      <c r="A1328" s="69"/>
      <c r="B1328" s="69"/>
      <c r="C1328" s="69"/>
      <c r="D1328" s="69"/>
      <c r="E1328" s="185"/>
      <c r="F1328" s="69"/>
      <c r="G1328" s="185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69"/>
      <c r="X1328" s="69"/>
      <c r="Y1328" s="69"/>
      <c r="Z1328" s="69"/>
      <c r="AA1328" s="69"/>
      <c r="AB1328" s="69"/>
      <c r="AC1328" s="69"/>
      <c r="AD1328" s="69"/>
      <c r="AE1328" s="69"/>
    </row>
    <row r="1329" spans="1:31" ht="22.5" customHeight="1">
      <c r="A1329" s="69"/>
      <c r="B1329" s="69"/>
      <c r="C1329" s="69"/>
      <c r="D1329" s="69"/>
      <c r="E1329" s="185"/>
      <c r="F1329" s="69"/>
      <c r="G1329" s="185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69"/>
      <c r="T1329" s="69"/>
      <c r="U1329" s="69"/>
      <c r="V1329" s="69"/>
      <c r="W1329" s="69"/>
      <c r="X1329" s="69"/>
      <c r="Y1329" s="69"/>
      <c r="Z1329" s="69"/>
      <c r="AA1329" s="69"/>
      <c r="AB1329" s="69"/>
      <c r="AC1329" s="69"/>
      <c r="AD1329" s="69"/>
      <c r="AE1329" s="69"/>
    </row>
    <row r="1330" spans="1:31" ht="22.5" customHeight="1">
      <c r="A1330" s="69"/>
      <c r="B1330" s="69"/>
      <c r="C1330" s="69"/>
      <c r="D1330" s="69"/>
      <c r="E1330" s="185"/>
      <c r="F1330" s="69"/>
      <c r="G1330" s="185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  <c r="T1330" s="69"/>
      <c r="U1330" s="69"/>
      <c r="V1330" s="69"/>
      <c r="W1330" s="69"/>
      <c r="X1330" s="69"/>
      <c r="Y1330" s="69"/>
      <c r="Z1330" s="69"/>
      <c r="AA1330" s="69"/>
      <c r="AB1330" s="69"/>
      <c r="AC1330" s="69"/>
      <c r="AD1330" s="69"/>
      <c r="AE1330" s="69"/>
    </row>
    <row r="1331" spans="1:31" ht="22.5" customHeight="1">
      <c r="A1331" s="69"/>
      <c r="B1331" s="69"/>
      <c r="C1331" s="69"/>
      <c r="D1331" s="69"/>
      <c r="E1331" s="185"/>
      <c r="F1331" s="69"/>
      <c r="G1331" s="185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69"/>
      <c r="T1331" s="69"/>
      <c r="U1331" s="69"/>
      <c r="V1331" s="69"/>
      <c r="W1331" s="69"/>
      <c r="X1331" s="69"/>
      <c r="Y1331" s="69"/>
      <c r="Z1331" s="69"/>
      <c r="AA1331" s="69"/>
      <c r="AB1331" s="69"/>
      <c r="AC1331" s="69"/>
      <c r="AD1331" s="69"/>
      <c r="AE1331" s="69"/>
    </row>
    <row r="1332" spans="1:31" ht="22.5" customHeight="1">
      <c r="A1332" s="69"/>
      <c r="B1332" s="69"/>
      <c r="C1332" s="69"/>
      <c r="D1332" s="69"/>
      <c r="E1332" s="185"/>
      <c r="F1332" s="69"/>
      <c r="G1332" s="185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  <c r="T1332" s="69"/>
      <c r="U1332" s="69"/>
      <c r="V1332" s="69"/>
      <c r="W1332" s="69"/>
      <c r="X1332" s="69"/>
      <c r="Y1332" s="69"/>
      <c r="Z1332" s="69"/>
      <c r="AA1332" s="69"/>
      <c r="AB1332" s="69"/>
      <c r="AC1332" s="69"/>
      <c r="AD1332" s="69"/>
      <c r="AE1332" s="69"/>
    </row>
    <row r="1333" spans="1:31" ht="22.5" customHeight="1">
      <c r="A1333" s="69"/>
      <c r="B1333" s="69"/>
      <c r="C1333" s="69"/>
      <c r="D1333" s="69"/>
      <c r="E1333" s="185"/>
      <c r="F1333" s="69"/>
      <c r="G1333" s="185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69"/>
      <c r="T1333" s="69"/>
      <c r="U1333" s="69"/>
      <c r="V1333" s="69"/>
      <c r="W1333" s="69"/>
      <c r="X1333" s="69"/>
      <c r="Y1333" s="69"/>
      <c r="Z1333" s="69"/>
      <c r="AA1333" s="69"/>
      <c r="AB1333" s="69"/>
      <c r="AC1333" s="69"/>
      <c r="AD1333" s="69"/>
      <c r="AE1333" s="69"/>
    </row>
    <row r="1334" spans="1:31" ht="22.5" customHeight="1">
      <c r="A1334" s="69"/>
      <c r="B1334" s="69"/>
      <c r="C1334" s="69"/>
      <c r="D1334" s="69"/>
      <c r="E1334" s="185"/>
      <c r="F1334" s="69"/>
      <c r="G1334" s="185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U1334" s="69"/>
      <c r="V1334" s="69"/>
      <c r="W1334" s="69"/>
      <c r="X1334" s="69"/>
      <c r="Y1334" s="69"/>
      <c r="Z1334" s="69"/>
      <c r="AA1334" s="69"/>
      <c r="AB1334" s="69"/>
      <c r="AC1334" s="69"/>
      <c r="AD1334" s="69"/>
      <c r="AE1334" s="69"/>
    </row>
    <row r="1335" spans="1:31" ht="22.5" customHeight="1">
      <c r="A1335" s="69"/>
      <c r="B1335" s="69"/>
      <c r="C1335" s="69"/>
      <c r="D1335" s="69"/>
      <c r="E1335" s="185"/>
      <c r="F1335" s="69"/>
      <c r="G1335" s="185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69"/>
      <c r="T1335" s="69"/>
      <c r="U1335" s="69"/>
      <c r="V1335" s="69"/>
      <c r="W1335" s="69"/>
      <c r="X1335" s="69"/>
      <c r="Y1335" s="69"/>
      <c r="Z1335" s="69"/>
      <c r="AA1335" s="69"/>
      <c r="AB1335" s="69"/>
      <c r="AC1335" s="69"/>
      <c r="AD1335" s="69"/>
      <c r="AE1335" s="69"/>
    </row>
    <row r="1336" spans="1:31" ht="22.5" customHeight="1">
      <c r="A1336" s="69"/>
      <c r="B1336" s="69"/>
      <c r="C1336" s="69"/>
      <c r="D1336" s="69"/>
      <c r="E1336" s="185"/>
      <c r="F1336" s="69"/>
      <c r="G1336" s="185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  <c r="Z1336" s="69"/>
      <c r="AA1336" s="69"/>
      <c r="AB1336" s="69"/>
      <c r="AC1336" s="69"/>
      <c r="AD1336" s="69"/>
      <c r="AE1336" s="69"/>
    </row>
    <row r="1337" spans="1:31" ht="22.5" customHeight="1">
      <c r="A1337" s="69"/>
      <c r="B1337" s="69"/>
      <c r="C1337" s="69"/>
      <c r="D1337" s="69"/>
      <c r="E1337" s="185"/>
      <c r="F1337" s="69"/>
      <c r="G1337" s="185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69"/>
      <c r="T1337" s="69"/>
      <c r="U1337" s="69"/>
      <c r="V1337" s="69"/>
      <c r="W1337" s="69"/>
      <c r="X1337" s="69"/>
      <c r="Y1337" s="69"/>
      <c r="Z1337" s="69"/>
      <c r="AA1337" s="69"/>
      <c r="AB1337" s="69"/>
      <c r="AC1337" s="69"/>
      <c r="AD1337" s="69"/>
      <c r="AE1337" s="69"/>
    </row>
    <row r="1338" spans="1:31" ht="22.5" customHeight="1">
      <c r="A1338" s="69"/>
      <c r="B1338" s="69"/>
      <c r="C1338" s="69"/>
      <c r="D1338" s="69"/>
      <c r="E1338" s="185"/>
      <c r="F1338" s="69"/>
      <c r="G1338" s="185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  <c r="T1338" s="69"/>
      <c r="U1338" s="69"/>
      <c r="V1338" s="69"/>
      <c r="W1338" s="69"/>
      <c r="X1338" s="69"/>
      <c r="Y1338" s="69"/>
      <c r="Z1338" s="69"/>
      <c r="AA1338" s="69"/>
      <c r="AB1338" s="69"/>
      <c r="AC1338" s="69"/>
      <c r="AD1338" s="69"/>
      <c r="AE1338" s="69"/>
    </row>
    <row r="1339" spans="1:31" ht="22.5" customHeight="1">
      <c r="A1339" s="69"/>
      <c r="B1339" s="69"/>
      <c r="C1339" s="69"/>
      <c r="D1339" s="69"/>
      <c r="E1339" s="185"/>
      <c r="F1339" s="69"/>
      <c r="G1339" s="185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69"/>
      <c r="T1339" s="69"/>
      <c r="U1339" s="69"/>
      <c r="V1339" s="69"/>
      <c r="W1339" s="69"/>
      <c r="X1339" s="69"/>
      <c r="Y1339" s="69"/>
      <c r="Z1339" s="69"/>
      <c r="AA1339" s="69"/>
      <c r="AB1339" s="69"/>
      <c r="AC1339" s="69"/>
      <c r="AD1339" s="69"/>
      <c r="AE1339" s="69"/>
    </row>
    <row r="1340" spans="1:31" ht="22.5" customHeight="1">
      <c r="A1340" s="69"/>
      <c r="B1340" s="69"/>
      <c r="C1340" s="69"/>
      <c r="D1340" s="69"/>
      <c r="E1340" s="185"/>
      <c r="F1340" s="69"/>
      <c r="G1340" s="185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  <c r="T1340" s="69"/>
      <c r="U1340" s="69"/>
      <c r="V1340" s="69"/>
      <c r="W1340" s="69"/>
      <c r="X1340" s="69"/>
      <c r="Y1340" s="69"/>
      <c r="Z1340" s="69"/>
      <c r="AA1340" s="69"/>
      <c r="AB1340" s="69"/>
      <c r="AC1340" s="69"/>
      <c r="AD1340" s="69"/>
      <c r="AE1340" s="69"/>
    </row>
    <row r="1341" spans="1:31" ht="22.5" customHeight="1">
      <c r="A1341" s="69"/>
      <c r="B1341" s="69"/>
      <c r="C1341" s="69"/>
      <c r="D1341" s="69"/>
      <c r="E1341" s="185"/>
      <c r="F1341" s="69"/>
      <c r="G1341" s="185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69"/>
      <c r="T1341" s="69"/>
      <c r="U1341" s="69"/>
      <c r="V1341" s="69"/>
      <c r="W1341" s="69"/>
      <c r="X1341" s="69"/>
      <c r="Y1341" s="69"/>
      <c r="Z1341" s="69"/>
      <c r="AA1341" s="69"/>
      <c r="AB1341" s="69"/>
      <c r="AC1341" s="69"/>
      <c r="AD1341" s="69"/>
      <c r="AE1341" s="69"/>
    </row>
    <row r="1342" spans="1:31" ht="22.5" customHeight="1">
      <c r="A1342" s="69"/>
      <c r="B1342" s="69"/>
      <c r="C1342" s="69"/>
      <c r="D1342" s="69"/>
      <c r="E1342" s="185"/>
      <c r="F1342" s="69"/>
      <c r="G1342" s="185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  <c r="Z1342" s="69"/>
      <c r="AA1342" s="69"/>
      <c r="AB1342" s="69"/>
      <c r="AC1342" s="69"/>
      <c r="AD1342" s="69"/>
      <c r="AE1342" s="69"/>
    </row>
    <row r="1343" spans="1:31" ht="22.5" customHeight="1">
      <c r="A1343" s="69"/>
      <c r="B1343" s="69"/>
      <c r="C1343" s="69"/>
      <c r="D1343" s="69"/>
      <c r="E1343" s="185"/>
      <c r="F1343" s="69"/>
      <c r="G1343" s="185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69"/>
      <c r="T1343" s="69"/>
      <c r="U1343" s="69"/>
      <c r="V1343" s="69"/>
      <c r="W1343" s="69"/>
      <c r="X1343" s="69"/>
      <c r="Y1343" s="69"/>
      <c r="Z1343" s="69"/>
      <c r="AA1343" s="69"/>
      <c r="AB1343" s="69"/>
      <c r="AC1343" s="69"/>
      <c r="AD1343" s="69"/>
      <c r="AE1343" s="69"/>
    </row>
    <row r="1344" spans="1:31" ht="22.5" customHeight="1">
      <c r="A1344" s="69"/>
      <c r="B1344" s="69"/>
      <c r="C1344" s="69"/>
      <c r="D1344" s="69"/>
      <c r="E1344" s="185"/>
      <c r="F1344" s="69"/>
      <c r="G1344" s="185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  <c r="T1344" s="69"/>
      <c r="U1344" s="69"/>
      <c r="V1344" s="69"/>
      <c r="W1344" s="69"/>
      <c r="X1344" s="69"/>
      <c r="Y1344" s="69"/>
      <c r="Z1344" s="69"/>
      <c r="AA1344" s="69"/>
      <c r="AB1344" s="69"/>
      <c r="AC1344" s="69"/>
      <c r="AD1344" s="69"/>
      <c r="AE1344" s="69"/>
    </row>
    <row r="1345" spans="1:31" ht="22.5" customHeight="1">
      <c r="A1345" s="69"/>
      <c r="B1345" s="69"/>
      <c r="C1345" s="69"/>
      <c r="D1345" s="69"/>
      <c r="E1345" s="185"/>
      <c r="F1345" s="69"/>
      <c r="G1345" s="185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69"/>
      <c r="T1345" s="69"/>
      <c r="U1345" s="69"/>
      <c r="V1345" s="69"/>
      <c r="W1345" s="69"/>
      <c r="X1345" s="69"/>
      <c r="Y1345" s="69"/>
      <c r="Z1345" s="69"/>
      <c r="AA1345" s="69"/>
      <c r="AB1345" s="69"/>
      <c r="AC1345" s="69"/>
      <c r="AD1345" s="69"/>
      <c r="AE1345" s="69"/>
    </row>
    <row r="1346" spans="1:31" ht="22.5" customHeight="1">
      <c r="A1346" s="69"/>
      <c r="B1346" s="69"/>
      <c r="C1346" s="69"/>
      <c r="D1346" s="69"/>
      <c r="E1346" s="185"/>
      <c r="F1346" s="69"/>
      <c r="G1346" s="185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  <c r="Z1346" s="69"/>
      <c r="AA1346" s="69"/>
      <c r="AB1346" s="69"/>
      <c r="AC1346" s="69"/>
      <c r="AD1346" s="69"/>
      <c r="AE1346" s="69"/>
    </row>
    <row r="1347" spans="1:31" ht="22.5" customHeight="1">
      <c r="A1347" s="69"/>
      <c r="B1347" s="69"/>
      <c r="C1347" s="69"/>
      <c r="D1347" s="69"/>
      <c r="E1347" s="185"/>
      <c r="F1347" s="69"/>
      <c r="G1347" s="185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69"/>
      <c r="T1347" s="69"/>
      <c r="U1347" s="69"/>
      <c r="V1347" s="69"/>
      <c r="W1347" s="69"/>
      <c r="X1347" s="69"/>
      <c r="Y1347" s="69"/>
      <c r="Z1347" s="69"/>
      <c r="AA1347" s="69"/>
      <c r="AB1347" s="69"/>
      <c r="AC1347" s="69"/>
      <c r="AD1347" s="69"/>
      <c r="AE1347" s="69"/>
    </row>
    <row r="1348" spans="1:31" ht="22.5" customHeight="1">
      <c r="A1348" s="69"/>
      <c r="B1348" s="69"/>
      <c r="C1348" s="69"/>
      <c r="D1348" s="69"/>
      <c r="E1348" s="185"/>
      <c r="F1348" s="69"/>
      <c r="G1348" s="185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  <c r="T1348" s="69"/>
      <c r="U1348" s="69"/>
      <c r="V1348" s="69"/>
      <c r="W1348" s="69"/>
      <c r="X1348" s="69"/>
      <c r="Y1348" s="69"/>
      <c r="Z1348" s="69"/>
      <c r="AA1348" s="69"/>
      <c r="AB1348" s="69"/>
      <c r="AC1348" s="69"/>
      <c r="AD1348" s="69"/>
      <c r="AE1348" s="69"/>
    </row>
    <row r="1349" spans="1:31" ht="22.5" customHeight="1">
      <c r="A1349" s="69"/>
      <c r="B1349" s="69"/>
      <c r="C1349" s="69"/>
      <c r="D1349" s="69"/>
      <c r="E1349" s="185"/>
      <c r="F1349" s="69"/>
      <c r="G1349" s="185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69"/>
      <c r="T1349" s="69"/>
      <c r="U1349" s="69"/>
      <c r="V1349" s="69"/>
      <c r="W1349" s="69"/>
      <c r="X1349" s="69"/>
      <c r="Y1349" s="69"/>
      <c r="Z1349" s="69"/>
      <c r="AA1349" s="69"/>
      <c r="AB1349" s="69"/>
      <c r="AC1349" s="69"/>
      <c r="AD1349" s="69"/>
      <c r="AE1349" s="69"/>
    </row>
    <row r="1350" spans="1:31" ht="22.5" customHeight="1">
      <c r="A1350" s="69"/>
      <c r="B1350" s="69"/>
      <c r="C1350" s="69"/>
      <c r="D1350" s="69"/>
      <c r="E1350" s="185"/>
      <c r="F1350" s="69"/>
      <c r="G1350" s="185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  <c r="Z1350" s="69"/>
      <c r="AA1350" s="69"/>
      <c r="AB1350" s="69"/>
      <c r="AC1350" s="69"/>
      <c r="AD1350" s="69"/>
      <c r="AE1350" s="69"/>
    </row>
    <row r="1351" spans="1:31" ht="22.5" customHeight="1">
      <c r="A1351" s="69"/>
      <c r="B1351" s="69"/>
      <c r="C1351" s="69"/>
      <c r="D1351" s="69"/>
      <c r="E1351" s="185"/>
      <c r="F1351" s="69"/>
      <c r="G1351" s="185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69"/>
      <c r="T1351" s="69"/>
      <c r="U1351" s="69"/>
      <c r="V1351" s="69"/>
      <c r="W1351" s="69"/>
      <c r="X1351" s="69"/>
      <c r="Y1351" s="69"/>
      <c r="Z1351" s="69"/>
      <c r="AA1351" s="69"/>
      <c r="AB1351" s="69"/>
      <c r="AC1351" s="69"/>
      <c r="AD1351" s="69"/>
      <c r="AE1351" s="69"/>
    </row>
    <row r="1352" spans="1:31" ht="22.5" customHeight="1">
      <c r="A1352" s="69"/>
      <c r="B1352" s="69"/>
      <c r="C1352" s="69"/>
      <c r="D1352" s="69"/>
      <c r="E1352" s="185"/>
      <c r="F1352" s="69"/>
      <c r="G1352" s="185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  <c r="T1352" s="69"/>
      <c r="U1352" s="69"/>
      <c r="V1352" s="69"/>
      <c r="W1352" s="69"/>
      <c r="X1352" s="69"/>
      <c r="Y1352" s="69"/>
      <c r="Z1352" s="69"/>
      <c r="AA1352" s="69"/>
      <c r="AB1352" s="69"/>
      <c r="AC1352" s="69"/>
      <c r="AD1352" s="69"/>
      <c r="AE1352" s="69"/>
    </row>
    <row r="1353" spans="1:31" ht="22.5" customHeight="1">
      <c r="A1353" s="69"/>
      <c r="B1353" s="69"/>
      <c r="C1353" s="69"/>
      <c r="D1353" s="69"/>
      <c r="E1353" s="185"/>
      <c r="F1353" s="69"/>
      <c r="G1353" s="185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69"/>
      <c r="T1353" s="69"/>
      <c r="U1353" s="69"/>
      <c r="V1353" s="69"/>
      <c r="W1353" s="69"/>
      <c r="X1353" s="69"/>
      <c r="Y1353" s="69"/>
      <c r="Z1353" s="69"/>
      <c r="AA1353" s="69"/>
      <c r="AB1353" s="69"/>
      <c r="AC1353" s="69"/>
      <c r="AD1353" s="69"/>
      <c r="AE1353" s="69"/>
    </row>
    <row r="1354" spans="1:31" ht="22.5" customHeight="1">
      <c r="A1354" s="69"/>
      <c r="B1354" s="69"/>
      <c r="C1354" s="69"/>
      <c r="D1354" s="69"/>
      <c r="E1354" s="185"/>
      <c r="F1354" s="69"/>
      <c r="G1354" s="185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  <c r="T1354" s="69"/>
      <c r="U1354" s="69"/>
      <c r="V1354" s="69"/>
      <c r="W1354" s="69"/>
      <c r="X1354" s="69"/>
      <c r="Y1354" s="69"/>
      <c r="Z1354" s="69"/>
      <c r="AA1354" s="69"/>
      <c r="AB1354" s="69"/>
      <c r="AC1354" s="69"/>
      <c r="AD1354" s="69"/>
      <c r="AE1354" s="69"/>
    </row>
    <row r="1355" spans="1:31" ht="22.5" customHeight="1">
      <c r="A1355" s="69"/>
      <c r="B1355" s="69"/>
      <c r="C1355" s="69"/>
      <c r="D1355" s="69"/>
      <c r="E1355" s="185"/>
      <c r="F1355" s="69"/>
      <c r="G1355" s="185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69"/>
      <c r="T1355" s="69"/>
      <c r="U1355" s="69"/>
      <c r="V1355" s="69"/>
      <c r="W1355" s="69"/>
      <c r="X1355" s="69"/>
      <c r="Y1355" s="69"/>
      <c r="Z1355" s="69"/>
      <c r="AA1355" s="69"/>
      <c r="AB1355" s="69"/>
      <c r="AC1355" s="69"/>
      <c r="AD1355" s="69"/>
      <c r="AE1355" s="69"/>
    </row>
    <row r="1356" spans="1:31" ht="22.5" customHeight="1">
      <c r="A1356" s="69"/>
      <c r="B1356" s="69"/>
      <c r="C1356" s="69"/>
      <c r="D1356" s="69"/>
      <c r="E1356" s="185"/>
      <c r="F1356" s="69"/>
      <c r="G1356" s="185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  <c r="T1356" s="69"/>
      <c r="U1356" s="69"/>
      <c r="V1356" s="69"/>
      <c r="W1356" s="69"/>
      <c r="X1356" s="69"/>
      <c r="Y1356" s="69"/>
      <c r="Z1356" s="69"/>
      <c r="AA1356" s="69"/>
      <c r="AB1356" s="69"/>
      <c r="AC1356" s="69"/>
      <c r="AD1356" s="69"/>
      <c r="AE1356" s="69"/>
    </row>
    <row r="1357" spans="1:31" ht="22.5" customHeight="1">
      <c r="A1357" s="69"/>
      <c r="B1357" s="69"/>
      <c r="C1357" s="69"/>
      <c r="D1357" s="69"/>
      <c r="E1357" s="185"/>
      <c r="F1357" s="69"/>
      <c r="G1357" s="185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69"/>
      <c r="T1357" s="69"/>
      <c r="U1357" s="69"/>
      <c r="V1357" s="69"/>
      <c r="W1357" s="69"/>
      <c r="X1357" s="69"/>
      <c r="Y1357" s="69"/>
      <c r="Z1357" s="69"/>
      <c r="AA1357" s="69"/>
      <c r="AB1357" s="69"/>
      <c r="AC1357" s="69"/>
      <c r="AD1357" s="69"/>
      <c r="AE1357" s="69"/>
    </row>
    <row r="1358" spans="1:31" ht="22.5" customHeight="1">
      <c r="A1358" s="69"/>
      <c r="B1358" s="69"/>
      <c r="C1358" s="69"/>
      <c r="D1358" s="69"/>
      <c r="E1358" s="185"/>
      <c r="F1358" s="69"/>
      <c r="G1358" s="185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  <c r="T1358" s="69"/>
      <c r="U1358" s="69"/>
      <c r="V1358" s="69"/>
      <c r="W1358" s="69"/>
      <c r="X1358" s="69"/>
      <c r="Y1358" s="69"/>
      <c r="Z1358" s="69"/>
      <c r="AA1358" s="69"/>
      <c r="AB1358" s="69"/>
      <c r="AC1358" s="69"/>
      <c r="AD1358" s="69"/>
      <c r="AE1358" s="69"/>
    </row>
    <row r="1359" spans="1:31" ht="22.5" customHeight="1">
      <c r="A1359" s="69"/>
      <c r="B1359" s="69"/>
      <c r="C1359" s="69"/>
      <c r="D1359" s="69"/>
      <c r="E1359" s="185"/>
      <c r="F1359" s="69"/>
      <c r="G1359" s="185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69"/>
      <c r="T1359" s="69"/>
      <c r="U1359" s="69"/>
      <c r="V1359" s="69"/>
      <c r="W1359" s="69"/>
      <c r="X1359" s="69"/>
      <c r="Y1359" s="69"/>
      <c r="Z1359" s="69"/>
      <c r="AA1359" s="69"/>
      <c r="AB1359" s="69"/>
      <c r="AC1359" s="69"/>
      <c r="AD1359" s="69"/>
      <c r="AE1359" s="69"/>
    </row>
    <row r="1360" spans="1:31" ht="22.5" customHeight="1">
      <c r="A1360" s="69"/>
      <c r="B1360" s="69"/>
      <c r="C1360" s="69"/>
      <c r="D1360" s="69"/>
      <c r="E1360" s="185"/>
      <c r="F1360" s="69"/>
      <c r="G1360" s="185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  <c r="T1360" s="69"/>
      <c r="U1360" s="69"/>
      <c r="V1360" s="69"/>
      <c r="W1360" s="69"/>
      <c r="X1360" s="69"/>
      <c r="Y1360" s="69"/>
      <c r="Z1360" s="69"/>
      <c r="AA1360" s="69"/>
      <c r="AB1360" s="69"/>
      <c r="AC1360" s="69"/>
      <c r="AD1360" s="69"/>
      <c r="AE1360" s="69"/>
    </row>
    <row r="1361" spans="1:31" ht="22.5" customHeight="1">
      <c r="A1361" s="69"/>
      <c r="B1361" s="69"/>
      <c r="C1361" s="69"/>
      <c r="D1361" s="69"/>
      <c r="E1361" s="185"/>
      <c r="F1361" s="69"/>
      <c r="G1361" s="185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69"/>
      <c r="T1361" s="69"/>
      <c r="U1361" s="69"/>
      <c r="V1361" s="69"/>
      <c r="W1361" s="69"/>
      <c r="X1361" s="69"/>
      <c r="Y1361" s="69"/>
      <c r="Z1361" s="69"/>
      <c r="AA1361" s="69"/>
      <c r="AB1361" s="69"/>
      <c r="AC1361" s="69"/>
      <c r="AD1361" s="69"/>
      <c r="AE1361" s="69"/>
    </row>
    <row r="1362" spans="1:31" ht="22.5" customHeight="1">
      <c r="A1362" s="69"/>
      <c r="B1362" s="69"/>
      <c r="C1362" s="69"/>
      <c r="D1362" s="69"/>
      <c r="E1362" s="185"/>
      <c r="F1362" s="69"/>
      <c r="G1362" s="185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  <c r="T1362" s="69"/>
      <c r="U1362" s="69"/>
      <c r="V1362" s="69"/>
      <c r="W1362" s="69"/>
      <c r="X1362" s="69"/>
      <c r="Y1362" s="69"/>
      <c r="Z1362" s="69"/>
      <c r="AA1362" s="69"/>
      <c r="AB1362" s="69"/>
      <c r="AC1362" s="69"/>
      <c r="AD1362" s="69"/>
      <c r="AE1362" s="69"/>
    </row>
    <row r="1363" spans="1:31" ht="22.5" customHeight="1">
      <c r="A1363" s="69"/>
      <c r="B1363" s="69"/>
      <c r="C1363" s="69"/>
      <c r="D1363" s="69"/>
      <c r="E1363" s="185"/>
      <c r="F1363" s="69"/>
      <c r="G1363" s="185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  <c r="AA1363" s="69"/>
      <c r="AB1363" s="69"/>
      <c r="AC1363" s="69"/>
      <c r="AD1363" s="69"/>
      <c r="AE1363" s="69"/>
    </row>
    <row r="1364" spans="1:31" ht="22.5" customHeight="1">
      <c r="A1364" s="69"/>
      <c r="B1364" s="69"/>
      <c r="C1364" s="69"/>
      <c r="D1364" s="69"/>
      <c r="E1364" s="185"/>
      <c r="F1364" s="69"/>
      <c r="G1364" s="185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69"/>
      <c r="X1364" s="69"/>
      <c r="Y1364" s="69"/>
      <c r="Z1364" s="69"/>
      <c r="AA1364" s="69"/>
      <c r="AB1364" s="69"/>
      <c r="AC1364" s="69"/>
      <c r="AD1364" s="69"/>
      <c r="AE1364" s="69"/>
    </row>
    <row r="1365" spans="1:31" ht="22.5" customHeight="1">
      <c r="A1365" s="69"/>
      <c r="B1365" s="69"/>
      <c r="C1365" s="69"/>
      <c r="D1365" s="69"/>
      <c r="E1365" s="185"/>
      <c r="F1365" s="69"/>
      <c r="G1365" s="185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69"/>
      <c r="T1365" s="69"/>
      <c r="U1365" s="69"/>
      <c r="V1365" s="69"/>
      <c r="W1365" s="69"/>
      <c r="X1365" s="69"/>
      <c r="Y1365" s="69"/>
      <c r="Z1365" s="69"/>
      <c r="AA1365" s="69"/>
      <c r="AB1365" s="69"/>
      <c r="AC1365" s="69"/>
      <c r="AD1365" s="69"/>
      <c r="AE1365" s="69"/>
    </row>
    <row r="1366" spans="1:31" ht="22.5" customHeight="1">
      <c r="A1366" s="69"/>
      <c r="B1366" s="69"/>
      <c r="C1366" s="69"/>
      <c r="D1366" s="69"/>
      <c r="E1366" s="185"/>
      <c r="F1366" s="69"/>
      <c r="G1366" s="185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  <c r="T1366" s="69"/>
      <c r="U1366" s="69"/>
      <c r="V1366" s="69"/>
      <c r="W1366" s="69"/>
      <c r="X1366" s="69"/>
      <c r="Y1366" s="69"/>
      <c r="Z1366" s="69"/>
      <c r="AA1366" s="69"/>
      <c r="AB1366" s="69"/>
      <c r="AC1366" s="69"/>
      <c r="AD1366" s="69"/>
      <c r="AE1366" s="69"/>
    </row>
    <row r="1367" spans="1:31" ht="22.5" customHeight="1">
      <c r="A1367" s="69"/>
      <c r="B1367" s="69"/>
      <c r="C1367" s="69"/>
      <c r="D1367" s="69"/>
      <c r="E1367" s="185"/>
      <c r="F1367" s="69"/>
      <c r="G1367" s="185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69"/>
      <c r="T1367" s="69"/>
      <c r="U1367" s="69"/>
      <c r="V1367" s="69"/>
      <c r="W1367" s="69"/>
      <c r="X1367" s="69"/>
      <c r="Y1367" s="69"/>
      <c r="Z1367" s="69"/>
      <c r="AA1367" s="69"/>
      <c r="AB1367" s="69"/>
      <c r="AC1367" s="69"/>
      <c r="AD1367" s="69"/>
      <c r="AE1367" s="69"/>
    </row>
    <row r="1368" spans="1:31" ht="22.5" customHeight="1">
      <c r="A1368" s="69"/>
      <c r="B1368" s="69"/>
      <c r="C1368" s="69"/>
      <c r="D1368" s="69"/>
      <c r="E1368" s="185"/>
      <c r="F1368" s="69"/>
      <c r="G1368" s="185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  <c r="T1368" s="69"/>
      <c r="U1368" s="69"/>
      <c r="V1368" s="69"/>
      <c r="W1368" s="69"/>
      <c r="X1368" s="69"/>
      <c r="Y1368" s="69"/>
      <c r="Z1368" s="69"/>
      <c r="AA1368" s="69"/>
      <c r="AB1368" s="69"/>
      <c r="AC1368" s="69"/>
      <c r="AD1368" s="69"/>
      <c r="AE1368" s="69"/>
    </row>
    <row r="1369" spans="1:31" ht="22.5" customHeight="1">
      <c r="A1369" s="69"/>
      <c r="B1369" s="69"/>
      <c r="C1369" s="69"/>
      <c r="D1369" s="69"/>
      <c r="E1369" s="185"/>
      <c r="F1369" s="69"/>
      <c r="G1369" s="185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69"/>
      <c r="T1369" s="69"/>
      <c r="U1369" s="69"/>
      <c r="V1369" s="69"/>
      <c r="W1369" s="69"/>
      <c r="X1369" s="69"/>
      <c r="Y1369" s="69"/>
      <c r="Z1369" s="69"/>
      <c r="AA1369" s="69"/>
      <c r="AB1369" s="69"/>
      <c r="AC1369" s="69"/>
      <c r="AD1369" s="69"/>
      <c r="AE1369" s="69"/>
    </row>
    <row r="1370" spans="1:31" ht="22.5" customHeight="1">
      <c r="A1370" s="69"/>
      <c r="B1370" s="69"/>
      <c r="C1370" s="69"/>
      <c r="D1370" s="69"/>
      <c r="E1370" s="185"/>
      <c r="F1370" s="69"/>
      <c r="G1370" s="185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  <c r="T1370" s="69"/>
      <c r="U1370" s="69"/>
      <c r="V1370" s="69"/>
      <c r="W1370" s="69"/>
      <c r="X1370" s="69"/>
      <c r="Y1370" s="69"/>
      <c r="Z1370" s="69"/>
      <c r="AA1370" s="69"/>
      <c r="AB1370" s="69"/>
      <c r="AC1370" s="69"/>
      <c r="AD1370" s="69"/>
      <c r="AE1370" s="69"/>
    </row>
    <row r="1371" spans="1:31" ht="22.5" customHeight="1">
      <c r="A1371" s="69"/>
      <c r="B1371" s="69"/>
      <c r="C1371" s="69"/>
      <c r="D1371" s="69"/>
      <c r="E1371" s="185"/>
      <c r="F1371" s="69"/>
      <c r="G1371" s="185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  <c r="Z1371" s="69"/>
      <c r="AA1371" s="69"/>
      <c r="AB1371" s="69"/>
      <c r="AC1371" s="69"/>
      <c r="AD1371" s="69"/>
      <c r="AE1371" s="69"/>
    </row>
    <row r="1372" spans="1:31" ht="22.5" customHeight="1">
      <c r="A1372" s="69"/>
      <c r="B1372" s="69"/>
      <c r="C1372" s="69"/>
      <c r="D1372" s="69"/>
      <c r="E1372" s="185"/>
      <c r="F1372" s="69"/>
      <c r="G1372" s="185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U1372" s="69"/>
      <c r="V1372" s="69"/>
      <c r="W1372" s="69"/>
      <c r="X1372" s="69"/>
      <c r="Y1372" s="69"/>
      <c r="Z1372" s="69"/>
      <c r="AA1372" s="69"/>
      <c r="AB1372" s="69"/>
      <c r="AC1372" s="69"/>
      <c r="AD1372" s="69"/>
      <c r="AE1372" s="69"/>
    </row>
    <row r="1373" spans="1:31" ht="22.5" customHeight="1">
      <c r="A1373" s="69"/>
      <c r="B1373" s="69"/>
      <c r="C1373" s="69"/>
      <c r="D1373" s="69"/>
      <c r="E1373" s="185"/>
      <c r="F1373" s="69"/>
      <c r="G1373" s="185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69"/>
      <c r="T1373" s="69"/>
      <c r="U1373" s="69"/>
      <c r="V1373" s="69"/>
      <c r="W1373" s="69"/>
      <c r="X1373" s="69"/>
      <c r="Y1373" s="69"/>
      <c r="Z1373" s="69"/>
      <c r="AA1373" s="69"/>
      <c r="AB1373" s="69"/>
      <c r="AC1373" s="69"/>
      <c r="AD1373" s="69"/>
      <c r="AE1373" s="69"/>
    </row>
    <row r="1374" spans="1:31" ht="22.5" customHeight="1">
      <c r="A1374" s="69"/>
      <c r="B1374" s="69"/>
      <c r="C1374" s="69"/>
      <c r="D1374" s="69"/>
      <c r="E1374" s="185"/>
      <c r="F1374" s="69"/>
      <c r="G1374" s="185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  <c r="T1374" s="69"/>
      <c r="U1374" s="69"/>
      <c r="V1374" s="69"/>
      <c r="W1374" s="69"/>
      <c r="X1374" s="69"/>
      <c r="Y1374" s="69"/>
      <c r="Z1374" s="69"/>
      <c r="AA1374" s="69"/>
      <c r="AB1374" s="69"/>
      <c r="AC1374" s="69"/>
      <c r="AD1374" s="69"/>
      <c r="AE1374" s="69"/>
    </row>
    <row r="1375" spans="1:31" ht="22.5" customHeight="1">
      <c r="A1375" s="69"/>
      <c r="B1375" s="69"/>
      <c r="C1375" s="69"/>
      <c r="D1375" s="69"/>
      <c r="E1375" s="185"/>
      <c r="F1375" s="69"/>
      <c r="G1375" s="185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69"/>
      <c r="T1375" s="69"/>
      <c r="U1375" s="69"/>
      <c r="V1375" s="69"/>
      <c r="W1375" s="69"/>
      <c r="X1375" s="69"/>
      <c r="Y1375" s="69"/>
      <c r="Z1375" s="69"/>
      <c r="AA1375" s="69"/>
      <c r="AB1375" s="69"/>
      <c r="AC1375" s="69"/>
      <c r="AD1375" s="69"/>
      <c r="AE1375" s="69"/>
    </row>
    <row r="1376" spans="1:31" ht="22.5" customHeight="1">
      <c r="A1376" s="69"/>
      <c r="B1376" s="69"/>
      <c r="C1376" s="69"/>
      <c r="D1376" s="69"/>
      <c r="E1376" s="185"/>
      <c r="F1376" s="69"/>
      <c r="G1376" s="185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  <c r="T1376" s="69"/>
      <c r="U1376" s="69"/>
      <c r="V1376" s="69"/>
      <c r="W1376" s="69"/>
      <c r="X1376" s="69"/>
      <c r="Y1376" s="69"/>
      <c r="Z1376" s="69"/>
      <c r="AA1376" s="69"/>
      <c r="AB1376" s="69"/>
      <c r="AC1376" s="69"/>
      <c r="AD1376" s="69"/>
      <c r="AE1376" s="69"/>
    </row>
    <row r="1377" spans="1:31" ht="22.5" customHeight="1">
      <c r="A1377" s="69"/>
      <c r="B1377" s="69"/>
      <c r="C1377" s="69"/>
      <c r="D1377" s="69"/>
      <c r="E1377" s="185"/>
      <c r="F1377" s="69"/>
      <c r="G1377" s="185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  <c r="Z1377" s="69"/>
      <c r="AA1377" s="69"/>
      <c r="AB1377" s="69"/>
      <c r="AC1377" s="69"/>
      <c r="AD1377" s="69"/>
      <c r="AE1377" s="69"/>
    </row>
    <row r="1378" spans="1:31" ht="22.5" customHeight="1">
      <c r="A1378" s="69"/>
      <c r="B1378" s="69"/>
      <c r="C1378" s="69"/>
      <c r="D1378" s="69"/>
      <c r="E1378" s="185"/>
      <c r="F1378" s="69"/>
      <c r="G1378" s="185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  <c r="T1378" s="69"/>
      <c r="U1378" s="69"/>
      <c r="V1378" s="69"/>
      <c r="W1378" s="69"/>
      <c r="X1378" s="69"/>
      <c r="Y1378" s="69"/>
      <c r="Z1378" s="69"/>
      <c r="AA1378" s="69"/>
      <c r="AB1378" s="69"/>
      <c r="AC1378" s="69"/>
      <c r="AD1378" s="69"/>
      <c r="AE1378" s="69"/>
    </row>
    <row r="1379" spans="1:31" ht="22.5" customHeight="1">
      <c r="A1379" s="69"/>
      <c r="B1379" s="69"/>
      <c r="C1379" s="69"/>
      <c r="D1379" s="69"/>
      <c r="E1379" s="185"/>
      <c r="F1379" s="69"/>
      <c r="G1379" s="185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69"/>
      <c r="T1379" s="69"/>
      <c r="U1379" s="69"/>
      <c r="V1379" s="69"/>
      <c r="W1379" s="69"/>
      <c r="X1379" s="69"/>
      <c r="Y1379" s="69"/>
      <c r="Z1379" s="69"/>
      <c r="AA1379" s="69"/>
      <c r="AB1379" s="69"/>
      <c r="AC1379" s="69"/>
      <c r="AD1379" s="69"/>
      <c r="AE1379" s="69"/>
    </row>
    <row r="1380" spans="1:31" ht="22.5" customHeight="1">
      <c r="A1380" s="69"/>
      <c r="B1380" s="69"/>
      <c r="C1380" s="69"/>
      <c r="D1380" s="69"/>
      <c r="E1380" s="185"/>
      <c r="F1380" s="69"/>
      <c r="G1380" s="185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  <c r="T1380" s="69"/>
      <c r="U1380" s="69"/>
      <c r="V1380" s="69"/>
      <c r="W1380" s="69"/>
      <c r="X1380" s="69"/>
      <c r="Y1380" s="69"/>
      <c r="Z1380" s="69"/>
      <c r="AA1380" s="69"/>
      <c r="AB1380" s="69"/>
      <c r="AC1380" s="69"/>
      <c r="AD1380" s="69"/>
      <c r="AE1380" s="69"/>
    </row>
    <row r="1381" spans="1:31" ht="22.5" customHeight="1">
      <c r="A1381" s="69"/>
      <c r="B1381" s="69"/>
      <c r="C1381" s="69"/>
      <c r="D1381" s="69"/>
      <c r="E1381" s="185"/>
      <c r="F1381" s="69"/>
      <c r="G1381" s="185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  <c r="Z1381" s="69"/>
      <c r="AA1381" s="69"/>
      <c r="AB1381" s="69"/>
      <c r="AC1381" s="69"/>
      <c r="AD1381" s="69"/>
      <c r="AE1381" s="69"/>
    </row>
    <row r="1382" spans="1:31" ht="22.5" customHeight="1">
      <c r="A1382" s="69"/>
      <c r="B1382" s="69"/>
      <c r="C1382" s="69"/>
      <c r="D1382" s="69"/>
      <c r="E1382" s="185"/>
      <c r="F1382" s="69"/>
      <c r="G1382" s="185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69"/>
      <c r="X1382" s="69"/>
      <c r="Y1382" s="69"/>
      <c r="Z1382" s="69"/>
      <c r="AA1382" s="69"/>
      <c r="AB1382" s="69"/>
      <c r="AC1382" s="69"/>
      <c r="AD1382" s="69"/>
      <c r="AE1382" s="69"/>
    </row>
    <row r="1383" spans="1:31" ht="22.5" customHeight="1">
      <c r="A1383" s="69"/>
      <c r="B1383" s="69"/>
      <c r="C1383" s="69"/>
      <c r="D1383" s="69"/>
      <c r="E1383" s="185"/>
      <c r="F1383" s="69"/>
      <c r="G1383" s="185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69"/>
      <c r="T1383" s="69"/>
      <c r="U1383" s="69"/>
      <c r="V1383" s="69"/>
      <c r="W1383" s="69"/>
      <c r="X1383" s="69"/>
      <c r="Y1383" s="69"/>
      <c r="Z1383" s="69"/>
      <c r="AA1383" s="69"/>
      <c r="AB1383" s="69"/>
      <c r="AC1383" s="69"/>
      <c r="AD1383" s="69"/>
      <c r="AE1383" s="69"/>
    </row>
    <row r="1384" spans="1:31" ht="22.5" customHeight="1">
      <c r="A1384" s="69"/>
      <c r="B1384" s="69"/>
      <c r="C1384" s="69"/>
      <c r="D1384" s="69"/>
      <c r="E1384" s="185"/>
      <c r="F1384" s="69"/>
      <c r="G1384" s="185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  <c r="T1384" s="69"/>
      <c r="U1384" s="69"/>
      <c r="V1384" s="69"/>
      <c r="W1384" s="69"/>
      <c r="X1384" s="69"/>
      <c r="Y1384" s="69"/>
      <c r="Z1384" s="69"/>
      <c r="AA1384" s="69"/>
      <c r="AB1384" s="69"/>
      <c r="AC1384" s="69"/>
      <c r="AD1384" s="69"/>
      <c r="AE1384" s="69"/>
    </row>
    <row r="1385" spans="1:31" ht="22.5" customHeight="1">
      <c r="A1385" s="69"/>
      <c r="B1385" s="69"/>
      <c r="C1385" s="69"/>
      <c r="D1385" s="69"/>
      <c r="E1385" s="185"/>
      <c r="F1385" s="69"/>
      <c r="G1385" s="185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69"/>
      <c r="T1385" s="69"/>
      <c r="U1385" s="69"/>
      <c r="V1385" s="69"/>
      <c r="W1385" s="69"/>
      <c r="X1385" s="69"/>
      <c r="Y1385" s="69"/>
      <c r="Z1385" s="69"/>
      <c r="AA1385" s="69"/>
      <c r="AB1385" s="69"/>
      <c r="AC1385" s="69"/>
      <c r="AD1385" s="69"/>
      <c r="AE1385" s="69"/>
    </row>
    <row r="1386" spans="1:31" ht="22.5" customHeight="1">
      <c r="A1386" s="69"/>
      <c r="B1386" s="69"/>
      <c r="C1386" s="69"/>
      <c r="D1386" s="69"/>
      <c r="E1386" s="185"/>
      <c r="F1386" s="69"/>
      <c r="G1386" s="185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  <c r="T1386" s="69"/>
      <c r="U1386" s="69"/>
      <c r="V1386" s="69"/>
      <c r="W1386" s="69"/>
      <c r="X1386" s="69"/>
      <c r="Y1386" s="69"/>
      <c r="Z1386" s="69"/>
      <c r="AA1386" s="69"/>
      <c r="AB1386" s="69"/>
      <c r="AC1386" s="69"/>
      <c r="AD1386" s="69"/>
      <c r="AE1386" s="69"/>
    </row>
    <row r="1387" spans="1:31" ht="22.5" customHeight="1">
      <c r="A1387" s="69"/>
      <c r="B1387" s="69"/>
      <c r="C1387" s="69"/>
      <c r="D1387" s="69"/>
      <c r="E1387" s="185"/>
      <c r="F1387" s="69"/>
      <c r="G1387" s="185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69"/>
      <c r="T1387" s="69"/>
      <c r="U1387" s="69"/>
      <c r="V1387" s="69"/>
      <c r="W1387" s="69"/>
      <c r="X1387" s="69"/>
      <c r="Y1387" s="69"/>
      <c r="Z1387" s="69"/>
      <c r="AA1387" s="69"/>
      <c r="AB1387" s="69"/>
      <c r="AC1387" s="69"/>
      <c r="AD1387" s="69"/>
      <c r="AE1387" s="69"/>
    </row>
    <row r="1388" spans="1:31" ht="22.5" customHeight="1">
      <c r="A1388" s="69"/>
      <c r="B1388" s="69"/>
      <c r="C1388" s="69"/>
      <c r="D1388" s="69"/>
      <c r="E1388" s="185"/>
      <c r="F1388" s="69"/>
      <c r="G1388" s="185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  <c r="T1388" s="69"/>
      <c r="U1388" s="69"/>
      <c r="V1388" s="69"/>
      <c r="W1388" s="69"/>
      <c r="X1388" s="69"/>
      <c r="Y1388" s="69"/>
      <c r="Z1388" s="69"/>
      <c r="AA1388" s="69"/>
      <c r="AB1388" s="69"/>
      <c r="AC1388" s="69"/>
      <c r="AD1388" s="69"/>
      <c r="AE1388" s="69"/>
    </row>
    <row r="1389" spans="1:31" ht="22.5" customHeight="1">
      <c r="A1389" s="69"/>
      <c r="B1389" s="69"/>
      <c r="C1389" s="69"/>
      <c r="D1389" s="69"/>
      <c r="E1389" s="185"/>
      <c r="F1389" s="69"/>
      <c r="G1389" s="185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69"/>
      <c r="T1389" s="69"/>
      <c r="U1389" s="69"/>
      <c r="V1389" s="69"/>
      <c r="W1389" s="69"/>
      <c r="X1389" s="69"/>
      <c r="Y1389" s="69"/>
      <c r="Z1389" s="69"/>
      <c r="AA1389" s="69"/>
      <c r="AB1389" s="69"/>
      <c r="AC1389" s="69"/>
      <c r="AD1389" s="69"/>
      <c r="AE1389" s="69"/>
    </row>
    <row r="1390" spans="1:31" ht="22.5" customHeight="1">
      <c r="A1390" s="69"/>
      <c r="B1390" s="69"/>
      <c r="C1390" s="69"/>
      <c r="D1390" s="69"/>
      <c r="E1390" s="185"/>
      <c r="F1390" s="69"/>
      <c r="G1390" s="185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  <c r="Z1390" s="69"/>
      <c r="AA1390" s="69"/>
      <c r="AB1390" s="69"/>
      <c r="AC1390" s="69"/>
      <c r="AD1390" s="69"/>
      <c r="AE1390" s="69"/>
    </row>
    <row r="1391" spans="1:31" ht="22.5" customHeight="1">
      <c r="A1391" s="69"/>
      <c r="B1391" s="69"/>
      <c r="C1391" s="69"/>
      <c r="D1391" s="69"/>
      <c r="E1391" s="185"/>
      <c r="F1391" s="69"/>
      <c r="G1391" s="185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69"/>
      <c r="T1391" s="69"/>
      <c r="U1391" s="69"/>
      <c r="V1391" s="69"/>
      <c r="W1391" s="69"/>
      <c r="X1391" s="69"/>
      <c r="Y1391" s="69"/>
      <c r="Z1391" s="69"/>
      <c r="AA1391" s="69"/>
      <c r="AB1391" s="69"/>
      <c r="AC1391" s="69"/>
      <c r="AD1391" s="69"/>
      <c r="AE1391" s="69"/>
    </row>
    <row r="1392" spans="1:31" ht="22.5" customHeight="1">
      <c r="A1392" s="69"/>
      <c r="B1392" s="69"/>
      <c r="C1392" s="69"/>
      <c r="D1392" s="69"/>
      <c r="E1392" s="185"/>
      <c r="F1392" s="69"/>
      <c r="G1392" s="185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  <c r="T1392" s="69"/>
      <c r="U1392" s="69"/>
      <c r="V1392" s="69"/>
      <c r="W1392" s="69"/>
      <c r="X1392" s="69"/>
      <c r="Y1392" s="69"/>
      <c r="Z1392" s="69"/>
      <c r="AA1392" s="69"/>
      <c r="AB1392" s="69"/>
      <c r="AC1392" s="69"/>
      <c r="AD1392" s="69"/>
      <c r="AE1392" s="69"/>
    </row>
    <row r="1393" spans="1:31" ht="22.5" customHeight="1">
      <c r="A1393" s="69"/>
      <c r="B1393" s="69"/>
      <c r="C1393" s="69"/>
      <c r="D1393" s="69"/>
      <c r="E1393" s="185"/>
      <c r="F1393" s="69"/>
      <c r="G1393" s="185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69"/>
      <c r="Z1393" s="69"/>
      <c r="AA1393" s="69"/>
      <c r="AB1393" s="69"/>
      <c r="AC1393" s="69"/>
      <c r="AD1393" s="69"/>
      <c r="AE1393" s="69"/>
    </row>
    <row r="1394" spans="1:31" ht="22.5" customHeight="1">
      <c r="A1394" s="69"/>
      <c r="B1394" s="69"/>
      <c r="C1394" s="69"/>
      <c r="D1394" s="69"/>
      <c r="E1394" s="185"/>
      <c r="F1394" s="69"/>
      <c r="G1394" s="185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  <c r="T1394" s="69"/>
      <c r="U1394" s="69"/>
      <c r="V1394" s="69"/>
      <c r="W1394" s="69"/>
      <c r="X1394" s="69"/>
      <c r="Y1394" s="69"/>
      <c r="Z1394" s="69"/>
      <c r="AA1394" s="69"/>
      <c r="AB1394" s="69"/>
      <c r="AC1394" s="69"/>
      <c r="AD1394" s="69"/>
      <c r="AE1394" s="69"/>
    </row>
    <row r="1395" spans="1:31" ht="22.5" customHeight="1">
      <c r="A1395" s="69"/>
      <c r="B1395" s="69"/>
      <c r="C1395" s="69"/>
      <c r="D1395" s="69"/>
      <c r="E1395" s="185"/>
      <c r="F1395" s="69"/>
      <c r="G1395" s="185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  <c r="Z1395" s="69"/>
      <c r="AA1395" s="69"/>
      <c r="AB1395" s="69"/>
      <c r="AC1395" s="69"/>
      <c r="AD1395" s="69"/>
      <c r="AE1395" s="69"/>
    </row>
    <row r="1396" spans="1:31" ht="22.5" customHeight="1">
      <c r="A1396" s="69"/>
      <c r="B1396" s="69"/>
      <c r="C1396" s="69"/>
      <c r="D1396" s="69"/>
      <c r="E1396" s="185"/>
      <c r="F1396" s="69"/>
      <c r="G1396" s="185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  <c r="T1396" s="69"/>
      <c r="U1396" s="69"/>
      <c r="V1396" s="69"/>
      <c r="W1396" s="69"/>
      <c r="X1396" s="69"/>
      <c r="Y1396" s="69"/>
      <c r="Z1396" s="69"/>
      <c r="AA1396" s="69"/>
      <c r="AB1396" s="69"/>
      <c r="AC1396" s="69"/>
      <c r="AD1396" s="69"/>
      <c r="AE1396" s="69"/>
    </row>
    <row r="1397" spans="1:31" ht="22.5" customHeight="1">
      <c r="A1397" s="69"/>
      <c r="B1397" s="69"/>
      <c r="C1397" s="69"/>
      <c r="D1397" s="69"/>
      <c r="E1397" s="185"/>
      <c r="F1397" s="69"/>
      <c r="G1397" s="185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69"/>
      <c r="T1397" s="69"/>
      <c r="U1397" s="69"/>
      <c r="V1397" s="69"/>
      <c r="W1397" s="69"/>
      <c r="X1397" s="69"/>
      <c r="Y1397" s="69"/>
      <c r="Z1397" s="69"/>
      <c r="AA1397" s="69"/>
      <c r="AB1397" s="69"/>
      <c r="AC1397" s="69"/>
      <c r="AD1397" s="69"/>
      <c r="AE1397" s="69"/>
    </row>
    <row r="1398" spans="1:31" ht="22.5" customHeight="1">
      <c r="A1398" s="69"/>
      <c r="B1398" s="69"/>
      <c r="C1398" s="69"/>
      <c r="D1398" s="69"/>
      <c r="E1398" s="185"/>
      <c r="F1398" s="69"/>
      <c r="G1398" s="185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  <c r="T1398" s="69"/>
      <c r="U1398" s="69"/>
      <c r="V1398" s="69"/>
      <c r="W1398" s="69"/>
      <c r="X1398" s="69"/>
      <c r="Y1398" s="69"/>
      <c r="Z1398" s="69"/>
      <c r="AA1398" s="69"/>
      <c r="AB1398" s="69"/>
      <c r="AC1398" s="69"/>
      <c r="AD1398" s="69"/>
      <c r="AE1398" s="69"/>
    </row>
    <row r="1399" spans="1:31" ht="22.5" customHeight="1">
      <c r="A1399" s="69"/>
      <c r="B1399" s="69"/>
      <c r="C1399" s="69"/>
      <c r="D1399" s="69"/>
      <c r="E1399" s="185"/>
      <c r="F1399" s="69"/>
      <c r="G1399" s="185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69"/>
      <c r="T1399" s="69"/>
      <c r="U1399" s="69"/>
      <c r="V1399" s="69"/>
      <c r="W1399" s="69"/>
      <c r="X1399" s="69"/>
      <c r="Y1399" s="69"/>
      <c r="Z1399" s="69"/>
      <c r="AA1399" s="69"/>
      <c r="AB1399" s="69"/>
      <c r="AC1399" s="69"/>
      <c r="AD1399" s="69"/>
      <c r="AE1399" s="69"/>
    </row>
    <row r="1400" spans="1:31" ht="22.5" customHeight="1">
      <c r="A1400" s="69"/>
      <c r="B1400" s="69"/>
      <c r="C1400" s="69"/>
      <c r="D1400" s="69"/>
      <c r="E1400" s="185"/>
      <c r="F1400" s="69"/>
      <c r="G1400" s="185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  <c r="Z1400" s="69"/>
      <c r="AA1400" s="69"/>
      <c r="AB1400" s="69"/>
      <c r="AC1400" s="69"/>
      <c r="AD1400" s="69"/>
      <c r="AE1400" s="69"/>
    </row>
    <row r="1401" spans="1:31" ht="22.5" customHeight="1">
      <c r="A1401" s="69"/>
      <c r="B1401" s="69"/>
      <c r="C1401" s="69"/>
      <c r="D1401" s="69"/>
      <c r="E1401" s="185"/>
      <c r="F1401" s="69"/>
      <c r="G1401" s="185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69"/>
      <c r="T1401" s="69"/>
      <c r="U1401" s="69"/>
      <c r="V1401" s="69"/>
      <c r="W1401" s="69"/>
      <c r="X1401" s="69"/>
      <c r="Y1401" s="69"/>
      <c r="Z1401" s="69"/>
      <c r="AA1401" s="69"/>
      <c r="AB1401" s="69"/>
      <c r="AC1401" s="69"/>
      <c r="AD1401" s="69"/>
      <c r="AE1401" s="69"/>
    </row>
    <row r="1402" spans="1:31" ht="22.5" customHeight="1">
      <c r="A1402" s="69"/>
      <c r="B1402" s="69"/>
      <c r="C1402" s="69"/>
      <c r="D1402" s="69"/>
      <c r="E1402" s="185"/>
      <c r="F1402" s="69"/>
      <c r="G1402" s="185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  <c r="T1402" s="69"/>
      <c r="U1402" s="69"/>
      <c r="V1402" s="69"/>
      <c r="W1402" s="69"/>
      <c r="X1402" s="69"/>
      <c r="Y1402" s="69"/>
      <c r="Z1402" s="69"/>
      <c r="AA1402" s="69"/>
      <c r="AB1402" s="69"/>
      <c r="AC1402" s="69"/>
      <c r="AD1402" s="69"/>
      <c r="AE1402" s="69"/>
    </row>
    <row r="1403" spans="1:31" ht="22.5" customHeight="1">
      <c r="A1403" s="69"/>
      <c r="B1403" s="69"/>
      <c r="C1403" s="69"/>
      <c r="D1403" s="69"/>
      <c r="E1403" s="185"/>
      <c r="F1403" s="69"/>
      <c r="G1403" s="185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  <c r="AA1403" s="69"/>
      <c r="AB1403" s="69"/>
      <c r="AC1403" s="69"/>
      <c r="AD1403" s="69"/>
      <c r="AE1403" s="69"/>
    </row>
    <row r="1404" spans="1:31" ht="22.5" customHeight="1">
      <c r="A1404" s="69"/>
      <c r="B1404" s="69"/>
      <c r="C1404" s="69"/>
      <c r="D1404" s="69"/>
      <c r="E1404" s="185"/>
      <c r="F1404" s="69"/>
      <c r="G1404" s="185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  <c r="T1404" s="69"/>
      <c r="U1404" s="69"/>
      <c r="V1404" s="69"/>
      <c r="W1404" s="69"/>
      <c r="X1404" s="69"/>
      <c r="Y1404" s="69"/>
      <c r="Z1404" s="69"/>
      <c r="AA1404" s="69"/>
      <c r="AB1404" s="69"/>
      <c r="AC1404" s="69"/>
      <c r="AD1404" s="69"/>
      <c r="AE1404" s="69"/>
    </row>
    <row r="1405" spans="1:31" ht="22.5" customHeight="1">
      <c r="A1405" s="69"/>
      <c r="B1405" s="69"/>
      <c r="C1405" s="69"/>
      <c r="D1405" s="69"/>
      <c r="E1405" s="185"/>
      <c r="F1405" s="69"/>
      <c r="G1405" s="185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69"/>
      <c r="T1405" s="69"/>
      <c r="U1405" s="69"/>
      <c r="V1405" s="69"/>
      <c r="W1405" s="69"/>
      <c r="X1405" s="69"/>
      <c r="Y1405" s="69"/>
      <c r="Z1405" s="69"/>
      <c r="AA1405" s="69"/>
      <c r="AB1405" s="69"/>
      <c r="AC1405" s="69"/>
      <c r="AD1405" s="69"/>
      <c r="AE1405" s="69"/>
    </row>
    <row r="1406" spans="1:31" ht="22.5" customHeight="1">
      <c r="A1406" s="69"/>
      <c r="B1406" s="69"/>
      <c r="C1406" s="69"/>
      <c r="D1406" s="69"/>
      <c r="E1406" s="185"/>
      <c r="F1406" s="69"/>
      <c r="G1406" s="185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  <c r="T1406" s="69"/>
      <c r="U1406" s="69"/>
      <c r="V1406" s="69"/>
      <c r="W1406" s="69"/>
      <c r="X1406" s="69"/>
      <c r="Y1406" s="69"/>
      <c r="Z1406" s="69"/>
      <c r="AA1406" s="69"/>
      <c r="AB1406" s="69"/>
      <c r="AC1406" s="69"/>
      <c r="AD1406" s="69"/>
      <c r="AE1406" s="69"/>
    </row>
    <row r="1407" spans="1:31" ht="22.5" customHeight="1">
      <c r="A1407" s="69"/>
      <c r="B1407" s="69"/>
      <c r="C1407" s="69"/>
      <c r="D1407" s="69"/>
      <c r="E1407" s="185"/>
      <c r="F1407" s="69"/>
      <c r="G1407" s="185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  <c r="Z1407" s="69"/>
      <c r="AA1407" s="69"/>
      <c r="AB1407" s="69"/>
      <c r="AC1407" s="69"/>
      <c r="AD1407" s="69"/>
      <c r="AE1407" s="69"/>
    </row>
    <row r="1408" spans="1:31" ht="22.5" customHeight="1">
      <c r="A1408" s="69"/>
      <c r="B1408" s="69"/>
      <c r="C1408" s="69"/>
      <c r="D1408" s="69"/>
      <c r="E1408" s="185"/>
      <c r="F1408" s="69"/>
      <c r="G1408" s="185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  <c r="T1408" s="69"/>
      <c r="U1408" s="69"/>
      <c r="V1408" s="69"/>
      <c r="W1408" s="69"/>
      <c r="X1408" s="69"/>
      <c r="Y1408" s="69"/>
      <c r="Z1408" s="69"/>
      <c r="AA1408" s="69"/>
      <c r="AB1408" s="69"/>
      <c r="AC1408" s="69"/>
      <c r="AD1408" s="69"/>
      <c r="AE1408" s="69"/>
    </row>
    <row r="1409" spans="1:31" ht="22.5" customHeight="1">
      <c r="A1409" s="69"/>
      <c r="B1409" s="69"/>
      <c r="C1409" s="69"/>
      <c r="D1409" s="69"/>
      <c r="E1409" s="185"/>
      <c r="F1409" s="69"/>
      <c r="G1409" s="185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69"/>
      <c r="T1409" s="69"/>
      <c r="U1409" s="69"/>
      <c r="V1409" s="69"/>
      <c r="W1409" s="69"/>
      <c r="X1409" s="69"/>
      <c r="Y1409" s="69"/>
      <c r="Z1409" s="69"/>
      <c r="AA1409" s="69"/>
      <c r="AB1409" s="69"/>
      <c r="AC1409" s="69"/>
      <c r="AD1409" s="69"/>
      <c r="AE1409" s="69"/>
    </row>
    <row r="1410" spans="1:31" ht="22.5" customHeight="1">
      <c r="A1410" s="69"/>
      <c r="B1410" s="69"/>
      <c r="C1410" s="69"/>
      <c r="D1410" s="69"/>
      <c r="E1410" s="185"/>
      <c r="F1410" s="69"/>
      <c r="G1410" s="185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U1410" s="69"/>
      <c r="V1410" s="69"/>
      <c r="W1410" s="69"/>
      <c r="X1410" s="69"/>
      <c r="Y1410" s="69"/>
      <c r="Z1410" s="69"/>
      <c r="AA1410" s="69"/>
      <c r="AB1410" s="69"/>
      <c r="AC1410" s="69"/>
      <c r="AD1410" s="69"/>
      <c r="AE1410" s="69"/>
    </row>
    <row r="1411" spans="1:31" ht="22.5" customHeight="1">
      <c r="A1411" s="69"/>
      <c r="B1411" s="69"/>
      <c r="C1411" s="69"/>
      <c r="D1411" s="69"/>
      <c r="E1411" s="185"/>
      <c r="F1411" s="69"/>
      <c r="G1411" s="185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69"/>
      <c r="T1411" s="69"/>
      <c r="U1411" s="69"/>
      <c r="V1411" s="69"/>
      <c r="W1411" s="69"/>
      <c r="X1411" s="69"/>
      <c r="Y1411" s="69"/>
      <c r="Z1411" s="69"/>
      <c r="AA1411" s="69"/>
      <c r="AB1411" s="69"/>
      <c r="AC1411" s="69"/>
      <c r="AD1411" s="69"/>
      <c r="AE1411" s="69"/>
    </row>
    <row r="1412" spans="1:31" ht="22.5" customHeight="1">
      <c r="A1412" s="69"/>
      <c r="B1412" s="69"/>
      <c r="C1412" s="69"/>
      <c r="D1412" s="69"/>
      <c r="E1412" s="185"/>
      <c r="F1412" s="69"/>
      <c r="G1412" s="185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  <c r="T1412" s="69"/>
      <c r="U1412" s="69"/>
      <c r="V1412" s="69"/>
      <c r="W1412" s="69"/>
      <c r="X1412" s="69"/>
      <c r="Y1412" s="69"/>
      <c r="Z1412" s="69"/>
      <c r="AA1412" s="69"/>
      <c r="AB1412" s="69"/>
      <c r="AC1412" s="69"/>
      <c r="AD1412" s="69"/>
      <c r="AE1412" s="69"/>
    </row>
    <row r="1413" spans="1:31" ht="22.5" customHeight="1">
      <c r="A1413" s="69"/>
      <c r="B1413" s="69"/>
      <c r="C1413" s="69"/>
      <c r="D1413" s="69"/>
      <c r="E1413" s="185"/>
      <c r="F1413" s="69"/>
      <c r="G1413" s="185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69"/>
      <c r="T1413" s="69"/>
      <c r="U1413" s="69"/>
      <c r="V1413" s="69"/>
      <c r="W1413" s="69"/>
      <c r="X1413" s="69"/>
      <c r="Y1413" s="69"/>
      <c r="Z1413" s="69"/>
      <c r="AA1413" s="69"/>
      <c r="AB1413" s="69"/>
      <c r="AC1413" s="69"/>
      <c r="AD1413" s="69"/>
      <c r="AE1413" s="69"/>
    </row>
    <row r="1414" spans="1:31" ht="22.5" customHeight="1">
      <c r="A1414" s="69"/>
      <c r="B1414" s="69"/>
      <c r="C1414" s="69"/>
      <c r="D1414" s="69"/>
      <c r="E1414" s="185"/>
      <c r="F1414" s="69"/>
      <c r="G1414" s="185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  <c r="Z1414" s="69"/>
      <c r="AA1414" s="69"/>
      <c r="AB1414" s="69"/>
      <c r="AC1414" s="69"/>
      <c r="AD1414" s="69"/>
      <c r="AE1414" s="69"/>
    </row>
    <row r="1415" spans="1:31" ht="22.5" customHeight="1">
      <c r="A1415" s="69"/>
      <c r="B1415" s="69"/>
      <c r="C1415" s="69"/>
      <c r="D1415" s="69"/>
      <c r="E1415" s="185"/>
      <c r="F1415" s="69"/>
      <c r="G1415" s="185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69"/>
      <c r="T1415" s="69"/>
      <c r="U1415" s="69"/>
      <c r="V1415" s="69"/>
      <c r="W1415" s="69"/>
      <c r="X1415" s="69"/>
      <c r="Y1415" s="69"/>
      <c r="Z1415" s="69"/>
      <c r="AA1415" s="69"/>
      <c r="AB1415" s="69"/>
      <c r="AC1415" s="69"/>
      <c r="AD1415" s="69"/>
      <c r="AE1415" s="69"/>
    </row>
    <row r="1416" spans="1:31" ht="22.5" customHeight="1">
      <c r="A1416" s="69"/>
      <c r="B1416" s="69"/>
      <c r="C1416" s="69"/>
      <c r="D1416" s="69"/>
      <c r="E1416" s="185"/>
      <c r="F1416" s="69"/>
      <c r="G1416" s="185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  <c r="T1416" s="69"/>
      <c r="U1416" s="69"/>
      <c r="V1416" s="69"/>
      <c r="W1416" s="69"/>
      <c r="X1416" s="69"/>
      <c r="Y1416" s="69"/>
      <c r="Z1416" s="69"/>
      <c r="AA1416" s="69"/>
      <c r="AB1416" s="69"/>
      <c r="AC1416" s="69"/>
      <c r="AD1416" s="69"/>
      <c r="AE1416" s="69"/>
    </row>
    <row r="1417" spans="1:31" ht="22.5" customHeight="1">
      <c r="A1417" s="69"/>
      <c r="B1417" s="69"/>
      <c r="C1417" s="69"/>
      <c r="D1417" s="69"/>
      <c r="E1417" s="185"/>
      <c r="F1417" s="69"/>
      <c r="G1417" s="185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69"/>
      <c r="T1417" s="69"/>
      <c r="U1417" s="69"/>
      <c r="V1417" s="69"/>
      <c r="W1417" s="69"/>
      <c r="X1417" s="69"/>
      <c r="Y1417" s="69"/>
      <c r="Z1417" s="69"/>
      <c r="AA1417" s="69"/>
      <c r="AB1417" s="69"/>
      <c r="AC1417" s="69"/>
      <c r="AD1417" s="69"/>
      <c r="AE1417" s="69"/>
    </row>
    <row r="1418" spans="1:31" ht="22.5" customHeight="1">
      <c r="A1418" s="69"/>
      <c r="B1418" s="69"/>
      <c r="C1418" s="69"/>
      <c r="D1418" s="69"/>
      <c r="E1418" s="185"/>
      <c r="F1418" s="69"/>
      <c r="G1418" s="185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69"/>
      <c r="X1418" s="69"/>
      <c r="Y1418" s="69"/>
      <c r="Z1418" s="69"/>
      <c r="AA1418" s="69"/>
      <c r="AB1418" s="69"/>
      <c r="AC1418" s="69"/>
      <c r="AD1418" s="69"/>
      <c r="AE1418" s="69"/>
    </row>
    <row r="1419" spans="1:31" ht="22.5" customHeight="1">
      <c r="A1419" s="69"/>
      <c r="B1419" s="69"/>
      <c r="C1419" s="69"/>
      <c r="D1419" s="69"/>
      <c r="E1419" s="185"/>
      <c r="F1419" s="69"/>
      <c r="G1419" s="185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69"/>
      <c r="T1419" s="69"/>
      <c r="U1419" s="69"/>
      <c r="V1419" s="69"/>
      <c r="W1419" s="69"/>
      <c r="X1419" s="69"/>
      <c r="Y1419" s="69"/>
      <c r="Z1419" s="69"/>
      <c r="AA1419" s="69"/>
      <c r="AB1419" s="69"/>
      <c r="AC1419" s="69"/>
      <c r="AD1419" s="69"/>
      <c r="AE1419" s="69"/>
    </row>
    <row r="1420" spans="1:31" ht="22.5" customHeight="1">
      <c r="A1420" s="69"/>
      <c r="B1420" s="69"/>
      <c r="C1420" s="69"/>
      <c r="D1420" s="69"/>
      <c r="E1420" s="185"/>
      <c r="F1420" s="69"/>
      <c r="G1420" s="185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  <c r="T1420" s="69"/>
      <c r="U1420" s="69"/>
      <c r="V1420" s="69"/>
      <c r="W1420" s="69"/>
      <c r="X1420" s="69"/>
      <c r="Y1420" s="69"/>
      <c r="Z1420" s="69"/>
      <c r="AA1420" s="69"/>
      <c r="AB1420" s="69"/>
      <c r="AC1420" s="69"/>
      <c r="AD1420" s="69"/>
      <c r="AE1420" s="69"/>
    </row>
    <row r="1421" spans="1:31" ht="22.5" customHeight="1">
      <c r="A1421" s="69"/>
      <c r="B1421" s="69"/>
      <c r="C1421" s="69"/>
      <c r="D1421" s="69"/>
      <c r="E1421" s="185"/>
      <c r="F1421" s="69"/>
      <c r="G1421" s="185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69"/>
      <c r="T1421" s="69"/>
      <c r="U1421" s="69"/>
      <c r="V1421" s="69"/>
      <c r="W1421" s="69"/>
      <c r="X1421" s="69"/>
      <c r="Y1421" s="69"/>
      <c r="Z1421" s="69"/>
      <c r="AA1421" s="69"/>
      <c r="AB1421" s="69"/>
      <c r="AC1421" s="69"/>
      <c r="AD1421" s="69"/>
      <c r="AE1421" s="69"/>
    </row>
    <row r="1422" spans="1:31" ht="22.5" customHeight="1">
      <c r="A1422" s="69"/>
      <c r="B1422" s="69"/>
      <c r="C1422" s="69"/>
      <c r="D1422" s="69"/>
      <c r="E1422" s="185"/>
      <c r="F1422" s="69"/>
      <c r="G1422" s="185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  <c r="T1422" s="69"/>
      <c r="U1422" s="69"/>
      <c r="V1422" s="69"/>
      <c r="W1422" s="69"/>
      <c r="X1422" s="69"/>
      <c r="Y1422" s="69"/>
      <c r="Z1422" s="69"/>
      <c r="AA1422" s="69"/>
      <c r="AB1422" s="69"/>
      <c r="AC1422" s="69"/>
      <c r="AD1422" s="69"/>
      <c r="AE1422" s="69"/>
    </row>
    <row r="1423" spans="1:31" ht="22.5" customHeight="1">
      <c r="A1423" s="69"/>
      <c r="B1423" s="69"/>
      <c r="C1423" s="69"/>
      <c r="D1423" s="69"/>
      <c r="E1423" s="185"/>
      <c r="F1423" s="69"/>
      <c r="G1423" s="185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69"/>
      <c r="T1423" s="69"/>
      <c r="U1423" s="69"/>
      <c r="V1423" s="69"/>
      <c r="W1423" s="69"/>
      <c r="X1423" s="69"/>
      <c r="Y1423" s="69"/>
      <c r="Z1423" s="69"/>
      <c r="AA1423" s="69"/>
      <c r="AB1423" s="69"/>
      <c r="AC1423" s="69"/>
      <c r="AD1423" s="69"/>
      <c r="AE1423" s="69"/>
    </row>
    <row r="1424" spans="1:31" ht="22.5" customHeight="1">
      <c r="A1424" s="69"/>
      <c r="B1424" s="69"/>
      <c r="C1424" s="69"/>
      <c r="D1424" s="69"/>
      <c r="E1424" s="185"/>
      <c r="F1424" s="69"/>
      <c r="G1424" s="185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  <c r="T1424" s="69"/>
      <c r="U1424" s="69"/>
      <c r="V1424" s="69"/>
      <c r="W1424" s="69"/>
      <c r="X1424" s="69"/>
      <c r="Y1424" s="69"/>
      <c r="Z1424" s="69"/>
      <c r="AA1424" s="69"/>
      <c r="AB1424" s="69"/>
      <c r="AC1424" s="69"/>
      <c r="AD1424" s="69"/>
      <c r="AE1424" s="69"/>
    </row>
    <row r="1425" spans="1:31" ht="22.5" customHeight="1">
      <c r="A1425" s="69"/>
      <c r="B1425" s="69"/>
      <c r="C1425" s="69"/>
      <c r="D1425" s="69"/>
      <c r="E1425" s="185"/>
      <c r="F1425" s="69"/>
      <c r="G1425" s="185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69"/>
      <c r="T1425" s="69"/>
      <c r="U1425" s="69"/>
      <c r="V1425" s="69"/>
      <c r="W1425" s="69"/>
      <c r="X1425" s="69"/>
      <c r="Y1425" s="69"/>
      <c r="Z1425" s="69"/>
      <c r="AA1425" s="69"/>
      <c r="AB1425" s="69"/>
      <c r="AC1425" s="69"/>
      <c r="AD1425" s="69"/>
      <c r="AE1425" s="69"/>
    </row>
    <row r="1426" spans="1:31" ht="22.5" customHeight="1">
      <c r="A1426" s="69"/>
      <c r="B1426" s="69"/>
      <c r="C1426" s="69"/>
      <c r="D1426" s="69"/>
      <c r="E1426" s="185"/>
      <c r="F1426" s="69"/>
      <c r="G1426" s="185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  <c r="T1426" s="69"/>
      <c r="U1426" s="69"/>
      <c r="V1426" s="69"/>
      <c r="W1426" s="69"/>
      <c r="X1426" s="69"/>
      <c r="Y1426" s="69"/>
      <c r="Z1426" s="69"/>
      <c r="AA1426" s="69"/>
      <c r="AB1426" s="69"/>
      <c r="AC1426" s="69"/>
      <c r="AD1426" s="69"/>
      <c r="AE1426" s="69"/>
    </row>
    <row r="1427" spans="1:31" ht="22.5" customHeight="1">
      <c r="A1427" s="69"/>
      <c r="B1427" s="69"/>
      <c r="C1427" s="69"/>
      <c r="D1427" s="69"/>
      <c r="E1427" s="185"/>
      <c r="F1427" s="69"/>
      <c r="G1427" s="185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  <c r="Z1427" s="69"/>
      <c r="AA1427" s="69"/>
      <c r="AB1427" s="69"/>
      <c r="AC1427" s="69"/>
      <c r="AD1427" s="69"/>
      <c r="AE1427" s="69"/>
    </row>
    <row r="1428" spans="1:31" ht="22.5" customHeight="1">
      <c r="A1428" s="69"/>
      <c r="B1428" s="69"/>
      <c r="C1428" s="69"/>
      <c r="D1428" s="69"/>
      <c r="E1428" s="185"/>
      <c r="F1428" s="69"/>
      <c r="G1428" s="185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  <c r="T1428" s="69"/>
      <c r="U1428" s="69"/>
      <c r="V1428" s="69"/>
      <c r="W1428" s="69"/>
      <c r="X1428" s="69"/>
      <c r="Y1428" s="69"/>
      <c r="Z1428" s="69"/>
      <c r="AA1428" s="69"/>
      <c r="AB1428" s="69"/>
      <c r="AC1428" s="69"/>
      <c r="AD1428" s="69"/>
      <c r="AE1428" s="69"/>
    </row>
    <row r="1429" spans="1:31" ht="22.5" customHeight="1">
      <c r="A1429" s="69"/>
      <c r="B1429" s="69"/>
      <c r="C1429" s="69"/>
      <c r="D1429" s="69"/>
      <c r="E1429" s="185"/>
      <c r="F1429" s="69"/>
      <c r="G1429" s="185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69"/>
      <c r="T1429" s="69"/>
      <c r="U1429" s="69"/>
      <c r="V1429" s="69"/>
      <c r="W1429" s="69"/>
      <c r="X1429" s="69"/>
      <c r="Y1429" s="69"/>
      <c r="Z1429" s="69"/>
      <c r="AA1429" s="69"/>
      <c r="AB1429" s="69"/>
      <c r="AC1429" s="69"/>
      <c r="AD1429" s="69"/>
      <c r="AE1429" s="69"/>
    </row>
    <row r="1430" spans="1:31" ht="22.5" customHeight="1">
      <c r="A1430" s="69"/>
      <c r="B1430" s="69"/>
      <c r="C1430" s="69"/>
      <c r="D1430" s="69"/>
      <c r="E1430" s="185"/>
      <c r="F1430" s="69"/>
      <c r="G1430" s="185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  <c r="T1430" s="69"/>
      <c r="U1430" s="69"/>
      <c r="V1430" s="69"/>
      <c r="W1430" s="69"/>
      <c r="X1430" s="69"/>
      <c r="Y1430" s="69"/>
      <c r="Z1430" s="69"/>
      <c r="AA1430" s="69"/>
      <c r="AB1430" s="69"/>
      <c r="AC1430" s="69"/>
      <c r="AD1430" s="69"/>
      <c r="AE1430" s="69"/>
    </row>
    <row r="1431" spans="1:31" ht="22.5" customHeight="1">
      <c r="A1431" s="69"/>
      <c r="B1431" s="69"/>
      <c r="C1431" s="69"/>
      <c r="D1431" s="69"/>
      <c r="E1431" s="185"/>
      <c r="F1431" s="69"/>
      <c r="G1431" s="185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69"/>
      <c r="T1431" s="69"/>
      <c r="U1431" s="69"/>
      <c r="V1431" s="69"/>
      <c r="W1431" s="69"/>
      <c r="X1431" s="69"/>
      <c r="Y1431" s="69"/>
      <c r="Z1431" s="69"/>
      <c r="AA1431" s="69"/>
      <c r="AB1431" s="69"/>
      <c r="AC1431" s="69"/>
      <c r="AD1431" s="69"/>
      <c r="AE1431" s="69"/>
    </row>
    <row r="1432" spans="1:31" ht="22.5" customHeight="1">
      <c r="A1432" s="69"/>
      <c r="B1432" s="69"/>
      <c r="C1432" s="69"/>
      <c r="D1432" s="69"/>
      <c r="E1432" s="185"/>
      <c r="F1432" s="69"/>
      <c r="G1432" s="185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  <c r="T1432" s="69"/>
      <c r="U1432" s="69"/>
      <c r="V1432" s="69"/>
      <c r="W1432" s="69"/>
      <c r="X1432" s="69"/>
      <c r="Y1432" s="69"/>
      <c r="Z1432" s="69"/>
      <c r="AA1432" s="69"/>
      <c r="AB1432" s="69"/>
      <c r="AC1432" s="69"/>
      <c r="AD1432" s="69"/>
      <c r="AE1432" s="69"/>
    </row>
    <row r="1433" spans="1:31" ht="22.5" customHeight="1">
      <c r="A1433" s="69"/>
      <c r="B1433" s="69"/>
      <c r="C1433" s="69"/>
      <c r="D1433" s="69"/>
      <c r="E1433" s="185"/>
      <c r="F1433" s="69"/>
      <c r="G1433" s="185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69"/>
      <c r="T1433" s="69"/>
      <c r="U1433" s="69"/>
      <c r="V1433" s="69"/>
      <c r="W1433" s="69"/>
      <c r="X1433" s="69"/>
      <c r="Y1433" s="69"/>
      <c r="Z1433" s="69"/>
      <c r="AA1433" s="69"/>
      <c r="AB1433" s="69"/>
      <c r="AC1433" s="69"/>
      <c r="AD1433" s="69"/>
      <c r="AE1433" s="69"/>
    </row>
    <row r="1434" spans="1:31" ht="22.5" customHeight="1">
      <c r="A1434" s="69"/>
      <c r="B1434" s="69"/>
      <c r="C1434" s="69"/>
      <c r="D1434" s="69"/>
      <c r="E1434" s="185"/>
      <c r="F1434" s="69"/>
      <c r="G1434" s="185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  <c r="T1434" s="69"/>
      <c r="U1434" s="69"/>
      <c r="V1434" s="69"/>
      <c r="W1434" s="69"/>
      <c r="X1434" s="69"/>
      <c r="Y1434" s="69"/>
      <c r="Z1434" s="69"/>
      <c r="AA1434" s="69"/>
      <c r="AB1434" s="69"/>
      <c r="AC1434" s="69"/>
      <c r="AD1434" s="69"/>
      <c r="AE1434" s="69"/>
    </row>
    <row r="1435" spans="1:31" ht="22.5" customHeight="1">
      <c r="A1435" s="69"/>
      <c r="B1435" s="69"/>
      <c r="C1435" s="69"/>
      <c r="D1435" s="69"/>
      <c r="E1435" s="185"/>
      <c r="F1435" s="69"/>
      <c r="G1435" s="185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69"/>
      <c r="T1435" s="69"/>
      <c r="U1435" s="69"/>
      <c r="V1435" s="69"/>
      <c r="W1435" s="69"/>
      <c r="X1435" s="69"/>
      <c r="Y1435" s="69"/>
      <c r="Z1435" s="69"/>
      <c r="AA1435" s="69"/>
      <c r="AB1435" s="69"/>
      <c r="AC1435" s="69"/>
      <c r="AD1435" s="69"/>
      <c r="AE1435" s="69"/>
    </row>
    <row r="1436" spans="1:31" ht="22.5" customHeight="1">
      <c r="A1436" s="69"/>
      <c r="B1436" s="69"/>
      <c r="C1436" s="69"/>
      <c r="D1436" s="69"/>
      <c r="E1436" s="185"/>
      <c r="F1436" s="69"/>
      <c r="G1436" s="185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  <c r="Z1436" s="69"/>
      <c r="AA1436" s="69"/>
      <c r="AB1436" s="69"/>
      <c r="AC1436" s="69"/>
      <c r="AD1436" s="69"/>
      <c r="AE1436" s="69"/>
    </row>
    <row r="1437" spans="1:31" ht="22.5" customHeight="1">
      <c r="A1437" s="69"/>
      <c r="B1437" s="69"/>
      <c r="C1437" s="69"/>
      <c r="D1437" s="69"/>
      <c r="E1437" s="185"/>
      <c r="F1437" s="69"/>
      <c r="G1437" s="185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69"/>
      <c r="T1437" s="69"/>
      <c r="U1437" s="69"/>
      <c r="V1437" s="69"/>
      <c r="W1437" s="69"/>
      <c r="X1437" s="69"/>
      <c r="Y1437" s="69"/>
      <c r="Z1437" s="69"/>
      <c r="AA1437" s="69"/>
      <c r="AB1437" s="69"/>
      <c r="AC1437" s="69"/>
      <c r="AD1437" s="69"/>
      <c r="AE1437" s="69"/>
    </row>
    <row r="1438" spans="1:31" ht="22.5" customHeight="1">
      <c r="A1438" s="69"/>
      <c r="B1438" s="69"/>
      <c r="C1438" s="69"/>
      <c r="D1438" s="69"/>
      <c r="E1438" s="185"/>
      <c r="F1438" s="69"/>
      <c r="G1438" s="185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  <c r="T1438" s="69"/>
      <c r="U1438" s="69"/>
      <c r="V1438" s="69"/>
      <c r="W1438" s="69"/>
      <c r="X1438" s="69"/>
      <c r="Y1438" s="69"/>
      <c r="Z1438" s="69"/>
      <c r="AA1438" s="69"/>
      <c r="AB1438" s="69"/>
      <c r="AC1438" s="69"/>
      <c r="AD1438" s="69"/>
      <c r="AE1438" s="69"/>
    </row>
    <row r="1439" spans="1:31" ht="22.5" customHeight="1">
      <c r="A1439" s="69"/>
      <c r="B1439" s="69"/>
      <c r="C1439" s="69"/>
      <c r="D1439" s="69"/>
      <c r="E1439" s="185"/>
      <c r="F1439" s="69"/>
      <c r="G1439" s="185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  <c r="Z1439" s="69"/>
      <c r="AA1439" s="69"/>
      <c r="AB1439" s="69"/>
      <c r="AC1439" s="69"/>
      <c r="AD1439" s="69"/>
      <c r="AE1439" s="69"/>
    </row>
    <row r="1440" spans="1:31" ht="22.5" customHeight="1">
      <c r="A1440" s="69"/>
      <c r="B1440" s="69"/>
      <c r="C1440" s="69"/>
      <c r="D1440" s="69"/>
      <c r="E1440" s="185"/>
      <c r="F1440" s="69"/>
      <c r="G1440" s="185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  <c r="T1440" s="69"/>
      <c r="U1440" s="69"/>
      <c r="V1440" s="69"/>
      <c r="W1440" s="69"/>
      <c r="X1440" s="69"/>
      <c r="Y1440" s="69"/>
      <c r="Z1440" s="69"/>
      <c r="AA1440" s="69"/>
      <c r="AB1440" s="69"/>
      <c r="AC1440" s="69"/>
      <c r="AD1440" s="69"/>
      <c r="AE1440" s="69"/>
    </row>
    <row r="1441" spans="1:31" ht="22.5" customHeight="1">
      <c r="A1441" s="69"/>
      <c r="B1441" s="69"/>
      <c r="C1441" s="69"/>
      <c r="D1441" s="69"/>
      <c r="E1441" s="185"/>
      <c r="F1441" s="69"/>
      <c r="G1441" s="185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69"/>
      <c r="T1441" s="69"/>
      <c r="U1441" s="69"/>
      <c r="V1441" s="69"/>
      <c r="W1441" s="69"/>
      <c r="X1441" s="69"/>
      <c r="Y1441" s="69"/>
      <c r="Z1441" s="69"/>
      <c r="AA1441" s="69"/>
      <c r="AB1441" s="69"/>
      <c r="AC1441" s="69"/>
      <c r="AD1441" s="69"/>
      <c r="AE1441" s="69"/>
    </row>
    <row r="1442" spans="1:31" ht="22.5" customHeight="1">
      <c r="A1442" s="69"/>
      <c r="B1442" s="69"/>
      <c r="C1442" s="69"/>
      <c r="D1442" s="69"/>
      <c r="E1442" s="185"/>
      <c r="F1442" s="69"/>
      <c r="G1442" s="185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  <c r="T1442" s="69"/>
      <c r="U1442" s="69"/>
      <c r="V1442" s="69"/>
      <c r="W1442" s="69"/>
      <c r="X1442" s="69"/>
      <c r="Y1442" s="69"/>
      <c r="Z1442" s="69"/>
      <c r="AA1442" s="69"/>
      <c r="AB1442" s="69"/>
      <c r="AC1442" s="69"/>
      <c r="AD1442" s="69"/>
      <c r="AE1442" s="69"/>
    </row>
    <row r="1443" spans="1:31" ht="22.5" customHeight="1">
      <c r="A1443" s="69"/>
      <c r="B1443" s="69"/>
      <c r="C1443" s="69"/>
      <c r="D1443" s="69"/>
      <c r="E1443" s="185"/>
      <c r="F1443" s="69"/>
      <c r="G1443" s="185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  <c r="AA1443" s="69"/>
      <c r="AB1443" s="69"/>
      <c r="AC1443" s="69"/>
      <c r="AD1443" s="69"/>
      <c r="AE1443" s="69"/>
    </row>
    <row r="1444" spans="1:31" ht="22.5" customHeight="1">
      <c r="A1444" s="69"/>
      <c r="B1444" s="69"/>
      <c r="C1444" s="69"/>
      <c r="D1444" s="69"/>
      <c r="E1444" s="185"/>
      <c r="F1444" s="69"/>
      <c r="G1444" s="185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  <c r="T1444" s="69"/>
      <c r="U1444" s="69"/>
      <c r="V1444" s="69"/>
      <c r="W1444" s="69"/>
      <c r="X1444" s="69"/>
      <c r="Y1444" s="69"/>
      <c r="Z1444" s="69"/>
      <c r="AA1444" s="69"/>
      <c r="AB1444" s="69"/>
      <c r="AC1444" s="69"/>
      <c r="AD1444" s="69"/>
      <c r="AE1444" s="69"/>
    </row>
    <row r="1445" spans="1:31" ht="22.5" customHeight="1">
      <c r="A1445" s="69"/>
      <c r="B1445" s="69"/>
      <c r="C1445" s="69"/>
      <c r="D1445" s="69"/>
      <c r="E1445" s="185"/>
      <c r="F1445" s="69"/>
      <c r="G1445" s="185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69"/>
      <c r="T1445" s="69"/>
      <c r="U1445" s="69"/>
      <c r="V1445" s="69"/>
      <c r="W1445" s="69"/>
      <c r="X1445" s="69"/>
      <c r="Y1445" s="69"/>
      <c r="Z1445" s="69"/>
      <c r="AA1445" s="69"/>
      <c r="AB1445" s="69"/>
      <c r="AC1445" s="69"/>
      <c r="AD1445" s="69"/>
      <c r="AE1445" s="69"/>
    </row>
    <row r="1446" spans="1:31" ht="22.5" customHeight="1">
      <c r="A1446" s="69"/>
      <c r="B1446" s="69"/>
      <c r="C1446" s="69"/>
      <c r="D1446" s="69"/>
      <c r="E1446" s="185"/>
      <c r="F1446" s="69"/>
      <c r="G1446" s="185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  <c r="T1446" s="69"/>
      <c r="U1446" s="69"/>
      <c r="V1446" s="69"/>
      <c r="W1446" s="69"/>
      <c r="X1446" s="69"/>
      <c r="Y1446" s="69"/>
      <c r="Z1446" s="69"/>
      <c r="AA1446" s="69"/>
      <c r="AB1446" s="69"/>
      <c r="AC1446" s="69"/>
      <c r="AD1446" s="69"/>
      <c r="AE1446" s="69"/>
    </row>
    <row r="1447" spans="1:31" ht="22.5" customHeight="1">
      <c r="A1447" s="69"/>
      <c r="B1447" s="69"/>
      <c r="C1447" s="69"/>
      <c r="D1447" s="69"/>
      <c r="E1447" s="185"/>
      <c r="F1447" s="69"/>
      <c r="G1447" s="185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  <c r="Z1447" s="69"/>
      <c r="AA1447" s="69"/>
      <c r="AB1447" s="69"/>
      <c r="AC1447" s="69"/>
      <c r="AD1447" s="69"/>
      <c r="AE1447" s="69"/>
    </row>
    <row r="1448" spans="1:31" ht="22.5" customHeight="1">
      <c r="A1448" s="69"/>
      <c r="B1448" s="69"/>
      <c r="C1448" s="69"/>
      <c r="D1448" s="69"/>
      <c r="E1448" s="185"/>
      <c r="F1448" s="69"/>
      <c r="G1448" s="185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U1448" s="69"/>
      <c r="V1448" s="69"/>
      <c r="W1448" s="69"/>
      <c r="X1448" s="69"/>
      <c r="Y1448" s="69"/>
      <c r="Z1448" s="69"/>
      <c r="AA1448" s="69"/>
      <c r="AB1448" s="69"/>
      <c r="AC1448" s="69"/>
      <c r="AD1448" s="69"/>
      <c r="AE1448" s="69"/>
    </row>
    <row r="1449" spans="1:31" ht="22.5" customHeight="1">
      <c r="A1449" s="69"/>
      <c r="B1449" s="69"/>
      <c r="C1449" s="69"/>
      <c r="D1449" s="69"/>
      <c r="E1449" s="185"/>
      <c r="F1449" s="69"/>
      <c r="G1449" s="185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69"/>
      <c r="T1449" s="69"/>
      <c r="U1449" s="69"/>
      <c r="V1449" s="69"/>
      <c r="W1449" s="69"/>
      <c r="X1449" s="69"/>
      <c r="Y1449" s="69"/>
      <c r="Z1449" s="69"/>
      <c r="AA1449" s="69"/>
      <c r="AB1449" s="69"/>
      <c r="AC1449" s="69"/>
      <c r="AD1449" s="69"/>
      <c r="AE1449" s="69"/>
    </row>
    <row r="1450" spans="1:31" ht="22.5" customHeight="1">
      <c r="A1450" s="69"/>
      <c r="B1450" s="69"/>
      <c r="C1450" s="69"/>
      <c r="D1450" s="69"/>
      <c r="E1450" s="185"/>
      <c r="F1450" s="69"/>
      <c r="G1450" s="185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  <c r="Z1450" s="69"/>
      <c r="AA1450" s="69"/>
      <c r="AB1450" s="69"/>
      <c r="AC1450" s="69"/>
      <c r="AD1450" s="69"/>
      <c r="AE1450" s="69"/>
    </row>
    <row r="1451" spans="1:31" ht="22.5" customHeight="1">
      <c r="A1451" s="69"/>
      <c r="B1451" s="69"/>
      <c r="C1451" s="69"/>
      <c r="D1451" s="69"/>
      <c r="E1451" s="185"/>
      <c r="F1451" s="69"/>
      <c r="G1451" s="185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69"/>
      <c r="T1451" s="69"/>
      <c r="U1451" s="69"/>
      <c r="V1451" s="69"/>
      <c r="W1451" s="69"/>
      <c r="X1451" s="69"/>
      <c r="Y1451" s="69"/>
      <c r="Z1451" s="69"/>
      <c r="AA1451" s="69"/>
      <c r="AB1451" s="69"/>
      <c r="AC1451" s="69"/>
      <c r="AD1451" s="69"/>
      <c r="AE1451" s="69"/>
    </row>
    <row r="1452" spans="1:31" ht="22.5" customHeight="1">
      <c r="A1452" s="69"/>
      <c r="B1452" s="69"/>
      <c r="C1452" s="69"/>
      <c r="D1452" s="69"/>
      <c r="E1452" s="185"/>
      <c r="F1452" s="69"/>
      <c r="G1452" s="185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  <c r="T1452" s="69"/>
      <c r="U1452" s="69"/>
      <c r="V1452" s="69"/>
      <c r="W1452" s="69"/>
      <c r="X1452" s="69"/>
      <c r="Y1452" s="69"/>
      <c r="Z1452" s="69"/>
      <c r="AA1452" s="69"/>
      <c r="AB1452" s="69"/>
      <c r="AC1452" s="69"/>
      <c r="AD1452" s="69"/>
      <c r="AE1452" s="69"/>
    </row>
    <row r="1453" spans="1:31" ht="22.5" customHeight="1">
      <c r="A1453" s="69"/>
      <c r="B1453" s="69"/>
      <c r="C1453" s="69"/>
      <c r="D1453" s="69"/>
      <c r="E1453" s="185"/>
      <c r="F1453" s="69"/>
      <c r="G1453" s="185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69"/>
      <c r="T1453" s="69"/>
      <c r="U1453" s="69"/>
      <c r="V1453" s="69"/>
      <c r="W1453" s="69"/>
      <c r="X1453" s="69"/>
      <c r="Y1453" s="69"/>
      <c r="Z1453" s="69"/>
      <c r="AA1453" s="69"/>
      <c r="AB1453" s="69"/>
      <c r="AC1453" s="69"/>
      <c r="AD1453" s="69"/>
      <c r="AE1453" s="69"/>
    </row>
    <row r="1454" spans="1:31" ht="22.5" customHeight="1">
      <c r="A1454" s="69"/>
      <c r="B1454" s="69"/>
      <c r="C1454" s="69"/>
      <c r="D1454" s="69"/>
      <c r="E1454" s="185"/>
      <c r="F1454" s="69"/>
      <c r="G1454" s="185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  <c r="Z1454" s="69"/>
      <c r="AA1454" s="69"/>
      <c r="AB1454" s="69"/>
      <c r="AC1454" s="69"/>
      <c r="AD1454" s="69"/>
      <c r="AE1454" s="69"/>
    </row>
    <row r="1455" spans="1:31" ht="22.5" customHeight="1">
      <c r="A1455" s="69"/>
      <c r="B1455" s="69"/>
      <c r="C1455" s="69"/>
      <c r="D1455" s="69"/>
      <c r="E1455" s="185"/>
      <c r="F1455" s="69"/>
      <c r="G1455" s="185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69"/>
      <c r="T1455" s="69"/>
      <c r="U1455" s="69"/>
      <c r="V1455" s="69"/>
      <c r="W1455" s="69"/>
      <c r="X1455" s="69"/>
      <c r="Y1455" s="69"/>
      <c r="Z1455" s="69"/>
      <c r="AA1455" s="69"/>
      <c r="AB1455" s="69"/>
      <c r="AC1455" s="69"/>
      <c r="AD1455" s="69"/>
      <c r="AE1455" s="69"/>
    </row>
    <row r="1456" spans="1:31" ht="22.5" customHeight="1">
      <c r="A1456" s="69"/>
      <c r="B1456" s="69"/>
      <c r="C1456" s="69"/>
      <c r="D1456" s="69"/>
      <c r="E1456" s="185"/>
      <c r="F1456" s="69"/>
      <c r="G1456" s="185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  <c r="T1456" s="69"/>
      <c r="U1456" s="69"/>
      <c r="V1456" s="69"/>
      <c r="W1456" s="69"/>
      <c r="X1456" s="69"/>
      <c r="Y1456" s="69"/>
      <c r="Z1456" s="69"/>
      <c r="AA1456" s="69"/>
      <c r="AB1456" s="69"/>
      <c r="AC1456" s="69"/>
      <c r="AD1456" s="69"/>
      <c r="AE1456" s="69"/>
    </row>
    <row r="1457" spans="1:31" ht="22.5" customHeight="1">
      <c r="A1457" s="69"/>
      <c r="B1457" s="69"/>
      <c r="C1457" s="69"/>
      <c r="D1457" s="69"/>
      <c r="E1457" s="185"/>
      <c r="F1457" s="69"/>
      <c r="G1457" s="185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69"/>
      <c r="T1457" s="69"/>
      <c r="U1457" s="69"/>
      <c r="V1457" s="69"/>
      <c r="W1457" s="69"/>
      <c r="X1457" s="69"/>
      <c r="Y1457" s="69"/>
      <c r="Z1457" s="69"/>
      <c r="AA1457" s="69"/>
      <c r="AB1457" s="69"/>
      <c r="AC1457" s="69"/>
      <c r="AD1457" s="69"/>
      <c r="AE1457" s="69"/>
    </row>
    <row r="1458" spans="1:31" ht="22.5" customHeight="1">
      <c r="A1458" s="69"/>
      <c r="B1458" s="69"/>
      <c r="C1458" s="69"/>
      <c r="D1458" s="69"/>
      <c r="E1458" s="185"/>
      <c r="F1458" s="69"/>
      <c r="G1458" s="185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  <c r="T1458" s="69"/>
      <c r="U1458" s="69"/>
      <c r="V1458" s="69"/>
      <c r="W1458" s="69"/>
      <c r="X1458" s="69"/>
      <c r="Y1458" s="69"/>
      <c r="Z1458" s="69"/>
      <c r="AA1458" s="69"/>
      <c r="AB1458" s="69"/>
      <c r="AC1458" s="69"/>
      <c r="AD1458" s="69"/>
      <c r="AE1458" s="69"/>
    </row>
    <row r="1459" spans="1:31" ht="22.5" customHeight="1">
      <c r="A1459" s="69"/>
      <c r="B1459" s="69"/>
      <c r="C1459" s="69"/>
      <c r="D1459" s="69"/>
      <c r="E1459" s="185"/>
      <c r="F1459" s="69"/>
      <c r="G1459" s="185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69"/>
      <c r="T1459" s="69"/>
      <c r="U1459" s="69"/>
      <c r="V1459" s="69"/>
      <c r="W1459" s="69"/>
      <c r="X1459" s="69"/>
      <c r="Y1459" s="69"/>
      <c r="Z1459" s="69"/>
      <c r="AA1459" s="69"/>
      <c r="AB1459" s="69"/>
      <c r="AC1459" s="69"/>
      <c r="AD1459" s="69"/>
      <c r="AE1459" s="69"/>
    </row>
    <row r="1460" spans="1:31" ht="22.5" customHeight="1">
      <c r="A1460" s="69"/>
      <c r="B1460" s="69"/>
      <c r="C1460" s="69"/>
      <c r="D1460" s="69"/>
      <c r="E1460" s="185"/>
      <c r="F1460" s="69"/>
      <c r="G1460" s="185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  <c r="T1460" s="69"/>
      <c r="U1460" s="69"/>
      <c r="V1460" s="69"/>
      <c r="W1460" s="69"/>
      <c r="X1460" s="69"/>
      <c r="Y1460" s="69"/>
      <c r="Z1460" s="69"/>
      <c r="AA1460" s="69"/>
      <c r="AB1460" s="69"/>
      <c r="AC1460" s="69"/>
      <c r="AD1460" s="69"/>
      <c r="AE1460" s="69"/>
    </row>
    <row r="1461" spans="1:31" ht="22.5" customHeight="1">
      <c r="A1461" s="69"/>
      <c r="B1461" s="69"/>
      <c r="C1461" s="69"/>
      <c r="D1461" s="69"/>
      <c r="E1461" s="185"/>
      <c r="F1461" s="69"/>
      <c r="G1461" s="185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  <c r="Z1461" s="69"/>
      <c r="AA1461" s="69"/>
      <c r="AB1461" s="69"/>
      <c r="AC1461" s="69"/>
      <c r="AD1461" s="69"/>
      <c r="AE1461" s="69"/>
    </row>
    <row r="1462" spans="1:31" ht="22.5" customHeight="1">
      <c r="A1462" s="69"/>
      <c r="B1462" s="69"/>
      <c r="C1462" s="69"/>
      <c r="D1462" s="69"/>
      <c r="E1462" s="185"/>
      <c r="F1462" s="69"/>
      <c r="G1462" s="185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  <c r="T1462" s="69"/>
      <c r="U1462" s="69"/>
      <c r="V1462" s="69"/>
      <c r="W1462" s="69"/>
      <c r="X1462" s="69"/>
      <c r="Y1462" s="69"/>
      <c r="Z1462" s="69"/>
      <c r="AA1462" s="69"/>
      <c r="AB1462" s="69"/>
      <c r="AC1462" s="69"/>
      <c r="AD1462" s="69"/>
      <c r="AE1462" s="69"/>
    </row>
    <row r="1463" spans="1:31" ht="22.5" customHeight="1">
      <c r="A1463" s="69"/>
      <c r="B1463" s="69"/>
      <c r="C1463" s="69"/>
      <c r="D1463" s="69"/>
      <c r="E1463" s="185"/>
      <c r="F1463" s="69"/>
      <c r="G1463" s="185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69"/>
      <c r="T1463" s="69"/>
      <c r="U1463" s="69"/>
      <c r="V1463" s="69"/>
      <c r="W1463" s="69"/>
      <c r="X1463" s="69"/>
      <c r="Y1463" s="69"/>
      <c r="Z1463" s="69"/>
      <c r="AA1463" s="69"/>
      <c r="AB1463" s="69"/>
      <c r="AC1463" s="69"/>
      <c r="AD1463" s="69"/>
      <c r="AE1463" s="69"/>
    </row>
    <row r="1464" spans="1:31" ht="22.5" customHeight="1">
      <c r="A1464" s="69"/>
      <c r="B1464" s="69"/>
      <c r="C1464" s="69"/>
      <c r="D1464" s="69"/>
      <c r="E1464" s="185"/>
      <c r="F1464" s="69"/>
      <c r="G1464" s="185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  <c r="T1464" s="69"/>
      <c r="U1464" s="69"/>
      <c r="V1464" s="69"/>
      <c r="W1464" s="69"/>
      <c r="X1464" s="69"/>
      <c r="Y1464" s="69"/>
      <c r="Z1464" s="69"/>
      <c r="AA1464" s="69"/>
      <c r="AB1464" s="69"/>
      <c r="AC1464" s="69"/>
      <c r="AD1464" s="69"/>
      <c r="AE1464" s="69"/>
    </row>
    <row r="1465" spans="1:31" ht="22.5" customHeight="1">
      <c r="A1465" s="69"/>
      <c r="B1465" s="69"/>
      <c r="C1465" s="69"/>
      <c r="D1465" s="69"/>
      <c r="E1465" s="185"/>
      <c r="F1465" s="69"/>
      <c r="G1465" s="185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69"/>
      <c r="T1465" s="69"/>
      <c r="U1465" s="69"/>
      <c r="V1465" s="69"/>
      <c r="W1465" s="69"/>
      <c r="X1465" s="69"/>
      <c r="Y1465" s="69"/>
      <c r="Z1465" s="69"/>
      <c r="AA1465" s="69"/>
      <c r="AB1465" s="69"/>
      <c r="AC1465" s="69"/>
      <c r="AD1465" s="69"/>
      <c r="AE1465" s="69"/>
    </row>
    <row r="1466" spans="1:31" ht="22.5" customHeight="1">
      <c r="A1466" s="69"/>
      <c r="B1466" s="69"/>
      <c r="C1466" s="69"/>
      <c r="D1466" s="69"/>
      <c r="E1466" s="185"/>
      <c r="F1466" s="69"/>
      <c r="G1466" s="185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  <c r="T1466" s="69"/>
      <c r="U1466" s="69"/>
      <c r="V1466" s="69"/>
      <c r="W1466" s="69"/>
      <c r="X1466" s="69"/>
      <c r="Y1466" s="69"/>
      <c r="Z1466" s="69"/>
      <c r="AA1466" s="69"/>
      <c r="AB1466" s="69"/>
      <c r="AC1466" s="69"/>
      <c r="AD1466" s="69"/>
      <c r="AE1466" s="69"/>
    </row>
    <row r="1467" spans="1:31" ht="22.5" customHeight="1">
      <c r="A1467" s="69"/>
      <c r="B1467" s="69"/>
      <c r="C1467" s="69"/>
      <c r="D1467" s="69"/>
      <c r="E1467" s="185"/>
      <c r="F1467" s="69"/>
      <c r="G1467" s="185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69"/>
      <c r="T1467" s="69"/>
      <c r="U1467" s="69"/>
      <c r="V1467" s="69"/>
      <c r="W1467" s="69"/>
      <c r="X1467" s="69"/>
      <c r="Y1467" s="69"/>
      <c r="Z1467" s="69"/>
      <c r="AA1467" s="69"/>
      <c r="AB1467" s="69"/>
      <c r="AC1467" s="69"/>
      <c r="AD1467" s="69"/>
      <c r="AE1467" s="69"/>
    </row>
    <row r="1468" spans="1:31" ht="22.5" customHeight="1">
      <c r="A1468" s="69"/>
      <c r="B1468" s="69"/>
      <c r="C1468" s="69"/>
      <c r="D1468" s="69"/>
      <c r="E1468" s="185"/>
      <c r="F1468" s="69"/>
      <c r="G1468" s="185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  <c r="Z1468" s="69"/>
      <c r="AA1468" s="69"/>
      <c r="AB1468" s="69"/>
      <c r="AC1468" s="69"/>
      <c r="AD1468" s="69"/>
      <c r="AE1468" s="69"/>
    </row>
    <row r="1469" spans="1:31" ht="22.5" customHeight="1">
      <c r="A1469" s="69"/>
      <c r="B1469" s="69"/>
      <c r="C1469" s="69"/>
      <c r="D1469" s="69"/>
      <c r="E1469" s="185"/>
      <c r="F1469" s="69"/>
      <c r="G1469" s="185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69"/>
      <c r="T1469" s="69"/>
      <c r="U1469" s="69"/>
      <c r="V1469" s="69"/>
      <c r="W1469" s="69"/>
      <c r="X1469" s="69"/>
      <c r="Y1469" s="69"/>
      <c r="Z1469" s="69"/>
      <c r="AA1469" s="69"/>
      <c r="AB1469" s="69"/>
      <c r="AC1469" s="69"/>
      <c r="AD1469" s="69"/>
      <c r="AE1469" s="69"/>
    </row>
    <row r="1470" spans="1:31" ht="22.5" customHeight="1">
      <c r="A1470" s="69"/>
      <c r="B1470" s="69"/>
      <c r="C1470" s="69"/>
      <c r="D1470" s="69"/>
      <c r="E1470" s="185"/>
      <c r="F1470" s="69"/>
      <c r="G1470" s="185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  <c r="T1470" s="69"/>
      <c r="U1470" s="69"/>
      <c r="V1470" s="69"/>
      <c r="W1470" s="69"/>
      <c r="X1470" s="69"/>
      <c r="Y1470" s="69"/>
      <c r="Z1470" s="69"/>
      <c r="AA1470" s="69"/>
      <c r="AB1470" s="69"/>
      <c r="AC1470" s="69"/>
      <c r="AD1470" s="69"/>
      <c r="AE1470" s="69"/>
    </row>
    <row r="1471" spans="1:31" ht="22.5" customHeight="1">
      <c r="A1471" s="69"/>
      <c r="B1471" s="69"/>
      <c r="C1471" s="69"/>
      <c r="D1471" s="69"/>
      <c r="E1471" s="185"/>
      <c r="F1471" s="69"/>
      <c r="G1471" s="185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69"/>
      <c r="T1471" s="69"/>
      <c r="U1471" s="69"/>
      <c r="V1471" s="69"/>
      <c r="W1471" s="69"/>
      <c r="X1471" s="69"/>
      <c r="Y1471" s="69"/>
      <c r="Z1471" s="69"/>
      <c r="AA1471" s="69"/>
      <c r="AB1471" s="69"/>
      <c r="AC1471" s="69"/>
      <c r="AD1471" s="69"/>
      <c r="AE1471" s="69"/>
    </row>
    <row r="1472" spans="1:31" ht="22.5" customHeight="1">
      <c r="A1472" s="69"/>
      <c r="B1472" s="69"/>
      <c r="C1472" s="69"/>
      <c r="D1472" s="69"/>
      <c r="E1472" s="185"/>
      <c r="F1472" s="69"/>
      <c r="G1472" s="185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69"/>
      <c r="X1472" s="69"/>
      <c r="Y1472" s="69"/>
      <c r="Z1472" s="69"/>
      <c r="AA1472" s="69"/>
      <c r="AB1472" s="69"/>
      <c r="AC1472" s="69"/>
      <c r="AD1472" s="69"/>
      <c r="AE1472" s="69"/>
    </row>
    <row r="1473" spans="1:31" ht="22.5" customHeight="1">
      <c r="A1473" s="69"/>
      <c r="B1473" s="69"/>
      <c r="C1473" s="69"/>
      <c r="D1473" s="69"/>
      <c r="E1473" s="185"/>
      <c r="F1473" s="69"/>
      <c r="G1473" s="185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69"/>
      <c r="T1473" s="69"/>
      <c r="U1473" s="69"/>
      <c r="V1473" s="69"/>
      <c r="W1473" s="69"/>
      <c r="X1473" s="69"/>
      <c r="Y1473" s="69"/>
      <c r="Z1473" s="69"/>
      <c r="AA1473" s="69"/>
      <c r="AB1473" s="69"/>
      <c r="AC1473" s="69"/>
      <c r="AD1473" s="69"/>
      <c r="AE1473" s="69"/>
    </row>
    <row r="1474" spans="1:31" ht="22.5" customHeight="1">
      <c r="A1474" s="69"/>
      <c r="B1474" s="69"/>
      <c r="C1474" s="69"/>
      <c r="D1474" s="69"/>
      <c r="E1474" s="185"/>
      <c r="F1474" s="69"/>
      <c r="G1474" s="185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  <c r="W1474" s="69"/>
      <c r="X1474" s="69"/>
      <c r="Y1474" s="69"/>
      <c r="Z1474" s="69"/>
      <c r="AA1474" s="69"/>
      <c r="AB1474" s="69"/>
      <c r="AC1474" s="69"/>
      <c r="AD1474" s="69"/>
      <c r="AE1474" s="69"/>
    </row>
    <row r="1475" spans="1:31" ht="22.5" customHeight="1">
      <c r="A1475" s="69"/>
      <c r="B1475" s="69"/>
      <c r="C1475" s="69"/>
      <c r="D1475" s="69"/>
      <c r="E1475" s="185"/>
      <c r="F1475" s="69"/>
      <c r="G1475" s="185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69"/>
      <c r="T1475" s="69"/>
      <c r="U1475" s="69"/>
      <c r="V1475" s="69"/>
      <c r="W1475" s="69"/>
      <c r="X1475" s="69"/>
      <c r="Y1475" s="69"/>
      <c r="Z1475" s="69"/>
      <c r="AA1475" s="69"/>
      <c r="AB1475" s="69"/>
      <c r="AC1475" s="69"/>
      <c r="AD1475" s="69"/>
      <c r="AE1475" s="69"/>
    </row>
    <row r="1476" spans="1:31" ht="22.5" customHeight="1">
      <c r="A1476" s="69"/>
      <c r="B1476" s="69"/>
      <c r="C1476" s="69"/>
      <c r="D1476" s="69"/>
      <c r="E1476" s="185"/>
      <c r="F1476" s="69"/>
      <c r="G1476" s="185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  <c r="T1476" s="69"/>
      <c r="U1476" s="69"/>
      <c r="V1476" s="69"/>
      <c r="W1476" s="69"/>
      <c r="X1476" s="69"/>
      <c r="Y1476" s="69"/>
      <c r="Z1476" s="69"/>
      <c r="AA1476" s="69"/>
      <c r="AB1476" s="69"/>
      <c r="AC1476" s="69"/>
      <c r="AD1476" s="69"/>
      <c r="AE1476" s="69"/>
    </row>
    <row r="1477" spans="1:31" ht="22.5" customHeight="1">
      <c r="A1477" s="69"/>
      <c r="B1477" s="69"/>
      <c r="C1477" s="69"/>
      <c r="D1477" s="69"/>
      <c r="E1477" s="185"/>
      <c r="F1477" s="69"/>
      <c r="G1477" s="185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69"/>
      <c r="T1477" s="69"/>
      <c r="U1477" s="69"/>
      <c r="V1477" s="69"/>
      <c r="W1477" s="69"/>
      <c r="X1477" s="69"/>
      <c r="Y1477" s="69"/>
      <c r="Z1477" s="69"/>
      <c r="AA1477" s="69"/>
      <c r="AB1477" s="69"/>
      <c r="AC1477" s="69"/>
      <c r="AD1477" s="69"/>
      <c r="AE1477" s="69"/>
    </row>
    <row r="1478" spans="1:31" ht="22.5" customHeight="1">
      <c r="A1478" s="69"/>
      <c r="B1478" s="69"/>
      <c r="C1478" s="69"/>
      <c r="D1478" s="69"/>
      <c r="E1478" s="185"/>
      <c r="F1478" s="69"/>
      <c r="G1478" s="185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  <c r="T1478" s="69"/>
      <c r="U1478" s="69"/>
      <c r="V1478" s="69"/>
      <c r="W1478" s="69"/>
      <c r="X1478" s="69"/>
      <c r="Y1478" s="69"/>
      <c r="Z1478" s="69"/>
      <c r="AA1478" s="69"/>
      <c r="AB1478" s="69"/>
      <c r="AC1478" s="69"/>
      <c r="AD1478" s="69"/>
      <c r="AE1478" s="69"/>
    </row>
    <row r="1479" spans="1:31" ht="22.5" customHeight="1">
      <c r="A1479" s="69"/>
      <c r="B1479" s="69"/>
      <c r="C1479" s="69"/>
      <c r="D1479" s="69"/>
      <c r="E1479" s="185"/>
      <c r="F1479" s="69"/>
      <c r="G1479" s="185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69"/>
      <c r="T1479" s="69"/>
      <c r="U1479" s="69"/>
      <c r="V1479" s="69"/>
      <c r="W1479" s="69"/>
      <c r="X1479" s="69"/>
      <c r="Y1479" s="69"/>
      <c r="Z1479" s="69"/>
      <c r="AA1479" s="69"/>
      <c r="AB1479" s="69"/>
      <c r="AC1479" s="69"/>
      <c r="AD1479" s="69"/>
      <c r="AE1479" s="69"/>
    </row>
    <row r="1480" spans="1:31" ht="22.5" customHeight="1">
      <c r="A1480" s="69"/>
      <c r="B1480" s="69"/>
      <c r="C1480" s="69"/>
      <c r="D1480" s="69"/>
      <c r="E1480" s="185"/>
      <c r="F1480" s="69"/>
      <c r="G1480" s="185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  <c r="T1480" s="69"/>
      <c r="U1480" s="69"/>
      <c r="V1480" s="69"/>
      <c r="W1480" s="69"/>
      <c r="X1480" s="69"/>
      <c r="Y1480" s="69"/>
      <c r="Z1480" s="69"/>
      <c r="AA1480" s="69"/>
      <c r="AB1480" s="69"/>
      <c r="AC1480" s="69"/>
      <c r="AD1480" s="69"/>
      <c r="AE1480" s="69"/>
    </row>
    <row r="1481" spans="1:31" ht="22.5" customHeight="1">
      <c r="A1481" s="69"/>
      <c r="B1481" s="69"/>
      <c r="C1481" s="69"/>
      <c r="D1481" s="69"/>
      <c r="E1481" s="185"/>
      <c r="F1481" s="69"/>
      <c r="G1481" s="185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69"/>
      <c r="T1481" s="69"/>
      <c r="U1481" s="69"/>
      <c r="V1481" s="69"/>
      <c r="W1481" s="69"/>
      <c r="X1481" s="69"/>
      <c r="Y1481" s="69"/>
      <c r="Z1481" s="69"/>
      <c r="AA1481" s="69"/>
      <c r="AB1481" s="69"/>
      <c r="AC1481" s="69"/>
      <c r="AD1481" s="69"/>
      <c r="AE1481" s="69"/>
    </row>
    <row r="1482" spans="1:31" ht="22.5" customHeight="1">
      <c r="A1482" s="69"/>
      <c r="B1482" s="69"/>
      <c r="C1482" s="69"/>
      <c r="D1482" s="69"/>
      <c r="E1482" s="185"/>
      <c r="F1482" s="69"/>
      <c r="G1482" s="185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  <c r="T1482" s="69"/>
      <c r="U1482" s="69"/>
      <c r="V1482" s="69"/>
      <c r="W1482" s="69"/>
      <c r="X1482" s="69"/>
      <c r="Y1482" s="69"/>
      <c r="Z1482" s="69"/>
      <c r="AA1482" s="69"/>
      <c r="AB1482" s="69"/>
      <c r="AC1482" s="69"/>
      <c r="AD1482" s="69"/>
      <c r="AE1482" s="69"/>
    </row>
    <row r="1483" spans="1:31" ht="22.5" customHeight="1">
      <c r="A1483" s="69"/>
      <c r="B1483" s="69"/>
      <c r="C1483" s="69"/>
      <c r="D1483" s="69"/>
      <c r="E1483" s="185"/>
      <c r="F1483" s="69"/>
      <c r="G1483" s="185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  <c r="AA1483" s="69"/>
      <c r="AB1483" s="69"/>
      <c r="AC1483" s="69"/>
      <c r="AD1483" s="69"/>
      <c r="AE1483" s="69"/>
    </row>
    <row r="1484" spans="1:31" ht="22.5" customHeight="1">
      <c r="A1484" s="69"/>
      <c r="B1484" s="69"/>
      <c r="C1484" s="69"/>
      <c r="D1484" s="69"/>
      <c r="E1484" s="185"/>
      <c r="F1484" s="69"/>
      <c r="G1484" s="185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  <c r="T1484" s="69"/>
      <c r="U1484" s="69"/>
      <c r="V1484" s="69"/>
      <c r="W1484" s="69"/>
      <c r="X1484" s="69"/>
      <c r="Y1484" s="69"/>
      <c r="Z1484" s="69"/>
      <c r="AA1484" s="69"/>
      <c r="AB1484" s="69"/>
      <c r="AC1484" s="69"/>
      <c r="AD1484" s="69"/>
      <c r="AE1484" s="69"/>
    </row>
    <row r="1485" spans="1:31" ht="22.5" customHeight="1">
      <c r="A1485" s="69"/>
      <c r="B1485" s="69"/>
      <c r="C1485" s="69"/>
      <c r="D1485" s="69"/>
      <c r="E1485" s="185"/>
      <c r="F1485" s="69"/>
      <c r="G1485" s="185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69"/>
      <c r="T1485" s="69"/>
      <c r="U1485" s="69"/>
      <c r="V1485" s="69"/>
      <c r="W1485" s="69"/>
      <c r="X1485" s="69"/>
      <c r="Y1485" s="69"/>
      <c r="Z1485" s="69"/>
      <c r="AA1485" s="69"/>
      <c r="AB1485" s="69"/>
      <c r="AC1485" s="69"/>
      <c r="AD1485" s="69"/>
      <c r="AE1485" s="69"/>
    </row>
    <row r="1486" spans="1:31" ht="22.5" customHeight="1">
      <c r="A1486" s="69"/>
      <c r="B1486" s="69"/>
      <c r="C1486" s="69"/>
      <c r="D1486" s="69"/>
      <c r="E1486" s="185"/>
      <c r="F1486" s="69"/>
      <c r="G1486" s="185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U1486" s="69"/>
      <c r="V1486" s="69"/>
      <c r="W1486" s="69"/>
      <c r="X1486" s="69"/>
      <c r="Y1486" s="69"/>
      <c r="Z1486" s="69"/>
      <c r="AA1486" s="69"/>
      <c r="AB1486" s="69"/>
      <c r="AC1486" s="69"/>
      <c r="AD1486" s="69"/>
      <c r="AE1486" s="69"/>
    </row>
    <row r="1487" spans="1:31" ht="22.5" customHeight="1">
      <c r="A1487" s="69"/>
      <c r="B1487" s="69"/>
      <c r="C1487" s="69"/>
      <c r="D1487" s="69"/>
      <c r="E1487" s="185"/>
      <c r="F1487" s="69"/>
      <c r="G1487" s="185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69"/>
      <c r="T1487" s="69"/>
      <c r="U1487" s="69"/>
      <c r="V1487" s="69"/>
      <c r="W1487" s="69"/>
      <c r="X1487" s="69"/>
      <c r="Y1487" s="69"/>
      <c r="Z1487" s="69"/>
      <c r="AA1487" s="69"/>
      <c r="AB1487" s="69"/>
      <c r="AC1487" s="69"/>
      <c r="AD1487" s="69"/>
      <c r="AE1487" s="69"/>
    </row>
    <row r="1488" spans="1:31" ht="22.5" customHeight="1">
      <c r="A1488" s="69"/>
      <c r="B1488" s="69"/>
      <c r="C1488" s="69"/>
      <c r="D1488" s="69"/>
      <c r="E1488" s="185"/>
      <c r="F1488" s="69"/>
      <c r="G1488" s="185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  <c r="T1488" s="69"/>
      <c r="U1488" s="69"/>
      <c r="V1488" s="69"/>
      <c r="W1488" s="69"/>
      <c r="X1488" s="69"/>
      <c r="Y1488" s="69"/>
      <c r="Z1488" s="69"/>
      <c r="AA1488" s="69"/>
      <c r="AB1488" s="69"/>
      <c r="AC1488" s="69"/>
      <c r="AD1488" s="69"/>
      <c r="AE1488" s="69"/>
    </row>
    <row r="1489" spans="1:31" ht="22.5" customHeight="1">
      <c r="A1489" s="69"/>
      <c r="B1489" s="69"/>
      <c r="C1489" s="69"/>
      <c r="D1489" s="69"/>
      <c r="E1489" s="185"/>
      <c r="F1489" s="69"/>
      <c r="G1489" s="185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69"/>
      <c r="T1489" s="69"/>
      <c r="U1489" s="69"/>
      <c r="V1489" s="69"/>
      <c r="W1489" s="69"/>
      <c r="X1489" s="69"/>
      <c r="Y1489" s="69"/>
      <c r="Z1489" s="69"/>
      <c r="AA1489" s="69"/>
      <c r="AB1489" s="69"/>
      <c r="AC1489" s="69"/>
      <c r="AD1489" s="69"/>
      <c r="AE1489" s="69"/>
    </row>
    <row r="1490" spans="1:31" ht="22.5" customHeight="1">
      <c r="A1490" s="69"/>
      <c r="B1490" s="69"/>
      <c r="C1490" s="69"/>
      <c r="D1490" s="69"/>
      <c r="E1490" s="185"/>
      <c r="F1490" s="69"/>
      <c r="G1490" s="185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69"/>
      <c r="X1490" s="69"/>
      <c r="Y1490" s="69"/>
      <c r="Z1490" s="69"/>
      <c r="AA1490" s="69"/>
      <c r="AB1490" s="69"/>
      <c r="AC1490" s="69"/>
      <c r="AD1490" s="69"/>
      <c r="AE1490" s="69"/>
    </row>
    <row r="1491" spans="1:31" ht="22.5" customHeight="1">
      <c r="A1491" s="69"/>
      <c r="B1491" s="69"/>
      <c r="C1491" s="69"/>
      <c r="D1491" s="69"/>
      <c r="E1491" s="185"/>
      <c r="F1491" s="69"/>
      <c r="G1491" s="185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69"/>
      <c r="T1491" s="69"/>
      <c r="U1491" s="69"/>
      <c r="V1491" s="69"/>
      <c r="W1491" s="69"/>
      <c r="X1491" s="69"/>
      <c r="Y1491" s="69"/>
      <c r="Z1491" s="69"/>
      <c r="AA1491" s="69"/>
      <c r="AB1491" s="69"/>
      <c r="AC1491" s="69"/>
      <c r="AD1491" s="69"/>
      <c r="AE1491" s="69"/>
    </row>
    <row r="1492" spans="1:31" ht="22.5" customHeight="1">
      <c r="A1492" s="69"/>
      <c r="B1492" s="69"/>
      <c r="C1492" s="69"/>
      <c r="D1492" s="69"/>
      <c r="E1492" s="185"/>
      <c r="F1492" s="69"/>
      <c r="G1492" s="185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  <c r="T1492" s="69"/>
      <c r="U1492" s="69"/>
      <c r="V1492" s="69"/>
      <c r="W1492" s="69"/>
      <c r="X1492" s="69"/>
      <c r="Y1492" s="69"/>
      <c r="Z1492" s="69"/>
      <c r="AA1492" s="69"/>
      <c r="AB1492" s="69"/>
      <c r="AC1492" s="69"/>
      <c r="AD1492" s="69"/>
      <c r="AE1492" s="69"/>
    </row>
    <row r="1493" spans="1:31" ht="22.5" customHeight="1">
      <c r="A1493" s="69"/>
      <c r="B1493" s="69"/>
      <c r="C1493" s="69"/>
      <c r="D1493" s="69"/>
      <c r="E1493" s="185"/>
      <c r="F1493" s="69"/>
      <c r="G1493" s="185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69"/>
      <c r="T1493" s="69"/>
      <c r="U1493" s="69"/>
      <c r="V1493" s="69"/>
      <c r="W1493" s="69"/>
      <c r="X1493" s="69"/>
      <c r="Y1493" s="69"/>
      <c r="Z1493" s="69"/>
      <c r="AA1493" s="69"/>
      <c r="AB1493" s="69"/>
      <c r="AC1493" s="69"/>
      <c r="AD1493" s="69"/>
      <c r="AE1493" s="69"/>
    </row>
    <row r="1494" spans="1:31" ht="22.5" customHeight="1">
      <c r="A1494" s="69"/>
      <c r="B1494" s="69"/>
      <c r="C1494" s="69"/>
      <c r="D1494" s="69"/>
      <c r="E1494" s="185"/>
      <c r="F1494" s="69"/>
      <c r="G1494" s="185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  <c r="T1494" s="69"/>
      <c r="U1494" s="69"/>
      <c r="V1494" s="69"/>
      <c r="W1494" s="69"/>
      <c r="X1494" s="69"/>
      <c r="Y1494" s="69"/>
      <c r="Z1494" s="69"/>
      <c r="AA1494" s="69"/>
      <c r="AB1494" s="69"/>
      <c r="AC1494" s="69"/>
      <c r="AD1494" s="69"/>
      <c r="AE1494" s="69"/>
    </row>
    <row r="1495" spans="1:31" ht="22.5" customHeight="1">
      <c r="A1495" s="69"/>
      <c r="B1495" s="69"/>
      <c r="C1495" s="69"/>
      <c r="D1495" s="69"/>
      <c r="E1495" s="185"/>
      <c r="F1495" s="69"/>
      <c r="G1495" s="185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69"/>
      <c r="T1495" s="69"/>
      <c r="U1495" s="69"/>
      <c r="V1495" s="69"/>
      <c r="W1495" s="69"/>
      <c r="X1495" s="69"/>
      <c r="Y1495" s="69"/>
      <c r="Z1495" s="69"/>
      <c r="AA1495" s="69"/>
      <c r="AB1495" s="69"/>
      <c r="AC1495" s="69"/>
      <c r="AD1495" s="69"/>
      <c r="AE1495" s="69"/>
    </row>
    <row r="1496" spans="1:31" ht="22.5" customHeight="1">
      <c r="A1496" s="69"/>
      <c r="B1496" s="69"/>
      <c r="C1496" s="69"/>
      <c r="D1496" s="69"/>
      <c r="E1496" s="185"/>
      <c r="F1496" s="69"/>
      <c r="G1496" s="185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  <c r="T1496" s="69"/>
      <c r="U1496" s="69"/>
      <c r="V1496" s="69"/>
      <c r="W1496" s="69"/>
      <c r="X1496" s="69"/>
      <c r="Y1496" s="69"/>
      <c r="Z1496" s="69"/>
      <c r="AA1496" s="69"/>
      <c r="AB1496" s="69"/>
      <c r="AC1496" s="69"/>
      <c r="AD1496" s="69"/>
      <c r="AE1496" s="69"/>
    </row>
    <row r="1497" spans="1:31" ht="22.5" customHeight="1">
      <c r="A1497" s="69"/>
      <c r="B1497" s="69"/>
      <c r="C1497" s="69"/>
      <c r="D1497" s="69"/>
      <c r="E1497" s="185"/>
      <c r="F1497" s="69"/>
      <c r="G1497" s="185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69"/>
      <c r="T1497" s="69"/>
      <c r="U1497" s="69"/>
      <c r="V1497" s="69"/>
      <c r="W1497" s="69"/>
      <c r="X1497" s="69"/>
      <c r="Y1497" s="69"/>
      <c r="Z1497" s="69"/>
      <c r="AA1497" s="69"/>
      <c r="AB1497" s="69"/>
      <c r="AC1497" s="69"/>
      <c r="AD1497" s="69"/>
      <c r="AE1497" s="69"/>
    </row>
    <row r="1498" spans="1:31" ht="22.5" customHeight="1">
      <c r="A1498" s="69"/>
      <c r="B1498" s="69"/>
      <c r="C1498" s="69"/>
      <c r="D1498" s="69"/>
      <c r="E1498" s="185"/>
      <c r="F1498" s="69"/>
      <c r="G1498" s="185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  <c r="T1498" s="69"/>
      <c r="U1498" s="69"/>
      <c r="V1498" s="69"/>
      <c r="W1498" s="69"/>
      <c r="X1498" s="69"/>
      <c r="Y1498" s="69"/>
      <c r="Z1498" s="69"/>
      <c r="AA1498" s="69"/>
      <c r="AB1498" s="69"/>
      <c r="AC1498" s="69"/>
      <c r="AD1498" s="69"/>
      <c r="AE1498" s="69"/>
    </row>
    <row r="1499" spans="1:31" ht="22.5" customHeight="1">
      <c r="A1499" s="69"/>
      <c r="B1499" s="69"/>
      <c r="C1499" s="69"/>
      <c r="D1499" s="69"/>
      <c r="E1499" s="185"/>
      <c r="F1499" s="69"/>
      <c r="G1499" s="185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69"/>
      <c r="T1499" s="69"/>
      <c r="U1499" s="69"/>
      <c r="V1499" s="69"/>
      <c r="W1499" s="69"/>
      <c r="X1499" s="69"/>
      <c r="Y1499" s="69"/>
      <c r="Z1499" s="69"/>
      <c r="AA1499" s="69"/>
      <c r="AB1499" s="69"/>
      <c r="AC1499" s="69"/>
      <c r="AD1499" s="69"/>
      <c r="AE1499" s="69"/>
    </row>
    <row r="1500" spans="1:31" ht="22.5" customHeight="1">
      <c r="A1500" s="69"/>
      <c r="B1500" s="69"/>
      <c r="C1500" s="69"/>
      <c r="D1500" s="69"/>
      <c r="E1500" s="185"/>
      <c r="F1500" s="69"/>
      <c r="G1500" s="185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  <c r="T1500" s="69"/>
      <c r="U1500" s="69"/>
      <c r="V1500" s="69"/>
      <c r="W1500" s="69"/>
      <c r="X1500" s="69"/>
      <c r="Y1500" s="69"/>
      <c r="Z1500" s="69"/>
      <c r="AA1500" s="69"/>
      <c r="AB1500" s="69"/>
      <c r="AC1500" s="69"/>
      <c r="AD1500" s="69"/>
      <c r="AE1500" s="69"/>
    </row>
    <row r="1501" spans="1:31" ht="22.5" customHeight="1">
      <c r="A1501" s="69"/>
      <c r="B1501" s="69"/>
      <c r="C1501" s="69"/>
      <c r="D1501" s="69"/>
      <c r="E1501" s="185"/>
      <c r="F1501" s="69"/>
      <c r="G1501" s="185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69"/>
      <c r="T1501" s="69"/>
      <c r="U1501" s="69"/>
      <c r="V1501" s="69"/>
      <c r="W1501" s="69"/>
      <c r="X1501" s="69"/>
      <c r="Y1501" s="69"/>
      <c r="Z1501" s="69"/>
      <c r="AA1501" s="69"/>
      <c r="AB1501" s="69"/>
      <c r="AC1501" s="69"/>
      <c r="AD1501" s="69"/>
      <c r="AE1501" s="69"/>
    </row>
    <row r="1502" spans="1:31" ht="22.5" customHeight="1">
      <c r="A1502" s="69"/>
      <c r="B1502" s="69"/>
      <c r="C1502" s="69"/>
      <c r="D1502" s="69"/>
      <c r="E1502" s="185"/>
      <c r="F1502" s="69"/>
      <c r="G1502" s="185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  <c r="T1502" s="69"/>
      <c r="U1502" s="69"/>
      <c r="V1502" s="69"/>
      <c r="W1502" s="69"/>
      <c r="X1502" s="69"/>
      <c r="Y1502" s="69"/>
      <c r="Z1502" s="69"/>
      <c r="AA1502" s="69"/>
      <c r="AB1502" s="69"/>
      <c r="AC1502" s="69"/>
      <c r="AD1502" s="69"/>
      <c r="AE1502" s="69"/>
    </row>
    <row r="1503" spans="1:31" ht="22.5" customHeight="1">
      <c r="A1503" s="69"/>
      <c r="B1503" s="69"/>
      <c r="C1503" s="69"/>
      <c r="D1503" s="69"/>
      <c r="E1503" s="185"/>
      <c r="F1503" s="69"/>
      <c r="G1503" s="185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69"/>
      <c r="T1503" s="69"/>
      <c r="U1503" s="69"/>
      <c r="V1503" s="69"/>
      <c r="W1503" s="69"/>
      <c r="X1503" s="69"/>
      <c r="Y1503" s="69"/>
      <c r="Z1503" s="69"/>
      <c r="AA1503" s="69"/>
      <c r="AB1503" s="69"/>
      <c r="AC1503" s="69"/>
      <c r="AD1503" s="69"/>
      <c r="AE1503" s="69"/>
    </row>
    <row r="1504" spans="1:31" ht="22.5" customHeight="1">
      <c r="A1504" s="69"/>
      <c r="B1504" s="69"/>
      <c r="C1504" s="69"/>
      <c r="D1504" s="69"/>
      <c r="E1504" s="185"/>
      <c r="F1504" s="69"/>
      <c r="G1504" s="185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  <c r="T1504" s="69"/>
      <c r="U1504" s="69"/>
      <c r="V1504" s="69"/>
      <c r="W1504" s="69"/>
      <c r="X1504" s="69"/>
      <c r="Y1504" s="69"/>
      <c r="Z1504" s="69"/>
      <c r="AA1504" s="69"/>
      <c r="AB1504" s="69"/>
      <c r="AC1504" s="69"/>
      <c r="AD1504" s="69"/>
      <c r="AE1504" s="69"/>
    </row>
    <row r="1505" spans="1:31" ht="22.5" customHeight="1">
      <c r="A1505" s="69"/>
      <c r="B1505" s="69"/>
      <c r="C1505" s="69"/>
      <c r="D1505" s="69"/>
      <c r="E1505" s="185"/>
      <c r="F1505" s="69"/>
      <c r="G1505" s="185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69"/>
      <c r="T1505" s="69"/>
      <c r="U1505" s="69"/>
      <c r="V1505" s="69"/>
      <c r="W1505" s="69"/>
      <c r="X1505" s="69"/>
      <c r="Y1505" s="69"/>
      <c r="Z1505" s="69"/>
      <c r="AA1505" s="69"/>
      <c r="AB1505" s="69"/>
      <c r="AC1505" s="69"/>
      <c r="AD1505" s="69"/>
      <c r="AE1505" s="69"/>
    </row>
    <row r="1506" spans="1:31" ht="22.5" customHeight="1">
      <c r="A1506" s="69"/>
      <c r="B1506" s="69"/>
      <c r="C1506" s="69"/>
      <c r="D1506" s="69"/>
      <c r="E1506" s="185"/>
      <c r="F1506" s="69"/>
      <c r="G1506" s="185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  <c r="T1506" s="69"/>
      <c r="U1506" s="69"/>
      <c r="V1506" s="69"/>
      <c r="W1506" s="69"/>
      <c r="X1506" s="69"/>
      <c r="Y1506" s="69"/>
      <c r="Z1506" s="69"/>
      <c r="AA1506" s="69"/>
      <c r="AB1506" s="69"/>
      <c r="AC1506" s="69"/>
      <c r="AD1506" s="69"/>
      <c r="AE1506" s="69"/>
    </row>
    <row r="1507" spans="1:31" ht="22.5" customHeight="1">
      <c r="A1507" s="69"/>
      <c r="B1507" s="69"/>
      <c r="C1507" s="69"/>
      <c r="D1507" s="69"/>
      <c r="E1507" s="185"/>
      <c r="F1507" s="69"/>
      <c r="G1507" s="185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69"/>
      <c r="T1507" s="69"/>
      <c r="U1507" s="69"/>
      <c r="V1507" s="69"/>
      <c r="W1507" s="69"/>
      <c r="X1507" s="69"/>
      <c r="Y1507" s="69"/>
      <c r="Z1507" s="69"/>
      <c r="AA1507" s="69"/>
      <c r="AB1507" s="69"/>
      <c r="AC1507" s="69"/>
      <c r="AD1507" s="69"/>
      <c r="AE1507" s="69"/>
    </row>
    <row r="1508" spans="1:31" ht="22.5" customHeight="1">
      <c r="A1508" s="69"/>
      <c r="B1508" s="69"/>
      <c r="C1508" s="69"/>
      <c r="D1508" s="69"/>
      <c r="E1508" s="185"/>
      <c r="F1508" s="69"/>
      <c r="G1508" s="185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69"/>
      <c r="X1508" s="69"/>
      <c r="Y1508" s="69"/>
      <c r="Z1508" s="69"/>
      <c r="AA1508" s="69"/>
      <c r="AB1508" s="69"/>
      <c r="AC1508" s="69"/>
      <c r="AD1508" s="69"/>
      <c r="AE1508" s="69"/>
    </row>
    <row r="1509" spans="1:31" ht="22.5" customHeight="1">
      <c r="A1509" s="69"/>
      <c r="B1509" s="69"/>
      <c r="C1509" s="69"/>
      <c r="D1509" s="69"/>
      <c r="E1509" s="185"/>
      <c r="F1509" s="69"/>
      <c r="G1509" s="185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69"/>
      <c r="T1509" s="69"/>
      <c r="U1509" s="69"/>
      <c r="V1509" s="69"/>
      <c r="W1509" s="69"/>
      <c r="X1509" s="69"/>
      <c r="Y1509" s="69"/>
      <c r="Z1509" s="69"/>
      <c r="AA1509" s="69"/>
      <c r="AB1509" s="69"/>
      <c r="AC1509" s="69"/>
      <c r="AD1509" s="69"/>
      <c r="AE1509" s="69"/>
    </row>
    <row r="1510" spans="1:31" ht="22.5" customHeight="1">
      <c r="A1510" s="69"/>
      <c r="B1510" s="69"/>
      <c r="C1510" s="69"/>
      <c r="D1510" s="69"/>
      <c r="E1510" s="185"/>
      <c r="F1510" s="69"/>
      <c r="G1510" s="185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  <c r="T1510" s="69"/>
      <c r="U1510" s="69"/>
      <c r="V1510" s="69"/>
      <c r="W1510" s="69"/>
      <c r="X1510" s="69"/>
      <c r="Y1510" s="69"/>
      <c r="Z1510" s="69"/>
      <c r="AA1510" s="69"/>
      <c r="AB1510" s="69"/>
      <c r="AC1510" s="69"/>
      <c r="AD1510" s="69"/>
      <c r="AE1510" s="69"/>
    </row>
    <row r="1511" spans="1:31" ht="22.5" customHeight="1">
      <c r="A1511" s="69"/>
      <c r="B1511" s="69"/>
      <c r="C1511" s="69"/>
      <c r="D1511" s="69"/>
      <c r="E1511" s="185"/>
      <c r="F1511" s="69"/>
      <c r="G1511" s="185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69"/>
      <c r="T1511" s="69"/>
      <c r="U1511" s="69"/>
      <c r="V1511" s="69"/>
      <c r="W1511" s="69"/>
      <c r="X1511" s="69"/>
      <c r="Y1511" s="69"/>
      <c r="Z1511" s="69"/>
      <c r="AA1511" s="69"/>
      <c r="AB1511" s="69"/>
      <c r="AC1511" s="69"/>
      <c r="AD1511" s="69"/>
      <c r="AE1511" s="69"/>
    </row>
    <row r="1512" spans="1:31" ht="22.5" customHeight="1">
      <c r="A1512" s="69"/>
      <c r="B1512" s="69"/>
      <c r="C1512" s="69"/>
      <c r="D1512" s="69"/>
      <c r="E1512" s="185"/>
      <c r="F1512" s="69"/>
      <c r="G1512" s="185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  <c r="T1512" s="69"/>
      <c r="U1512" s="69"/>
      <c r="V1512" s="69"/>
      <c r="W1512" s="69"/>
      <c r="X1512" s="69"/>
      <c r="Y1512" s="69"/>
      <c r="Z1512" s="69"/>
      <c r="AA1512" s="69"/>
      <c r="AB1512" s="69"/>
      <c r="AC1512" s="69"/>
      <c r="AD1512" s="69"/>
      <c r="AE1512" s="69"/>
    </row>
    <row r="1513" spans="1:31" ht="22.5" customHeight="1">
      <c r="A1513" s="69"/>
      <c r="B1513" s="69"/>
      <c r="C1513" s="69"/>
      <c r="D1513" s="69"/>
      <c r="E1513" s="185"/>
      <c r="F1513" s="69"/>
      <c r="G1513" s="185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69"/>
      <c r="T1513" s="69"/>
      <c r="U1513" s="69"/>
      <c r="V1513" s="69"/>
      <c r="W1513" s="69"/>
      <c r="X1513" s="69"/>
      <c r="Y1513" s="69"/>
      <c r="Z1513" s="69"/>
      <c r="AA1513" s="69"/>
      <c r="AB1513" s="69"/>
      <c r="AC1513" s="69"/>
      <c r="AD1513" s="69"/>
      <c r="AE1513" s="69"/>
    </row>
    <row r="1514" spans="1:31" ht="22.5" customHeight="1">
      <c r="A1514" s="69"/>
      <c r="B1514" s="69"/>
      <c r="C1514" s="69"/>
      <c r="D1514" s="69"/>
      <c r="E1514" s="185"/>
      <c r="F1514" s="69"/>
      <c r="G1514" s="185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  <c r="T1514" s="69"/>
      <c r="U1514" s="69"/>
      <c r="V1514" s="69"/>
      <c r="W1514" s="69"/>
      <c r="X1514" s="69"/>
      <c r="Y1514" s="69"/>
      <c r="Z1514" s="69"/>
      <c r="AA1514" s="69"/>
      <c r="AB1514" s="69"/>
      <c r="AC1514" s="69"/>
      <c r="AD1514" s="69"/>
      <c r="AE1514" s="69"/>
    </row>
    <row r="1515" spans="1:31" ht="22.5" customHeight="1">
      <c r="A1515" s="69"/>
      <c r="B1515" s="69"/>
      <c r="C1515" s="69"/>
      <c r="D1515" s="69"/>
      <c r="E1515" s="185"/>
      <c r="F1515" s="69"/>
      <c r="G1515" s="185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69"/>
      <c r="T1515" s="69"/>
      <c r="U1515" s="69"/>
      <c r="V1515" s="69"/>
      <c r="W1515" s="69"/>
      <c r="X1515" s="69"/>
      <c r="Y1515" s="69"/>
      <c r="Z1515" s="69"/>
      <c r="AA1515" s="69"/>
      <c r="AB1515" s="69"/>
      <c r="AC1515" s="69"/>
      <c r="AD1515" s="69"/>
      <c r="AE1515" s="69"/>
    </row>
    <row r="1516" spans="1:31" ht="22.5" customHeight="1">
      <c r="A1516" s="69"/>
      <c r="B1516" s="69"/>
      <c r="C1516" s="69"/>
      <c r="D1516" s="69"/>
      <c r="E1516" s="185"/>
      <c r="F1516" s="69"/>
      <c r="G1516" s="185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  <c r="T1516" s="69"/>
      <c r="U1516" s="69"/>
      <c r="V1516" s="69"/>
      <c r="W1516" s="69"/>
      <c r="X1516" s="69"/>
      <c r="Y1516" s="69"/>
      <c r="Z1516" s="69"/>
      <c r="AA1516" s="69"/>
      <c r="AB1516" s="69"/>
      <c r="AC1516" s="69"/>
      <c r="AD1516" s="69"/>
      <c r="AE1516" s="69"/>
    </row>
    <row r="1517" spans="1:31" ht="22.5" customHeight="1">
      <c r="A1517" s="69"/>
      <c r="B1517" s="69"/>
      <c r="C1517" s="69"/>
      <c r="D1517" s="69"/>
      <c r="E1517" s="185"/>
      <c r="F1517" s="69"/>
      <c r="G1517" s="185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69"/>
      <c r="T1517" s="69"/>
      <c r="U1517" s="69"/>
      <c r="V1517" s="69"/>
      <c r="W1517" s="69"/>
      <c r="X1517" s="69"/>
      <c r="Y1517" s="69"/>
      <c r="Z1517" s="69"/>
      <c r="AA1517" s="69"/>
      <c r="AB1517" s="69"/>
      <c r="AC1517" s="69"/>
      <c r="AD1517" s="69"/>
      <c r="AE1517" s="69"/>
    </row>
    <row r="1518" spans="1:31" ht="22.5" customHeight="1">
      <c r="A1518" s="69"/>
      <c r="B1518" s="69"/>
      <c r="C1518" s="69"/>
      <c r="D1518" s="69"/>
      <c r="E1518" s="185"/>
      <c r="F1518" s="69"/>
      <c r="G1518" s="185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  <c r="T1518" s="69"/>
      <c r="U1518" s="69"/>
      <c r="V1518" s="69"/>
      <c r="W1518" s="69"/>
      <c r="X1518" s="69"/>
      <c r="Y1518" s="69"/>
      <c r="Z1518" s="69"/>
      <c r="AA1518" s="69"/>
      <c r="AB1518" s="69"/>
      <c r="AC1518" s="69"/>
      <c r="AD1518" s="69"/>
      <c r="AE1518" s="69"/>
    </row>
    <row r="1519" spans="1:31" ht="22.5" customHeight="1">
      <c r="A1519" s="69"/>
      <c r="B1519" s="69"/>
      <c r="C1519" s="69"/>
      <c r="D1519" s="69"/>
      <c r="E1519" s="185"/>
      <c r="F1519" s="69"/>
      <c r="G1519" s="185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69"/>
      <c r="T1519" s="69"/>
      <c r="U1519" s="69"/>
      <c r="V1519" s="69"/>
      <c r="W1519" s="69"/>
      <c r="X1519" s="69"/>
      <c r="Y1519" s="69"/>
      <c r="Z1519" s="69"/>
      <c r="AA1519" s="69"/>
      <c r="AB1519" s="69"/>
      <c r="AC1519" s="69"/>
      <c r="AD1519" s="69"/>
      <c r="AE1519" s="69"/>
    </row>
    <row r="1520" spans="1:31" ht="22.5" customHeight="1">
      <c r="A1520" s="69"/>
      <c r="B1520" s="69"/>
      <c r="C1520" s="69"/>
      <c r="D1520" s="69"/>
      <c r="E1520" s="185"/>
      <c r="F1520" s="69"/>
      <c r="G1520" s="185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  <c r="T1520" s="69"/>
      <c r="U1520" s="69"/>
      <c r="V1520" s="69"/>
      <c r="W1520" s="69"/>
      <c r="X1520" s="69"/>
      <c r="Y1520" s="69"/>
      <c r="Z1520" s="69"/>
      <c r="AA1520" s="69"/>
      <c r="AB1520" s="69"/>
      <c r="AC1520" s="69"/>
      <c r="AD1520" s="69"/>
      <c r="AE1520" s="69"/>
    </row>
    <row r="1521" spans="1:31" ht="22.5" customHeight="1">
      <c r="A1521" s="69"/>
      <c r="B1521" s="69"/>
      <c r="C1521" s="69"/>
      <c r="D1521" s="69"/>
      <c r="E1521" s="185"/>
      <c r="F1521" s="69"/>
      <c r="G1521" s="185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69"/>
      <c r="T1521" s="69"/>
      <c r="U1521" s="69"/>
      <c r="V1521" s="69"/>
      <c r="W1521" s="69"/>
      <c r="X1521" s="69"/>
      <c r="Y1521" s="69"/>
      <c r="Z1521" s="69"/>
      <c r="AA1521" s="69"/>
      <c r="AB1521" s="69"/>
      <c r="AC1521" s="69"/>
      <c r="AD1521" s="69"/>
      <c r="AE1521" s="69"/>
    </row>
    <row r="1522" spans="1:31" ht="22.5" customHeight="1">
      <c r="A1522" s="69"/>
      <c r="B1522" s="69"/>
      <c r="C1522" s="69"/>
      <c r="D1522" s="69"/>
      <c r="E1522" s="185"/>
      <c r="F1522" s="69"/>
      <c r="G1522" s="185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  <c r="T1522" s="69"/>
      <c r="U1522" s="69"/>
      <c r="V1522" s="69"/>
      <c r="W1522" s="69"/>
      <c r="X1522" s="69"/>
      <c r="Y1522" s="69"/>
      <c r="Z1522" s="69"/>
      <c r="AA1522" s="69"/>
      <c r="AB1522" s="69"/>
      <c r="AC1522" s="69"/>
      <c r="AD1522" s="69"/>
      <c r="AE1522" s="69"/>
    </row>
    <row r="1523" spans="1:31" ht="22.5" customHeight="1">
      <c r="A1523" s="69"/>
      <c r="B1523" s="69"/>
      <c r="C1523" s="69"/>
      <c r="D1523" s="69"/>
      <c r="E1523" s="185"/>
      <c r="F1523" s="69"/>
      <c r="G1523" s="185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  <c r="AA1523" s="69"/>
      <c r="AB1523" s="69"/>
      <c r="AC1523" s="69"/>
      <c r="AD1523" s="69"/>
      <c r="AE1523" s="69"/>
    </row>
    <row r="1524" spans="1:31" ht="22.5" customHeight="1">
      <c r="A1524" s="69"/>
      <c r="B1524" s="69"/>
      <c r="C1524" s="69"/>
      <c r="D1524" s="69"/>
      <c r="E1524" s="185"/>
      <c r="F1524" s="69"/>
      <c r="G1524" s="185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69"/>
      <c r="Z1524" s="69"/>
      <c r="AA1524" s="69"/>
      <c r="AB1524" s="69"/>
      <c r="AC1524" s="69"/>
      <c r="AD1524" s="69"/>
      <c r="AE1524" s="69"/>
    </row>
    <row r="1525" spans="1:31" ht="22.5" customHeight="1">
      <c r="A1525" s="69"/>
      <c r="B1525" s="69"/>
      <c r="C1525" s="69"/>
      <c r="D1525" s="69"/>
      <c r="E1525" s="185"/>
      <c r="F1525" s="69"/>
      <c r="G1525" s="185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69"/>
      <c r="T1525" s="69"/>
      <c r="U1525" s="69"/>
      <c r="V1525" s="69"/>
      <c r="W1525" s="69"/>
      <c r="X1525" s="69"/>
      <c r="Y1525" s="69"/>
      <c r="Z1525" s="69"/>
      <c r="AA1525" s="69"/>
      <c r="AB1525" s="69"/>
      <c r="AC1525" s="69"/>
      <c r="AD1525" s="69"/>
      <c r="AE1525" s="69"/>
    </row>
    <row r="1526" spans="1:31" ht="22.5" customHeight="1">
      <c r="A1526" s="69"/>
      <c r="B1526" s="69"/>
      <c r="C1526" s="69"/>
      <c r="D1526" s="69"/>
      <c r="E1526" s="185"/>
      <c r="F1526" s="69"/>
      <c r="G1526" s="185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69"/>
      <c r="X1526" s="69"/>
      <c r="Y1526" s="69"/>
      <c r="Z1526" s="69"/>
      <c r="AA1526" s="69"/>
      <c r="AB1526" s="69"/>
      <c r="AC1526" s="69"/>
      <c r="AD1526" s="69"/>
      <c r="AE1526" s="69"/>
    </row>
    <row r="1527" spans="1:31" ht="22.5" customHeight="1">
      <c r="A1527" s="69"/>
      <c r="B1527" s="69"/>
      <c r="C1527" s="69"/>
      <c r="D1527" s="69"/>
      <c r="E1527" s="185"/>
      <c r="F1527" s="69"/>
      <c r="G1527" s="185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69"/>
      <c r="T1527" s="69"/>
      <c r="U1527" s="69"/>
      <c r="V1527" s="69"/>
      <c r="W1527" s="69"/>
      <c r="X1527" s="69"/>
      <c r="Y1527" s="69"/>
      <c r="Z1527" s="69"/>
      <c r="AA1527" s="69"/>
      <c r="AB1527" s="69"/>
      <c r="AC1527" s="69"/>
      <c r="AD1527" s="69"/>
      <c r="AE1527" s="69"/>
    </row>
    <row r="1528" spans="1:31" ht="22.5" customHeight="1">
      <c r="A1528" s="69"/>
      <c r="B1528" s="69"/>
      <c r="C1528" s="69"/>
      <c r="D1528" s="69"/>
      <c r="E1528" s="185"/>
      <c r="F1528" s="69"/>
      <c r="G1528" s="185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  <c r="T1528" s="69"/>
      <c r="U1528" s="69"/>
      <c r="V1528" s="69"/>
      <c r="W1528" s="69"/>
      <c r="X1528" s="69"/>
      <c r="Y1528" s="69"/>
      <c r="Z1528" s="69"/>
      <c r="AA1528" s="69"/>
      <c r="AB1528" s="69"/>
      <c r="AC1528" s="69"/>
      <c r="AD1528" s="69"/>
      <c r="AE1528" s="69"/>
    </row>
    <row r="1529" spans="1:31" ht="22.5" customHeight="1">
      <c r="A1529" s="69"/>
      <c r="B1529" s="69"/>
      <c r="C1529" s="69"/>
      <c r="D1529" s="69"/>
      <c r="E1529" s="185"/>
      <c r="F1529" s="69"/>
      <c r="G1529" s="185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69"/>
      <c r="T1529" s="69"/>
      <c r="U1529" s="69"/>
      <c r="V1529" s="69"/>
      <c r="W1529" s="69"/>
      <c r="X1529" s="69"/>
      <c r="Y1529" s="69"/>
      <c r="Z1529" s="69"/>
      <c r="AA1529" s="69"/>
      <c r="AB1529" s="69"/>
      <c r="AC1529" s="69"/>
      <c r="AD1529" s="69"/>
      <c r="AE1529" s="69"/>
    </row>
    <row r="1530" spans="1:31" ht="22.5" customHeight="1">
      <c r="A1530" s="69"/>
      <c r="B1530" s="69"/>
      <c r="C1530" s="69"/>
      <c r="D1530" s="69"/>
      <c r="E1530" s="185"/>
      <c r="F1530" s="69"/>
      <c r="G1530" s="185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  <c r="T1530" s="69"/>
      <c r="U1530" s="69"/>
      <c r="V1530" s="69"/>
      <c r="W1530" s="69"/>
      <c r="X1530" s="69"/>
      <c r="Y1530" s="69"/>
      <c r="Z1530" s="69"/>
      <c r="AA1530" s="69"/>
      <c r="AB1530" s="69"/>
      <c r="AC1530" s="69"/>
      <c r="AD1530" s="69"/>
      <c r="AE1530" s="69"/>
    </row>
    <row r="1531" spans="1:31" ht="22.5" customHeight="1">
      <c r="A1531" s="69"/>
      <c r="B1531" s="69"/>
      <c r="C1531" s="69"/>
      <c r="D1531" s="69"/>
      <c r="E1531" s="185"/>
      <c r="F1531" s="69"/>
      <c r="G1531" s="185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69"/>
      <c r="T1531" s="69"/>
      <c r="U1531" s="69"/>
      <c r="V1531" s="69"/>
      <c r="W1531" s="69"/>
      <c r="X1531" s="69"/>
      <c r="Y1531" s="69"/>
      <c r="Z1531" s="69"/>
      <c r="AA1531" s="69"/>
      <c r="AB1531" s="69"/>
      <c r="AC1531" s="69"/>
      <c r="AD1531" s="69"/>
      <c r="AE1531" s="69"/>
    </row>
    <row r="1532" spans="1:31" ht="22.5" customHeight="1">
      <c r="A1532" s="69"/>
      <c r="B1532" s="69"/>
      <c r="C1532" s="69"/>
      <c r="D1532" s="69"/>
      <c r="E1532" s="185"/>
      <c r="F1532" s="69"/>
      <c r="G1532" s="185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  <c r="T1532" s="69"/>
      <c r="U1532" s="69"/>
      <c r="V1532" s="69"/>
      <c r="W1532" s="69"/>
      <c r="X1532" s="69"/>
      <c r="Y1532" s="69"/>
      <c r="Z1532" s="69"/>
      <c r="AA1532" s="69"/>
      <c r="AB1532" s="69"/>
      <c r="AC1532" s="69"/>
      <c r="AD1532" s="69"/>
      <c r="AE1532" s="69"/>
    </row>
    <row r="1533" spans="1:31" ht="22.5" customHeight="1">
      <c r="A1533" s="69"/>
      <c r="B1533" s="69"/>
      <c r="C1533" s="69"/>
      <c r="D1533" s="69"/>
      <c r="E1533" s="185"/>
      <c r="F1533" s="69"/>
      <c r="G1533" s="185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69"/>
      <c r="T1533" s="69"/>
      <c r="U1533" s="69"/>
      <c r="V1533" s="69"/>
      <c r="W1533" s="69"/>
      <c r="X1533" s="69"/>
      <c r="Y1533" s="69"/>
      <c r="Z1533" s="69"/>
      <c r="AA1533" s="69"/>
      <c r="AB1533" s="69"/>
      <c r="AC1533" s="69"/>
      <c r="AD1533" s="69"/>
      <c r="AE1533" s="69"/>
    </row>
    <row r="1534" spans="1:31" ht="22.5" customHeight="1">
      <c r="A1534" s="69"/>
      <c r="B1534" s="69"/>
      <c r="C1534" s="69"/>
      <c r="D1534" s="69"/>
      <c r="E1534" s="185"/>
      <c r="F1534" s="69"/>
      <c r="G1534" s="185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  <c r="T1534" s="69"/>
      <c r="U1534" s="69"/>
      <c r="V1534" s="69"/>
      <c r="W1534" s="69"/>
      <c r="X1534" s="69"/>
      <c r="Y1534" s="69"/>
      <c r="Z1534" s="69"/>
      <c r="AA1534" s="69"/>
      <c r="AB1534" s="69"/>
      <c r="AC1534" s="69"/>
      <c r="AD1534" s="69"/>
      <c r="AE1534" s="69"/>
    </row>
    <row r="1535" spans="1:31" ht="22.5" customHeight="1">
      <c r="A1535" s="69"/>
      <c r="B1535" s="69"/>
      <c r="C1535" s="69"/>
      <c r="D1535" s="69"/>
      <c r="E1535" s="185"/>
      <c r="F1535" s="69"/>
      <c r="G1535" s="185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69"/>
      <c r="T1535" s="69"/>
      <c r="U1535" s="69"/>
      <c r="V1535" s="69"/>
      <c r="W1535" s="69"/>
      <c r="X1535" s="69"/>
      <c r="Y1535" s="69"/>
      <c r="Z1535" s="69"/>
      <c r="AA1535" s="69"/>
      <c r="AB1535" s="69"/>
      <c r="AC1535" s="69"/>
      <c r="AD1535" s="69"/>
      <c r="AE1535" s="69"/>
    </row>
    <row r="1536" spans="1:31" ht="22.5" customHeight="1">
      <c r="A1536" s="69"/>
      <c r="B1536" s="69"/>
      <c r="C1536" s="69"/>
      <c r="D1536" s="69"/>
      <c r="E1536" s="185"/>
      <c r="F1536" s="69"/>
      <c r="G1536" s="185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  <c r="T1536" s="69"/>
      <c r="U1536" s="69"/>
      <c r="V1536" s="69"/>
      <c r="W1536" s="69"/>
      <c r="X1536" s="69"/>
      <c r="Y1536" s="69"/>
      <c r="Z1536" s="69"/>
      <c r="AA1536" s="69"/>
      <c r="AB1536" s="69"/>
      <c r="AC1536" s="69"/>
      <c r="AD1536" s="69"/>
      <c r="AE1536" s="69"/>
    </row>
    <row r="1537" spans="1:31" ht="22.5" customHeight="1">
      <c r="A1537" s="69"/>
      <c r="B1537" s="69"/>
      <c r="C1537" s="69"/>
      <c r="D1537" s="69"/>
      <c r="E1537" s="185"/>
      <c r="F1537" s="69"/>
      <c r="G1537" s="185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69"/>
      <c r="T1537" s="69"/>
      <c r="U1537" s="69"/>
      <c r="V1537" s="69"/>
      <c r="W1537" s="69"/>
      <c r="X1537" s="69"/>
      <c r="Y1537" s="69"/>
      <c r="Z1537" s="69"/>
      <c r="AA1537" s="69"/>
      <c r="AB1537" s="69"/>
      <c r="AC1537" s="69"/>
      <c r="AD1537" s="69"/>
      <c r="AE1537" s="69"/>
    </row>
    <row r="1538" spans="1:31" ht="22.5" customHeight="1">
      <c r="A1538" s="69"/>
      <c r="B1538" s="69"/>
      <c r="C1538" s="69"/>
      <c r="D1538" s="69"/>
      <c r="E1538" s="185"/>
      <c r="F1538" s="69"/>
      <c r="G1538" s="185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  <c r="T1538" s="69"/>
      <c r="U1538" s="69"/>
      <c r="V1538" s="69"/>
      <c r="W1538" s="69"/>
      <c r="X1538" s="69"/>
      <c r="Y1538" s="69"/>
      <c r="Z1538" s="69"/>
      <c r="AA1538" s="69"/>
      <c r="AB1538" s="69"/>
      <c r="AC1538" s="69"/>
      <c r="AD1538" s="69"/>
      <c r="AE1538" s="69"/>
    </row>
    <row r="1539" spans="1:31" ht="22.5" customHeight="1">
      <c r="A1539" s="69"/>
      <c r="B1539" s="69"/>
      <c r="C1539" s="69"/>
      <c r="D1539" s="69"/>
      <c r="E1539" s="185"/>
      <c r="F1539" s="69"/>
      <c r="G1539" s="185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69"/>
      <c r="T1539" s="69"/>
      <c r="U1539" s="69"/>
      <c r="V1539" s="69"/>
      <c r="W1539" s="69"/>
      <c r="X1539" s="69"/>
      <c r="Y1539" s="69"/>
      <c r="Z1539" s="69"/>
      <c r="AA1539" s="69"/>
      <c r="AB1539" s="69"/>
      <c r="AC1539" s="69"/>
      <c r="AD1539" s="69"/>
      <c r="AE1539" s="69"/>
    </row>
    <row r="1540" spans="1:31" ht="22.5" customHeight="1">
      <c r="A1540" s="69"/>
      <c r="B1540" s="69"/>
      <c r="C1540" s="69"/>
      <c r="D1540" s="69"/>
      <c r="E1540" s="185"/>
      <c r="F1540" s="69"/>
      <c r="G1540" s="185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  <c r="T1540" s="69"/>
      <c r="U1540" s="69"/>
      <c r="V1540" s="69"/>
      <c r="W1540" s="69"/>
      <c r="X1540" s="69"/>
      <c r="Y1540" s="69"/>
      <c r="Z1540" s="69"/>
      <c r="AA1540" s="69"/>
      <c r="AB1540" s="69"/>
      <c r="AC1540" s="69"/>
      <c r="AD1540" s="69"/>
      <c r="AE1540" s="69"/>
    </row>
    <row r="1541" spans="1:31" ht="22.5" customHeight="1">
      <c r="A1541" s="69"/>
      <c r="B1541" s="69"/>
      <c r="C1541" s="69"/>
      <c r="D1541" s="69"/>
      <c r="E1541" s="185"/>
      <c r="F1541" s="69"/>
      <c r="G1541" s="185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69"/>
      <c r="T1541" s="69"/>
      <c r="U1541" s="69"/>
      <c r="V1541" s="69"/>
      <c r="W1541" s="69"/>
      <c r="X1541" s="69"/>
      <c r="Y1541" s="69"/>
      <c r="Z1541" s="69"/>
      <c r="AA1541" s="69"/>
      <c r="AB1541" s="69"/>
      <c r="AC1541" s="69"/>
      <c r="AD1541" s="69"/>
      <c r="AE1541" s="69"/>
    </row>
    <row r="1542" spans="1:31" ht="22.5" customHeight="1">
      <c r="A1542" s="69"/>
      <c r="B1542" s="69"/>
      <c r="C1542" s="69"/>
      <c r="D1542" s="69"/>
      <c r="E1542" s="185"/>
      <c r="F1542" s="69"/>
      <c r="G1542" s="185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  <c r="T1542" s="69"/>
      <c r="U1542" s="69"/>
      <c r="V1542" s="69"/>
      <c r="W1542" s="69"/>
      <c r="X1542" s="69"/>
      <c r="Y1542" s="69"/>
      <c r="Z1542" s="69"/>
      <c r="AA1542" s="69"/>
      <c r="AB1542" s="69"/>
      <c r="AC1542" s="69"/>
      <c r="AD1542" s="69"/>
      <c r="AE1542" s="69"/>
    </row>
    <row r="1543" spans="1:31" ht="22.5" customHeight="1">
      <c r="A1543" s="69"/>
      <c r="B1543" s="69"/>
      <c r="C1543" s="69"/>
      <c r="D1543" s="69"/>
      <c r="E1543" s="185"/>
      <c r="F1543" s="69"/>
      <c r="G1543" s="185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69"/>
      <c r="T1543" s="69"/>
      <c r="U1543" s="69"/>
      <c r="V1543" s="69"/>
      <c r="W1543" s="69"/>
      <c r="X1543" s="69"/>
      <c r="Y1543" s="69"/>
      <c r="Z1543" s="69"/>
      <c r="AA1543" s="69"/>
      <c r="AB1543" s="69"/>
      <c r="AC1543" s="69"/>
      <c r="AD1543" s="69"/>
      <c r="AE1543" s="69"/>
    </row>
    <row r="1544" spans="1:31" ht="22.5" customHeight="1">
      <c r="A1544" s="69"/>
      <c r="B1544" s="69"/>
      <c r="C1544" s="69"/>
      <c r="D1544" s="69"/>
      <c r="E1544" s="185"/>
      <c r="F1544" s="69"/>
      <c r="G1544" s="185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69"/>
      <c r="X1544" s="69"/>
      <c r="Y1544" s="69"/>
      <c r="Z1544" s="69"/>
      <c r="AA1544" s="69"/>
      <c r="AB1544" s="69"/>
      <c r="AC1544" s="69"/>
      <c r="AD1544" s="69"/>
      <c r="AE1544" s="69"/>
    </row>
    <row r="1545" spans="1:31" ht="22.5" customHeight="1">
      <c r="A1545" s="69"/>
      <c r="B1545" s="69"/>
      <c r="C1545" s="69"/>
      <c r="D1545" s="69"/>
      <c r="E1545" s="185"/>
      <c r="F1545" s="69"/>
      <c r="G1545" s="185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69"/>
      <c r="T1545" s="69"/>
      <c r="U1545" s="69"/>
      <c r="V1545" s="69"/>
      <c r="W1545" s="69"/>
      <c r="X1545" s="69"/>
      <c r="Y1545" s="69"/>
      <c r="Z1545" s="69"/>
      <c r="AA1545" s="69"/>
      <c r="AB1545" s="69"/>
      <c r="AC1545" s="69"/>
      <c r="AD1545" s="69"/>
      <c r="AE1545" s="69"/>
    </row>
    <row r="1546" spans="1:31" ht="22.5" customHeight="1">
      <c r="A1546" s="69"/>
      <c r="B1546" s="69"/>
      <c r="C1546" s="69"/>
      <c r="D1546" s="69"/>
      <c r="E1546" s="185"/>
      <c r="F1546" s="69"/>
      <c r="G1546" s="185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  <c r="T1546" s="69"/>
      <c r="U1546" s="69"/>
      <c r="V1546" s="69"/>
      <c r="W1546" s="69"/>
      <c r="X1546" s="69"/>
      <c r="Y1546" s="69"/>
      <c r="Z1546" s="69"/>
      <c r="AA1546" s="69"/>
      <c r="AB1546" s="69"/>
      <c r="AC1546" s="69"/>
      <c r="AD1546" s="69"/>
      <c r="AE1546" s="69"/>
    </row>
    <row r="1547" spans="1:31" ht="22.5" customHeight="1">
      <c r="A1547" s="69"/>
      <c r="B1547" s="69"/>
      <c r="C1547" s="69"/>
      <c r="D1547" s="69"/>
      <c r="E1547" s="185"/>
      <c r="F1547" s="69"/>
      <c r="G1547" s="185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69"/>
      <c r="T1547" s="69"/>
      <c r="U1547" s="69"/>
      <c r="V1547" s="69"/>
      <c r="W1547" s="69"/>
      <c r="X1547" s="69"/>
      <c r="Y1547" s="69"/>
      <c r="Z1547" s="69"/>
      <c r="AA1547" s="69"/>
      <c r="AB1547" s="69"/>
      <c r="AC1547" s="69"/>
      <c r="AD1547" s="69"/>
      <c r="AE1547" s="69"/>
    </row>
    <row r="1548" spans="1:31" ht="22.5" customHeight="1">
      <c r="A1548" s="69"/>
      <c r="B1548" s="69"/>
      <c r="C1548" s="69"/>
      <c r="D1548" s="69"/>
      <c r="E1548" s="185"/>
      <c r="F1548" s="69"/>
      <c r="G1548" s="185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  <c r="T1548" s="69"/>
      <c r="U1548" s="69"/>
      <c r="V1548" s="69"/>
      <c r="W1548" s="69"/>
      <c r="X1548" s="69"/>
      <c r="Y1548" s="69"/>
      <c r="Z1548" s="69"/>
      <c r="AA1548" s="69"/>
      <c r="AB1548" s="69"/>
      <c r="AC1548" s="69"/>
      <c r="AD1548" s="69"/>
      <c r="AE1548" s="69"/>
    </row>
    <row r="1549" spans="1:31" ht="22.5" customHeight="1">
      <c r="A1549" s="69"/>
      <c r="B1549" s="69"/>
      <c r="C1549" s="69"/>
      <c r="D1549" s="69"/>
      <c r="E1549" s="185"/>
      <c r="F1549" s="69"/>
      <c r="G1549" s="185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69"/>
      <c r="T1549" s="69"/>
      <c r="U1549" s="69"/>
      <c r="V1549" s="69"/>
      <c r="W1549" s="69"/>
      <c r="X1549" s="69"/>
      <c r="Y1549" s="69"/>
      <c r="Z1549" s="69"/>
      <c r="AA1549" s="69"/>
      <c r="AB1549" s="69"/>
      <c r="AC1549" s="69"/>
      <c r="AD1549" s="69"/>
      <c r="AE1549" s="69"/>
    </row>
    <row r="1550" spans="1:31" ht="22.5" customHeight="1">
      <c r="A1550" s="69"/>
      <c r="B1550" s="69"/>
      <c r="C1550" s="69"/>
      <c r="D1550" s="69"/>
      <c r="E1550" s="185"/>
      <c r="F1550" s="69"/>
      <c r="G1550" s="185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  <c r="T1550" s="69"/>
      <c r="U1550" s="69"/>
      <c r="V1550" s="69"/>
      <c r="W1550" s="69"/>
      <c r="X1550" s="69"/>
      <c r="Y1550" s="69"/>
      <c r="Z1550" s="69"/>
      <c r="AA1550" s="69"/>
      <c r="AB1550" s="69"/>
      <c r="AC1550" s="69"/>
      <c r="AD1550" s="69"/>
      <c r="AE1550" s="69"/>
    </row>
    <row r="1551" spans="1:31" ht="22.5" customHeight="1">
      <c r="A1551" s="69"/>
      <c r="B1551" s="69"/>
      <c r="C1551" s="69"/>
      <c r="D1551" s="69"/>
      <c r="E1551" s="185"/>
      <c r="F1551" s="69"/>
      <c r="G1551" s="185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69"/>
      <c r="T1551" s="69"/>
      <c r="U1551" s="69"/>
      <c r="V1551" s="69"/>
      <c r="W1551" s="69"/>
      <c r="X1551" s="69"/>
      <c r="Y1551" s="69"/>
      <c r="Z1551" s="69"/>
      <c r="AA1551" s="69"/>
      <c r="AB1551" s="69"/>
      <c r="AC1551" s="69"/>
      <c r="AD1551" s="69"/>
      <c r="AE1551" s="69"/>
    </row>
    <row r="1552" spans="1:31" ht="22.5" customHeight="1">
      <c r="A1552" s="69"/>
      <c r="B1552" s="69"/>
      <c r="C1552" s="69"/>
      <c r="D1552" s="69"/>
      <c r="E1552" s="185"/>
      <c r="F1552" s="69"/>
      <c r="G1552" s="185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  <c r="T1552" s="69"/>
      <c r="U1552" s="69"/>
      <c r="V1552" s="69"/>
      <c r="W1552" s="69"/>
      <c r="X1552" s="69"/>
      <c r="Y1552" s="69"/>
      <c r="Z1552" s="69"/>
      <c r="AA1552" s="69"/>
      <c r="AB1552" s="69"/>
      <c r="AC1552" s="69"/>
      <c r="AD1552" s="69"/>
      <c r="AE1552" s="69"/>
    </row>
    <row r="1553" spans="1:31" ht="22.5" customHeight="1">
      <c r="A1553" s="69"/>
      <c r="B1553" s="69"/>
      <c r="C1553" s="69"/>
      <c r="D1553" s="69"/>
      <c r="E1553" s="185"/>
      <c r="F1553" s="69"/>
      <c r="G1553" s="185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69"/>
      <c r="T1553" s="69"/>
      <c r="U1553" s="69"/>
      <c r="V1553" s="69"/>
      <c r="W1553" s="69"/>
      <c r="X1553" s="69"/>
      <c r="Y1553" s="69"/>
      <c r="Z1553" s="69"/>
      <c r="AA1553" s="69"/>
      <c r="AB1553" s="69"/>
      <c r="AC1553" s="69"/>
      <c r="AD1553" s="69"/>
      <c r="AE1553" s="69"/>
    </row>
    <row r="1554" spans="1:31" ht="22.5" customHeight="1">
      <c r="A1554" s="69"/>
      <c r="B1554" s="69"/>
      <c r="C1554" s="69"/>
      <c r="D1554" s="69"/>
      <c r="E1554" s="185"/>
      <c r="F1554" s="69"/>
      <c r="G1554" s="185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  <c r="T1554" s="69"/>
      <c r="U1554" s="69"/>
      <c r="V1554" s="69"/>
      <c r="W1554" s="69"/>
      <c r="X1554" s="69"/>
      <c r="Y1554" s="69"/>
      <c r="Z1554" s="69"/>
      <c r="AA1554" s="69"/>
      <c r="AB1554" s="69"/>
      <c r="AC1554" s="69"/>
      <c r="AD1554" s="69"/>
      <c r="AE1554" s="69"/>
    </row>
    <row r="1555" spans="1:31" ht="22.5" customHeight="1">
      <c r="A1555" s="69"/>
      <c r="B1555" s="69"/>
      <c r="C1555" s="69"/>
      <c r="D1555" s="69"/>
      <c r="E1555" s="185"/>
      <c r="F1555" s="69"/>
      <c r="G1555" s="185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69"/>
      <c r="T1555" s="69"/>
      <c r="U1555" s="69"/>
      <c r="V1555" s="69"/>
      <c r="W1555" s="69"/>
      <c r="X1555" s="69"/>
      <c r="Y1555" s="69"/>
      <c r="Z1555" s="69"/>
      <c r="AA1555" s="69"/>
      <c r="AB1555" s="69"/>
      <c r="AC1555" s="69"/>
      <c r="AD1555" s="69"/>
      <c r="AE1555" s="69"/>
    </row>
    <row r="1556" spans="1:31" ht="22.5" customHeight="1">
      <c r="A1556" s="69"/>
      <c r="B1556" s="69"/>
      <c r="C1556" s="69"/>
      <c r="D1556" s="69"/>
      <c r="E1556" s="185"/>
      <c r="F1556" s="69"/>
      <c r="G1556" s="185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  <c r="T1556" s="69"/>
      <c r="U1556" s="69"/>
      <c r="V1556" s="69"/>
      <c r="W1556" s="69"/>
      <c r="X1556" s="69"/>
      <c r="Y1556" s="69"/>
      <c r="Z1556" s="69"/>
      <c r="AA1556" s="69"/>
      <c r="AB1556" s="69"/>
      <c r="AC1556" s="69"/>
      <c r="AD1556" s="69"/>
      <c r="AE1556" s="69"/>
    </row>
    <row r="1557" spans="1:31" ht="22.5" customHeight="1">
      <c r="A1557" s="69"/>
      <c r="B1557" s="69"/>
      <c r="C1557" s="69"/>
      <c r="D1557" s="69"/>
      <c r="E1557" s="185"/>
      <c r="F1557" s="69"/>
      <c r="G1557" s="185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69"/>
      <c r="T1557" s="69"/>
      <c r="U1557" s="69"/>
      <c r="V1557" s="69"/>
      <c r="W1557" s="69"/>
      <c r="X1557" s="69"/>
      <c r="Y1557" s="69"/>
      <c r="Z1557" s="69"/>
      <c r="AA1557" s="69"/>
      <c r="AB1557" s="69"/>
      <c r="AC1557" s="69"/>
      <c r="AD1557" s="69"/>
      <c r="AE1557" s="69"/>
    </row>
    <row r="1558" spans="1:31" ht="22.5" customHeight="1">
      <c r="A1558" s="69"/>
      <c r="B1558" s="69"/>
      <c r="C1558" s="69"/>
      <c r="D1558" s="69"/>
      <c r="E1558" s="185"/>
      <c r="F1558" s="69"/>
      <c r="G1558" s="185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  <c r="T1558" s="69"/>
      <c r="U1558" s="69"/>
      <c r="V1558" s="69"/>
      <c r="W1558" s="69"/>
      <c r="X1558" s="69"/>
      <c r="Y1558" s="69"/>
      <c r="Z1558" s="69"/>
      <c r="AA1558" s="69"/>
      <c r="AB1558" s="69"/>
      <c r="AC1558" s="69"/>
      <c r="AD1558" s="69"/>
      <c r="AE1558" s="69"/>
    </row>
    <row r="1559" spans="1:31" ht="22.5" customHeight="1">
      <c r="A1559" s="69"/>
      <c r="B1559" s="69"/>
      <c r="C1559" s="69"/>
      <c r="D1559" s="69"/>
      <c r="E1559" s="185"/>
      <c r="F1559" s="69"/>
      <c r="G1559" s="185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  <c r="T1559" s="69"/>
      <c r="U1559" s="69"/>
      <c r="V1559" s="69"/>
      <c r="W1559" s="69"/>
      <c r="X1559" s="69"/>
      <c r="Y1559" s="69"/>
      <c r="Z1559" s="69"/>
      <c r="AA1559" s="69"/>
      <c r="AB1559" s="69"/>
      <c r="AC1559" s="69"/>
      <c r="AD1559" s="69"/>
      <c r="AE1559" s="69"/>
    </row>
    <row r="1560" spans="1:31" ht="22.5" customHeight="1">
      <c r="A1560" s="69"/>
      <c r="B1560" s="69"/>
      <c r="C1560" s="69"/>
      <c r="D1560" s="69"/>
      <c r="E1560" s="185"/>
      <c r="F1560" s="69"/>
      <c r="G1560" s="185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  <c r="T1560" s="69"/>
      <c r="U1560" s="69"/>
      <c r="V1560" s="69"/>
      <c r="W1560" s="69"/>
      <c r="X1560" s="69"/>
      <c r="Y1560" s="69"/>
      <c r="Z1560" s="69"/>
      <c r="AA1560" s="69"/>
      <c r="AB1560" s="69"/>
      <c r="AC1560" s="69"/>
      <c r="AD1560" s="69"/>
      <c r="AE1560" s="69"/>
    </row>
    <row r="1561" spans="1:31" ht="22.5" customHeight="1">
      <c r="A1561" s="69"/>
      <c r="B1561" s="69"/>
      <c r="C1561" s="69"/>
      <c r="D1561" s="69"/>
      <c r="E1561" s="185"/>
      <c r="F1561" s="69"/>
      <c r="G1561" s="185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69"/>
      <c r="T1561" s="69"/>
      <c r="U1561" s="69"/>
      <c r="V1561" s="69"/>
      <c r="W1561" s="69"/>
      <c r="X1561" s="69"/>
      <c r="Y1561" s="69"/>
      <c r="Z1561" s="69"/>
      <c r="AA1561" s="69"/>
      <c r="AB1561" s="69"/>
      <c r="AC1561" s="69"/>
      <c r="AD1561" s="69"/>
      <c r="AE1561" s="69"/>
    </row>
    <row r="1562" spans="1:31" ht="22.5" customHeight="1">
      <c r="A1562" s="69"/>
      <c r="B1562" s="69"/>
      <c r="C1562" s="69"/>
      <c r="D1562" s="69"/>
      <c r="E1562" s="185"/>
      <c r="F1562" s="69"/>
      <c r="G1562" s="185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69"/>
      <c r="X1562" s="69"/>
      <c r="Y1562" s="69"/>
      <c r="Z1562" s="69"/>
      <c r="AA1562" s="69"/>
      <c r="AB1562" s="69"/>
      <c r="AC1562" s="69"/>
      <c r="AD1562" s="69"/>
      <c r="AE1562" s="69"/>
    </row>
    <row r="1563" spans="1:31" ht="22.5" customHeight="1">
      <c r="A1563" s="69"/>
      <c r="B1563" s="69"/>
      <c r="C1563" s="69"/>
      <c r="D1563" s="69"/>
      <c r="E1563" s="185"/>
      <c r="F1563" s="69"/>
      <c r="G1563" s="185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  <c r="AA1563" s="69"/>
      <c r="AB1563" s="69"/>
      <c r="AC1563" s="69"/>
      <c r="AD1563" s="69"/>
      <c r="AE1563" s="69"/>
    </row>
    <row r="1564" spans="1:31" ht="22.5" customHeight="1">
      <c r="A1564" s="69"/>
      <c r="B1564" s="69"/>
      <c r="C1564" s="69"/>
      <c r="D1564" s="69"/>
      <c r="E1564" s="185"/>
      <c r="F1564" s="69"/>
      <c r="G1564" s="185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  <c r="T1564" s="69"/>
      <c r="U1564" s="69"/>
      <c r="V1564" s="69"/>
      <c r="W1564" s="69"/>
      <c r="X1564" s="69"/>
      <c r="Y1564" s="69"/>
      <c r="Z1564" s="69"/>
      <c r="AA1564" s="69"/>
      <c r="AB1564" s="69"/>
      <c r="AC1564" s="69"/>
      <c r="AD1564" s="69"/>
      <c r="AE1564" s="69"/>
    </row>
    <row r="1565" spans="1:31" ht="22.5" customHeight="1">
      <c r="A1565" s="69"/>
      <c r="B1565" s="69"/>
      <c r="C1565" s="69"/>
      <c r="D1565" s="69"/>
      <c r="E1565" s="185"/>
      <c r="F1565" s="69"/>
      <c r="G1565" s="185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69"/>
      <c r="T1565" s="69"/>
      <c r="U1565" s="69"/>
      <c r="V1565" s="69"/>
      <c r="W1565" s="69"/>
      <c r="X1565" s="69"/>
      <c r="Y1565" s="69"/>
      <c r="Z1565" s="69"/>
      <c r="AA1565" s="69"/>
      <c r="AB1565" s="69"/>
      <c r="AC1565" s="69"/>
      <c r="AD1565" s="69"/>
      <c r="AE1565" s="69"/>
    </row>
    <row r="1566" spans="1:31" ht="22.5" customHeight="1">
      <c r="A1566" s="69"/>
      <c r="B1566" s="69"/>
      <c r="C1566" s="69"/>
      <c r="D1566" s="69"/>
      <c r="E1566" s="185"/>
      <c r="F1566" s="69"/>
      <c r="G1566" s="185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  <c r="T1566" s="69"/>
      <c r="U1566" s="69"/>
      <c r="V1566" s="69"/>
      <c r="W1566" s="69"/>
      <c r="X1566" s="69"/>
      <c r="Y1566" s="69"/>
      <c r="Z1566" s="69"/>
      <c r="AA1566" s="69"/>
      <c r="AB1566" s="69"/>
      <c r="AC1566" s="69"/>
      <c r="AD1566" s="69"/>
      <c r="AE1566" s="69"/>
    </row>
    <row r="1567" spans="1:31" ht="22.5" customHeight="1">
      <c r="A1567" s="69"/>
      <c r="B1567" s="69"/>
      <c r="C1567" s="69"/>
      <c r="D1567" s="69"/>
      <c r="E1567" s="185"/>
      <c r="F1567" s="69"/>
      <c r="G1567" s="185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69"/>
      <c r="T1567" s="69"/>
      <c r="U1567" s="69"/>
      <c r="V1567" s="69"/>
      <c r="W1567" s="69"/>
      <c r="X1567" s="69"/>
      <c r="Y1567" s="69"/>
      <c r="Z1567" s="69"/>
      <c r="AA1567" s="69"/>
      <c r="AB1567" s="69"/>
      <c r="AC1567" s="69"/>
      <c r="AD1567" s="69"/>
      <c r="AE1567" s="69"/>
    </row>
    <row r="1568" spans="1:31" ht="22.5" customHeight="1">
      <c r="A1568" s="69"/>
      <c r="B1568" s="69"/>
      <c r="C1568" s="69"/>
      <c r="D1568" s="69"/>
      <c r="E1568" s="185"/>
      <c r="F1568" s="69"/>
      <c r="G1568" s="185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  <c r="T1568" s="69"/>
      <c r="U1568" s="69"/>
      <c r="V1568" s="69"/>
      <c r="W1568" s="69"/>
      <c r="X1568" s="69"/>
      <c r="Y1568" s="69"/>
      <c r="Z1568" s="69"/>
      <c r="AA1568" s="69"/>
      <c r="AB1568" s="69"/>
      <c r="AC1568" s="69"/>
      <c r="AD1568" s="69"/>
      <c r="AE1568" s="69"/>
    </row>
    <row r="1569" spans="1:31" ht="22.5" customHeight="1">
      <c r="A1569" s="69"/>
      <c r="B1569" s="69"/>
      <c r="C1569" s="69"/>
      <c r="D1569" s="69"/>
      <c r="E1569" s="185"/>
      <c r="F1569" s="69"/>
      <c r="G1569" s="185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69"/>
      <c r="T1569" s="69"/>
      <c r="U1569" s="69"/>
      <c r="V1569" s="69"/>
      <c r="W1569" s="69"/>
      <c r="X1569" s="69"/>
      <c r="Y1569" s="69"/>
      <c r="Z1569" s="69"/>
      <c r="AA1569" s="69"/>
      <c r="AB1569" s="69"/>
      <c r="AC1569" s="69"/>
      <c r="AD1569" s="69"/>
      <c r="AE1569" s="69"/>
    </row>
    <row r="1570" spans="1:31" ht="22.5" customHeight="1">
      <c r="A1570" s="69"/>
      <c r="B1570" s="69"/>
      <c r="C1570" s="69"/>
      <c r="D1570" s="69"/>
      <c r="E1570" s="185"/>
      <c r="F1570" s="69"/>
      <c r="G1570" s="185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  <c r="T1570" s="69"/>
      <c r="U1570" s="69"/>
      <c r="V1570" s="69"/>
      <c r="W1570" s="69"/>
      <c r="X1570" s="69"/>
      <c r="Y1570" s="69"/>
      <c r="Z1570" s="69"/>
      <c r="AA1570" s="69"/>
      <c r="AB1570" s="69"/>
      <c r="AC1570" s="69"/>
      <c r="AD1570" s="69"/>
      <c r="AE1570" s="69"/>
    </row>
    <row r="1571" spans="1:31" ht="22.5" customHeight="1">
      <c r="A1571" s="69"/>
      <c r="B1571" s="69"/>
      <c r="C1571" s="69"/>
      <c r="D1571" s="69"/>
      <c r="E1571" s="185"/>
      <c r="F1571" s="69"/>
      <c r="G1571" s="185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69"/>
      <c r="T1571" s="69"/>
      <c r="U1571" s="69"/>
      <c r="V1571" s="69"/>
      <c r="W1571" s="69"/>
      <c r="X1571" s="69"/>
      <c r="Y1571" s="69"/>
      <c r="Z1571" s="69"/>
      <c r="AA1571" s="69"/>
      <c r="AB1571" s="69"/>
      <c r="AC1571" s="69"/>
      <c r="AD1571" s="69"/>
      <c r="AE1571" s="69"/>
    </row>
    <row r="1572" spans="1:31" ht="22.5" customHeight="1">
      <c r="A1572" s="69"/>
      <c r="B1572" s="69"/>
      <c r="C1572" s="69"/>
      <c r="D1572" s="69"/>
      <c r="E1572" s="185"/>
      <c r="F1572" s="69"/>
      <c r="G1572" s="185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  <c r="T1572" s="69"/>
      <c r="U1572" s="69"/>
      <c r="V1572" s="69"/>
      <c r="W1572" s="69"/>
      <c r="X1572" s="69"/>
      <c r="Y1572" s="69"/>
      <c r="Z1572" s="69"/>
      <c r="AA1572" s="69"/>
      <c r="AB1572" s="69"/>
      <c r="AC1572" s="69"/>
      <c r="AD1572" s="69"/>
      <c r="AE1572" s="69"/>
    </row>
    <row r="1573" spans="1:31" ht="22.5" customHeight="1">
      <c r="A1573" s="69"/>
      <c r="B1573" s="69"/>
      <c r="C1573" s="69"/>
      <c r="D1573" s="69"/>
      <c r="E1573" s="185"/>
      <c r="F1573" s="69"/>
      <c r="G1573" s="185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69"/>
      <c r="T1573" s="69"/>
      <c r="U1573" s="69"/>
      <c r="V1573" s="69"/>
      <c r="W1573" s="69"/>
      <c r="X1573" s="69"/>
      <c r="Y1573" s="69"/>
      <c r="Z1573" s="69"/>
      <c r="AA1573" s="69"/>
      <c r="AB1573" s="69"/>
      <c r="AC1573" s="69"/>
      <c r="AD1573" s="69"/>
      <c r="AE1573" s="69"/>
    </row>
    <row r="1574" spans="1:31" ht="22.5" customHeight="1">
      <c r="A1574" s="69"/>
      <c r="B1574" s="69"/>
      <c r="C1574" s="69"/>
      <c r="D1574" s="69"/>
      <c r="E1574" s="185"/>
      <c r="F1574" s="69"/>
      <c r="G1574" s="185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  <c r="T1574" s="69"/>
      <c r="U1574" s="69"/>
      <c r="V1574" s="69"/>
      <c r="W1574" s="69"/>
      <c r="X1574" s="69"/>
      <c r="Y1574" s="69"/>
      <c r="Z1574" s="69"/>
      <c r="AA1574" s="69"/>
      <c r="AB1574" s="69"/>
      <c r="AC1574" s="69"/>
      <c r="AD1574" s="69"/>
      <c r="AE1574" s="69"/>
    </row>
    <row r="1575" spans="1:31" ht="22.5" customHeight="1">
      <c r="A1575" s="69"/>
      <c r="B1575" s="69"/>
      <c r="C1575" s="69"/>
      <c r="D1575" s="69"/>
      <c r="E1575" s="185"/>
      <c r="F1575" s="69"/>
      <c r="G1575" s="185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69"/>
      <c r="T1575" s="69"/>
      <c r="U1575" s="69"/>
      <c r="V1575" s="69"/>
      <c r="W1575" s="69"/>
      <c r="X1575" s="69"/>
      <c r="Y1575" s="69"/>
      <c r="Z1575" s="69"/>
      <c r="AA1575" s="69"/>
      <c r="AB1575" s="69"/>
      <c r="AC1575" s="69"/>
      <c r="AD1575" s="69"/>
      <c r="AE1575" s="69"/>
    </row>
    <row r="1576" spans="1:31" ht="22.5" customHeight="1">
      <c r="A1576" s="69"/>
      <c r="B1576" s="69"/>
      <c r="C1576" s="69"/>
      <c r="D1576" s="69"/>
      <c r="E1576" s="185"/>
      <c r="F1576" s="69"/>
      <c r="G1576" s="185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  <c r="T1576" s="69"/>
      <c r="U1576" s="69"/>
      <c r="V1576" s="69"/>
      <c r="W1576" s="69"/>
      <c r="X1576" s="69"/>
      <c r="Y1576" s="69"/>
      <c r="Z1576" s="69"/>
      <c r="AA1576" s="69"/>
      <c r="AB1576" s="69"/>
      <c r="AC1576" s="69"/>
      <c r="AD1576" s="69"/>
      <c r="AE1576" s="69"/>
    </row>
    <row r="1577" spans="1:31" ht="22.5" customHeight="1">
      <c r="A1577" s="69"/>
      <c r="B1577" s="69"/>
      <c r="C1577" s="69"/>
      <c r="D1577" s="69"/>
      <c r="E1577" s="185"/>
      <c r="F1577" s="69"/>
      <c r="G1577" s="185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69"/>
      <c r="T1577" s="69"/>
      <c r="U1577" s="69"/>
      <c r="V1577" s="69"/>
      <c r="W1577" s="69"/>
      <c r="X1577" s="69"/>
      <c r="Y1577" s="69"/>
      <c r="Z1577" s="69"/>
      <c r="AA1577" s="69"/>
      <c r="AB1577" s="69"/>
      <c r="AC1577" s="69"/>
      <c r="AD1577" s="69"/>
      <c r="AE1577" s="69"/>
    </row>
    <row r="1578" spans="1:31" ht="22.5" customHeight="1">
      <c r="A1578" s="69"/>
      <c r="B1578" s="69"/>
      <c r="C1578" s="69"/>
      <c r="D1578" s="69"/>
      <c r="E1578" s="185"/>
      <c r="F1578" s="69"/>
      <c r="G1578" s="185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  <c r="T1578" s="69"/>
      <c r="U1578" s="69"/>
      <c r="V1578" s="69"/>
      <c r="W1578" s="69"/>
      <c r="X1578" s="69"/>
      <c r="Y1578" s="69"/>
      <c r="Z1578" s="69"/>
      <c r="AA1578" s="69"/>
      <c r="AB1578" s="69"/>
      <c r="AC1578" s="69"/>
      <c r="AD1578" s="69"/>
      <c r="AE1578" s="69"/>
    </row>
    <row r="1579" spans="1:31" ht="22.5" customHeight="1">
      <c r="A1579" s="69"/>
      <c r="B1579" s="69"/>
      <c r="C1579" s="69"/>
      <c r="D1579" s="69"/>
      <c r="E1579" s="185"/>
      <c r="F1579" s="69"/>
      <c r="G1579" s="185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69"/>
      <c r="T1579" s="69"/>
      <c r="U1579" s="69"/>
      <c r="V1579" s="69"/>
      <c r="W1579" s="69"/>
      <c r="X1579" s="69"/>
      <c r="Y1579" s="69"/>
      <c r="Z1579" s="69"/>
      <c r="AA1579" s="69"/>
      <c r="AB1579" s="69"/>
      <c r="AC1579" s="69"/>
      <c r="AD1579" s="69"/>
      <c r="AE1579" s="69"/>
    </row>
    <row r="1580" spans="1:31" ht="22.5" customHeight="1">
      <c r="A1580" s="69"/>
      <c r="B1580" s="69"/>
      <c r="C1580" s="69"/>
      <c r="D1580" s="69"/>
      <c r="E1580" s="185"/>
      <c r="F1580" s="69"/>
      <c r="G1580" s="185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69"/>
      <c r="X1580" s="69"/>
      <c r="Y1580" s="69"/>
      <c r="Z1580" s="69"/>
      <c r="AA1580" s="69"/>
      <c r="AB1580" s="69"/>
      <c r="AC1580" s="69"/>
      <c r="AD1580" s="69"/>
      <c r="AE1580" s="69"/>
    </row>
    <row r="1581" spans="1:31" ht="22.5" customHeight="1">
      <c r="A1581" s="69"/>
      <c r="B1581" s="69"/>
      <c r="C1581" s="69"/>
      <c r="D1581" s="69"/>
      <c r="E1581" s="185"/>
      <c r="F1581" s="69"/>
      <c r="G1581" s="185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69"/>
      <c r="T1581" s="69"/>
      <c r="U1581" s="69"/>
      <c r="V1581" s="69"/>
      <c r="W1581" s="69"/>
      <c r="X1581" s="69"/>
      <c r="Y1581" s="69"/>
      <c r="Z1581" s="69"/>
      <c r="AA1581" s="69"/>
      <c r="AB1581" s="69"/>
      <c r="AC1581" s="69"/>
      <c r="AD1581" s="69"/>
      <c r="AE1581" s="69"/>
    </row>
    <row r="1582" spans="1:31" ht="22.5" customHeight="1">
      <c r="A1582" s="69"/>
      <c r="B1582" s="69"/>
      <c r="C1582" s="69"/>
      <c r="D1582" s="69"/>
      <c r="E1582" s="185"/>
      <c r="F1582" s="69"/>
      <c r="G1582" s="185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  <c r="T1582" s="69"/>
      <c r="U1582" s="69"/>
      <c r="V1582" s="69"/>
      <c r="W1582" s="69"/>
      <c r="X1582" s="69"/>
      <c r="Y1582" s="69"/>
      <c r="Z1582" s="69"/>
      <c r="AA1582" s="69"/>
      <c r="AB1582" s="69"/>
      <c r="AC1582" s="69"/>
      <c r="AD1582" s="69"/>
      <c r="AE1582" s="69"/>
    </row>
    <row r="1583" spans="1:31" ht="22.5" customHeight="1">
      <c r="A1583" s="69"/>
      <c r="B1583" s="69"/>
      <c r="C1583" s="69"/>
      <c r="D1583" s="69"/>
      <c r="E1583" s="185"/>
      <c r="F1583" s="69"/>
      <c r="G1583" s="185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69"/>
      <c r="T1583" s="69"/>
      <c r="U1583" s="69"/>
      <c r="V1583" s="69"/>
      <c r="W1583" s="69"/>
      <c r="X1583" s="69"/>
      <c r="Y1583" s="69"/>
      <c r="Z1583" s="69"/>
      <c r="AA1583" s="69"/>
      <c r="AB1583" s="69"/>
      <c r="AC1583" s="69"/>
      <c r="AD1583" s="69"/>
      <c r="AE1583" s="69"/>
    </row>
    <row r="1584" spans="1:31" ht="22.5" customHeight="1">
      <c r="A1584" s="69"/>
      <c r="B1584" s="69"/>
      <c r="C1584" s="69"/>
      <c r="D1584" s="69"/>
      <c r="E1584" s="185"/>
      <c r="F1584" s="69"/>
      <c r="G1584" s="185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  <c r="T1584" s="69"/>
      <c r="U1584" s="69"/>
      <c r="V1584" s="69"/>
      <c r="W1584" s="69"/>
      <c r="X1584" s="69"/>
      <c r="Y1584" s="69"/>
      <c r="Z1584" s="69"/>
      <c r="AA1584" s="69"/>
      <c r="AB1584" s="69"/>
      <c r="AC1584" s="69"/>
      <c r="AD1584" s="69"/>
      <c r="AE1584" s="69"/>
    </row>
    <row r="1585" spans="1:31" ht="22.5" customHeight="1">
      <c r="A1585" s="69"/>
      <c r="B1585" s="69"/>
      <c r="C1585" s="69"/>
      <c r="D1585" s="69"/>
      <c r="E1585" s="185"/>
      <c r="F1585" s="69"/>
      <c r="G1585" s="185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69"/>
      <c r="T1585" s="69"/>
      <c r="U1585" s="69"/>
      <c r="V1585" s="69"/>
      <c r="W1585" s="69"/>
      <c r="X1585" s="69"/>
      <c r="Y1585" s="69"/>
      <c r="Z1585" s="69"/>
      <c r="AA1585" s="69"/>
      <c r="AB1585" s="69"/>
      <c r="AC1585" s="69"/>
      <c r="AD1585" s="69"/>
      <c r="AE1585" s="69"/>
    </row>
    <row r="1586" spans="1:31" ht="22.5" customHeight="1">
      <c r="A1586" s="69"/>
      <c r="B1586" s="69"/>
      <c r="C1586" s="69"/>
      <c r="D1586" s="69"/>
      <c r="E1586" s="185"/>
      <c r="F1586" s="69"/>
      <c r="G1586" s="185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  <c r="T1586" s="69"/>
      <c r="U1586" s="69"/>
      <c r="V1586" s="69"/>
      <c r="W1586" s="69"/>
      <c r="X1586" s="69"/>
      <c r="Y1586" s="69"/>
      <c r="Z1586" s="69"/>
      <c r="AA1586" s="69"/>
      <c r="AB1586" s="69"/>
      <c r="AC1586" s="69"/>
      <c r="AD1586" s="69"/>
      <c r="AE1586" s="69"/>
    </row>
    <row r="1587" spans="1:31" ht="22.5" customHeight="1">
      <c r="A1587" s="69"/>
      <c r="B1587" s="69"/>
      <c r="C1587" s="69"/>
      <c r="D1587" s="69"/>
      <c r="E1587" s="185"/>
      <c r="F1587" s="69"/>
      <c r="G1587" s="185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69"/>
      <c r="T1587" s="69"/>
      <c r="U1587" s="69"/>
      <c r="V1587" s="69"/>
      <c r="W1587" s="69"/>
      <c r="X1587" s="69"/>
      <c r="Y1587" s="69"/>
      <c r="Z1587" s="69"/>
      <c r="AA1587" s="69"/>
      <c r="AB1587" s="69"/>
      <c r="AC1587" s="69"/>
      <c r="AD1587" s="69"/>
      <c r="AE1587" s="69"/>
    </row>
    <row r="1588" spans="1:31" ht="22.5" customHeight="1">
      <c r="A1588" s="69"/>
      <c r="B1588" s="69"/>
      <c r="C1588" s="69"/>
      <c r="D1588" s="69"/>
      <c r="E1588" s="185"/>
      <c r="F1588" s="69"/>
      <c r="G1588" s="185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  <c r="T1588" s="69"/>
      <c r="U1588" s="69"/>
      <c r="V1588" s="69"/>
      <c r="W1588" s="69"/>
      <c r="X1588" s="69"/>
      <c r="Y1588" s="69"/>
      <c r="Z1588" s="69"/>
      <c r="AA1588" s="69"/>
      <c r="AB1588" s="69"/>
      <c r="AC1588" s="69"/>
      <c r="AD1588" s="69"/>
      <c r="AE1588" s="69"/>
    </row>
    <row r="1589" spans="1:31" ht="22.5" customHeight="1">
      <c r="A1589" s="69"/>
      <c r="B1589" s="69"/>
      <c r="C1589" s="69"/>
      <c r="D1589" s="69"/>
      <c r="E1589" s="185"/>
      <c r="F1589" s="69"/>
      <c r="G1589" s="185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69"/>
      <c r="T1589" s="69"/>
      <c r="U1589" s="69"/>
      <c r="V1589" s="69"/>
      <c r="W1589" s="69"/>
      <c r="X1589" s="69"/>
      <c r="Y1589" s="69"/>
      <c r="Z1589" s="69"/>
      <c r="AA1589" s="69"/>
      <c r="AB1589" s="69"/>
      <c r="AC1589" s="69"/>
      <c r="AD1589" s="69"/>
      <c r="AE1589" s="69"/>
    </row>
    <row r="1590" spans="1:31" ht="22.5" customHeight="1">
      <c r="A1590" s="69"/>
      <c r="B1590" s="69"/>
      <c r="C1590" s="69"/>
      <c r="D1590" s="69"/>
      <c r="E1590" s="185"/>
      <c r="F1590" s="69"/>
      <c r="G1590" s="185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  <c r="T1590" s="69"/>
      <c r="U1590" s="69"/>
      <c r="V1590" s="69"/>
      <c r="W1590" s="69"/>
      <c r="X1590" s="69"/>
      <c r="Y1590" s="69"/>
      <c r="Z1590" s="69"/>
      <c r="AA1590" s="69"/>
      <c r="AB1590" s="69"/>
      <c r="AC1590" s="69"/>
      <c r="AD1590" s="69"/>
      <c r="AE1590" s="69"/>
    </row>
    <row r="1591" spans="1:31" ht="22.5" customHeight="1">
      <c r="A1591" s="69"/>
      <c r="B1591" s="69"/>
      <c r="C1591" s="69"/>
      <c r="D1591" s="69"/>
      <c r="E1591" s="185"/>
      <c r="F1591" s="69"/>
      <c r="G1591" s="185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69"/>
      <c r="T1591" s="69"/>
      <c r="U1591" s="69"/>
      <c r="V1591" s="69"/>
      <c r="W1591" s="69"/>
      <c r="X1591" s="69"/>
      <c r="Y1591" s="69"/>
      <c r="Z1591" s="69"/>
      <c r="AA1591" s="69"/>
      <c r="AB1591" s="69"/>
      <c r="AC1591" s="69"/>
      <c r="AD1591" s="69"/>
      <c r="AE1591" s="69"/>
    </row>
    <row r="1592" spans="1:31" ht="22.5" customHeight="1">
      <c r="A1592" s="69"/>
      <c r="B1592" s="69"/>
      <c r="C1592" s="69"/>
      <c r="D1592" s="69"/>
      <c r="E1592" s="185"/>
      <c r="F1592" s="69"/>
      <c r="G1592" s="185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  <c r="T1592" s="69"/>
      <c r="U1592" s="69"/>
      <c r="V1592" s="69"/>
      <c r="W1592" s="69"/>
      <c r="X1592" s="69"/>
      <c r="Y1592" s="69"/>
      <c r="Z1592" s="69"/>
      <c r="AA1592" s="69"/>
      <c r="AB1592" s="69"/>
      <c r="AC1592" s="69"/>
      <c r="AD1592" s="69"/>
      <c r="AE1592" s="69"/>
    </row>
    <row r="1593" spans="1:31" ht="22.5" customHeight="1">
      <c r="A1593" s="69"/>
      <c r="B1593" s="69"/>
      <c r="C1593" s="69"/>
      <c r="D1593" s="69"/>
      <c r="E1593" s="185"/>
      <c r="F1593" s="69"/>
      <c r="G1593" s="185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69"/>
      <c r="T1593" s="69"/>
      <c r="U1593" s="69"/>
      <c r="V1593" s="69"/>
      <c r="W1593" s="69"/>
      <c r="X1593" s="69"/>
      <c r="Y1593" s="69"/>
      <c r="Z1593" s="69"/>
      <c r="AA1593" s="69"/>
      <c r="AB1593" s="69"/>
      <c r="AC1593" s="69"/>
      <c r="AD1593" s="69"/>
      <c r="AE1593" s="69"/>
    </row>
    <row r="1594" spans="1:31" ht="22.5" customHeight="1">
      <c r="A1594" s="69"/>
      <c r="B1594" s="69"/>
      <c r="C1594" s="69"/>
      <c r="D1594" s="69"/>
      <c r="E1594" s="185"/>
      <c r="F1594" s="69"/>
      <c r="G1594" s="185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  <c r="T1594" s="69"/>
      <c r="U1594" s="69"/>
      <c r="V1594" s="69"/>
      <c r="W1594" s="69"/>
      <c r="X1594" s="69"/>
      <c r="Y1594" s="69"/>
      <c r="Z1594" s="69"/>
      <c r="AA1594" s="69"/>
      <c r="AB1594" s="69"/>
      <c r="AC1594" s="69"/>
      <c r="AD1594" s="69"/>
      <c r="AE1594" s="69"/>
    </row>
    <row r="1595" spans="1:31" ht="22.5" customHeight="1">
      <c r="A1595" s="69"/>
      <c r="B1595" s="69"/>
      <c r="C1595" s="69"/>
      <c r="D1595" s="69"/>
      <c r="E1595" s="185"/>
      <c r="F1595" s="69"/>
      <c r="G1595" s="185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69"/>
      <c r="T1595" s="69"/>
      <c r="U1595" s="69"/>
      <c r="V1595" s="69"/>
      <c r="W1595" s="69"/>
      <c r="X1595" s="69"/>
      <c r="Y1595" s="69"/>
      <c r="Z1595" s="69"/>
      <c r="AA1595" s="69"/>
      <c r="AB1595" s="69"/>
      <c r="AC1595" s="69"/>
      <c r="AD1595" s="69"/>
      <c r="AE1595" s="69"/>
    </row>
    <row r="1596" spans="1:31" ht="22.5" customHeight="1">
      <c r="A1596" s="69"/>
      <c r="B1596" s="69"/>
      <c r="C1596" s="69"/>
      <c r="D1596" s="69"/>
      <c r="E1596" s="185"/>
      <c r="F1596" s="69"/>
      <c r="G1596" s="185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  <c r="T1596" s="69"/>
      <c r="U1596" s="69"/>
      <c r="V1596" s="69"/>
      <c r="W1596" s="69"/>
      <c r="X1596" s="69"/>
      <c r="Y1596" s="69"/>
      <c r="Z1596" s="69"/>
      <c r="AA1596" s="69"/>
      <c r="AB1596" s="69"/>
      <c r="AC1596" s="69"/>
      <c r="AD1596" s="69"/>
      <c r="AE1596" s="69"/>
    </row>
    <row r="1597" spans="1:31" ht="22.5" customHeight="1">
      <c r="A1597" s="69"/>
      <c r="B1597" s="69"/>
      <c r="C1597" s="69"/>
      <c r="D1597" s="69"/>
      <c r="E1597" s="185"/>
      <c r="F1597" s="69"/>
      <c r="G1597" s="185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69"/>
      <c r="T1597" s="69"/>
      <c r="U1597" s="69"/>
      <c r="V1597" s="69"/>
      <c r="W1597" s="69"/>
      <c r="X1597" s="69"/>
      <c r="Y1597" s="69"/>
      <c r="Z1597" s="69"/>
      <c r="AA1597" s="69"/>
      <c r="AB1597" s="69"/>
      <c r="AC1597" s="69"/>
      <c r="AD1597" s="69"/>
      <c r="AE1597" s="69"/>
    </row>
    <row r="1598" spans="1:31" ht="22.5" customHeight="1">
      <c r="A1598" s="69"/>
      <c r="B1598" s="69"/>
      <c r="C1598" s="69"/>
      <c r="D1598" s="69"/>
      <c r="E1598" s="185"/>
      <c r="F1598" s="69"/>
      <c r="G1598" s="185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69"/>
      <c r="X1598" s="69"/>
      <c r="Y1598" s="69"/>
      <c r="Z1598" s="69"/>
      <c r="AA1598" s="69"/>
      <c r="AB1598" s="69"/>
      <c r="AC1598" s="69"/>
      <c r="AD1598" s="69"/>
      <c r="AE1598" s="69"/>
    </row>
    <row r="1599" spans="1:31" ht="22.5" customHeight="1">
      <c r="A1599" s="69"/>
      <c r="B1599" s="69"/>
      <c r="C1599" s="69"/>
      <c r="D1599" s="69"/>
      <c r="E1599" s="185"/>
      <c r="F1599" s="69"/>
      <c r="G1599" s="185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69"/>
      <c r="T1599" s="69"/>
      <c r="U1599" s="69"/>
      <c r="V1599" s="69"/>
      <c r="W1599" s="69"/>
      <c r="X1599" s="69"/>
      <c r="Y1599" s="69"/>
      <c r="Z1599" s="69"/>
      <c r="AA1599" s="69"/>
      <c r="AB1599" s="69"/>
      <c r="AC1599" s="69"/>
      <c r="AD1599" s="69"/>
      <c r="AE1599" s="69"/>
    </row>
    <row r="1600" spans="1:31" ht="22.5" customHeight="1">
      <c r="A1600" s="69"/>
      <c r="B1600" s="69"/>
      <c r="C1600" s="69"/>
      <c r="D1600" s="69"/>
      <c r="E1600" s="185"/>
      <c r="F1600" s="69"/>
      <c r="G1600" s="185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U1600" s="69"/>
      <c r="V1600" s="69"/>
      <c r="W1600" s="69"/>
      <c r="X1600" s="69"/>
      <c r="Y1600" s="69"/>
      <c r="Z1600" s="69"/>
      <c r="AA1600" s="69"/>
      <c r="AB1600" s="69"/>
      <c r="AC1600" s="69"/>
      <c r="AD1600" s="69"/>
      <c r="AE1600" s="69"/>
    </row>
    <row r="1601" spans="1:31" ht="22.5" customHeight="1">
      <c r="A1601" s="69"/>
      <c r="B1601" s="69"/>
      <c r="C1601" s="69"/>
      <c r="D1601" s="69"/>
      <c r="E1601" s="185"/>
      <c r="F1601" s="69"/>
      <c r="G1601" s="185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69"/>
      <c r="T1601" s="69"/>
      <c r="U1601" s="69"/>
      <c r="V1601" s="69"/>
      <c r="W1601" s="69"/>
      <c r="X1601" s="69"/>
      <c r="Y1601" s="69"/>
      <c r="Z1601" s="69"/>
      <c r="AA1601" s="69"/>
      <c r="AB1601" s="69"/>
      <c r="AC1601" s="69"/>
      <c r="AD1601" s="69"/>
      <c r="AE1601" s="69"/>
    </row>
    <row r="1602" spans="1:31" ht="22.5" customHeight="1">
      <c r="A1602" s="69"/>
      <c r="B1602" s="69"/>
      <c r="C1602" s="69"/>
      <c r="D1602" s="69"/>
      <c r="E1602" s="185"/>
      <c r="F1602" s="69"/>
      <c r="G1602" s="185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  <c r="T1602" s="69"/>
      <c r="U1602" s="69"/>
      <c r="V1602" s="69"/>
      <c r="W1602" s="69"/>
      <c r="X1602" s="69"/>
      <c r="Y1602" s="69"/>
      <c r="Z1602" s="69"/>
      <c r="AA1602" s="69"/>
      <c r="AB1602" s="69"/>
      <c r="AC1602" s="69"/>
      <c r="AD1602" s="69"/>
      <c r="AE1602" s="69"/>
    </row>
    <row r="1603" spans="1:31" ht="22.5" customHeight="1">
      <c r="A1603" s="69"/>
      <c r="B1603" s="69"/>
      <c r="C1603" s="69"/>
      <c r="D1603" s="69"/>
      <c r="E1603" s="185"/>
      <c r="F1603" s="69"/>
      <c r="G1603" s="185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  <c r="AA1603" s="69"/>
      <c r="AB1603" s="69"/>
      <c r="AC1603" s="69"/>
      <c r="AD1603" s="69"/>
      <c r="AE1603" s="69"/>
    </row>
    <row r="1604" spans="1:31" ht="22.5" customHeight="1">
      <c r="A1604" s="69"/>
      <c r="B1604" s="69"/>
      <c r="C1604" s="69"/>
      <c r="D1604" s="69"/>
      <c r="E1604" s="185"/>
      <c r="F1604" s="69"/>
      <c r="G1604" s="185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  <c r="T1604" s="69"/>
      <c r="U1604" s="69"/>
      <c r="V1604" s="69"/>
      <c r="W1604" s="69"/>
      <c r="X1604" s="69"/>
      <c r="Y1604" s="69"/>
      <c r="Z1604" s="69"/>
      <c r="AA1604" s="69"/>
      <c r="AB1604" s="69"/>
      <c r="AC1604" s="69"/>
      <c r="AD1604" s="69"/>
      <c r="AE1604" s="69"/>
    </row>
    <row r="1605" spans="1:31" ht="22.5" customHeight="1">
      <c r="A1605" s="69"/>
      <c r="B1605" s="69"/>
      <c r="C1605" s="69"/>
      <c r="D1605" s="69"/>
      <c r="E1605" s="185"/>
      <c r="F1605" s="69"/>
      <c r="G1605" s="185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69"/>
      <c r="T1605" s="69"/>
      <c r="U1605" s="69"/>
      <c r="V1605" s="69"/>
      <c r="W1605" s="69"/>
      <c r="X1605" s="69"/>
      <c r="Y1605" s="69"/>
      <c r="Z1605" s="69"/>
      <c r="AA1605" s="69"/>
      <c r="AB1605" s="69"/>
      <c r="AC1605" s="69"/>
      <c r="AD1605" s="69"/>
      <c r="AE1605" s="69"/>
    </row>
    <row r="1606" spans="1:31" ht="22.5" customHeight="1">
      <c r="A1606" s="69"/>
      <c r="B1606" s="69"/>
      <c r="C1606" s="69"/>
      <c r="D1606" s="69"/>
      <c r="E1606" s="185"/>
      <c r="F1606" s="69"/>
      <c r="G1606" s="185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  <c r="T1606" s="69"/>
      <c r="U1606" s="69"/>
      <c r="V1606" s="69"/>
      <c r="W1606" s="69"/>
      <c r="X1606" s="69"/>
      <c r="Y1606" s="69"/>
      <c r="Z1606" s="69"/>
      <c r="AA1606" s="69"/>
      <c r="AB1606" s="69"/>
      <c r="AC1606" s="69"/>
      <c r="AD1606" s="69"/>
      <c r="AE1606" s="69"/>
    </row>
    <row r="1607" spans="1:31" ht="22.5" customHeight="1">
      <c r="A1607" s="69"/>
      <c r="B1607" s="69"/>
      <c r="C1607" s="69"/>
      <c r="D1607" s="69"/>
      <c r="E1607" s="185"/>
      <c r="F1607" s="69"/>
      <c r="G1607" s="185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69"/>
      <c r="T1607" s="69"/>
      <c r="U1607" s="69"/>
      <c r="V1607" s="69"/>
      <c r="W1607" s="69"/>
      <c r="X1607" s="69"/>
      <c r="Y1607" s="69"/>
      <c r="Z1607" s="69"/>
      <c r="AA1607" s="69"/>
      <c r="AB1607" s="69"/>
      <c r="AC1607" s="69"/>
      <c r="AD1607" s="69"/>
      <c r="AE1607" s="69"/>
    </row>
    <row r="1608" spans="1:31" ht="22.5" customHeight="1">
      <c r="A1608" s="69"/>
      <c r="B1608" s="69"/>
      <c r="C1608" s="69"/>
      <c r="D1608" s="69"/>
      <c r="E1608" s="185"/>
      <c r="F1608" s="69"/>
      <c r="G1608" s="185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  <c r="T1608" s="69"/>
      <c r="U1608" s="69"/>
      <c r="V1608" s="69"/>
      <c r="W1608" s="69"/>
      <c r="X1608" s="69"/>
      <c r="Y1608" s="69"/>
      <c r="Z1608" s="69"/>
      <c r="AA1608" s="69"/>
      <c r="AB1608" s="69"/>
      <c r="AC1608" s="69"/>
      <c r="AD1608" s="69"/>
      <c r="AE1608" s="69"/>
    </row>
    <row r="1609" spans="1:31" ht="22.5" customHeight="1">
      <c r="A1609" s="69"/>
      <c r="B1609" s="69"/>
      <c r="C1609" s="69"/>
      <c r="D1609" s="69"/>
      <c r="E1609" s="185"/>
      <c r="F1609" s="69"/>
      <c r="G1609" s="185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69"/>
      <c r="T1609" s="69"/>
      <c r="U1609" s="69"/>
      <c r="V1609" s="69"/>
      <c r="W1609" s="69"/>
      <c r="X1609" s="69"/>
      <c r="Y1609" s="69"/>
      <c r="Z1609" s="69"/>
      <c r="AA1609" s="69"/>
      <c r="AB1609" s="69"/>
      <c r="AC1609" s="69"/>
      <c r="AD1609" s="69"/>
      <c r="AE1609" s="69"/>
    </row>
    <row r="1610" spans="1:31" ht="22.5" customHeight="1">
      <c r="A1610" s="69"/>
      <c r="B1610" s="69"/>
      <c r="C1610" s="69"/>
      <c r="D1610" s="69"/>
      <c r="E1610" s="185"/>
      <c r="F1610" s="69"/>
      <c r="G1610" s="185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  <c r="T1610" s="69"/>
      <c r="U1610" s="69"/>
      <c r="V1610" s="69"/>
      <c r="W1610" s="69"/>
      <c r="X1610" s="69"/>
      <c r="Y1610" s="69"/>
      <c r="Z1610" s="69"/>
      <c r="AA1610" s="69"/>
      <c r="AB1610" s="69"/>
      <c r="AC1610" s="69"/>
      <c r="AD1610" s="69"/>
      <c r="AE1610" s="69"/>
    </row>
    <row r="1611" spans="1:31" ht="22.5" customHeight="1">
      <c r="A1611" s="69"/>
      <c r="B1611" s="69"/>
      <c r="C1611" s="69"/>
      <c r="D1611" s="69"/>
      <c r="E1611" s="185"/>
      <c r="F1611" s="69"/>
      <c r="G1611" s="185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69"/>
      <c r="T1611" s="69"/>
      <c r="U1611" s="69"/>
      <c r="V1611" s="69"/>
      <c r="W1611" s="69"/>
      <c r="X1611" s="69"/>
      <c r="Y1611" s="69"/>
      <c r="Z1611" s="69"/>
      <c r="AA1611" s="69"/>
      <c r="AB1611" s="69"/>
      <c r="AC1611" s="69"/>
      <c r="AD1611" s="69"/>
      <c r="AE1611" s="69"/>
    </row>
    <row r="1612" spans="1:31" ht="22.5" customHeight="1">
      <c r="A1612" s="69"/>
      <c r="B1612" s="69"/>
      <c r="C1612" s="69"/>
      <c r="D1612" s="69"/>
      <c r="E1612" s="185"/>
      <c r="F1612" s="69"/>
      <c r="G1612" s="185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  <c r="T1612" s="69"/>
      <c r="U1612" s="69"/>
      <c r="V1612" s="69"/>
      <c r="W1612" s="69"/>
      <c r="X1612" s="69"/>
      <c r="Y1612" s="69"/>
      <c r="Z1612" s="69"/>
      <c r="AA1612" s="69"/>
      <c r="AB1612" s="69"/>
      <c r="AC1612" s="69"/>
      <c r="AD1612" s="69"/>
      <c r="AE1612" s="69"/>
    </row>
    <row r="1613" spans="1:31" ht="22.5" customHeight="1">
      <c r="A1613" s="69"/>
      <c r="B1613" s="69"/>
      <c r="C1613" s="69"/>
      <c r="D1613" s="69"/>
      <c r="E1613" s="185"/>
      <c r="F1613" s="69"/>
      <c r="G1613" s="185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69"/>
      <c r="T1613" s="69"/>
      <c r="U1613" s="69"/>
      <c r="V1613" s="69"/>
      <c r="W1613" s="69"/>
      <c r="X1613" s="69"/>
      <c r="Y1613" s="69"/>
      <c r="Z1613" s="69"/>
      <c r="AA1613" s="69"/>
      <c r="AB1613" s="69"/>
      <c r="AC1613" s="69"/>
      <c r="AD1613" s="69"/>
      <c r="AE1613" s="69"/>
    </row>
    <row r="1614" spans="1:31" ht="22.5" customHeight="1">
      <c r="A1614" s="69"/>
      <c r="B1614" s="69"/>
      <c r="C1614" s="69"/>
      <c r="D1614" s="69"/>
      <c r="E1614" s="185"/>
      <c r="F1614" s="69"/>
      <c r="G1614" s="185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  <c r="T1614" s="69"/>
      <c r="U1614" s="69"/>
      <c r="V1614" s="69"/>
      <c r="W1614" s="69"/>
      <c r="X1614" s="69"/>
      <c r="Y1614" s="69"/>
      <c r="Z1614" s="69"/>
      <c r="AA1614" s="69"/>
      <c r="AB1614" s="69"/>
      <c r="AC1614" s="69"/>
      <c r="AD1614" s="69"/>
      <c r="AE1614" s="69"/>
    </row>
    <row r="1615" spans="1:31" ht="22.5" customHeight="1">
      <c r="A1615" s="69"/>
      <c r="B1615" s="69"/>
      <c r="C1615" s="69"/>
      <c r="D1615" s="69"/>
      <c r="E1615" s="185"/>
      <c r="F1615" s="69"/>
      <c r="G1615" s="185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  <c r="Z1615" s="69"/>
      <c r="AA1615" s="69"/>
      <c r="AB1615" s="69"/>
      <c r="AC1615" s="69"/>
      <c r="AD1615" s="69"/>
      <c r="AE1615" s="69"/>
    </row>
    <row r="1616" spans="1:31" ht="22.5" customHeight="1">
      <c r="A1616" s="69"/>
      <c r="B1616" s="69"/>
      <c r="C1616" s="69"/>
      <c r="D1616" s="69"/>
      <c r="E1616" s="185"/>
      <c r="F1616" s="69"/>
      <c r="G1616" s="185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69"/>
      <c r="X1616" s="69"/>
      <c r="Y1616" s="69"/>
      <c r="Z1616" s="69"/>
      <c r="AA1616" s="69"/>
      <c r="AB1616" s="69"/>
      <c r="AC1616" s="69"/>
      <c r="AD1616" s="69"/>
      <c r="AE1616" s="69"/>
    </row>
    <row r="1617" spans="1:31" ht="22.5" customHeight="1">
      <c r="A1617" s="69"/>
      <c r="B1617" s="69"/>
      <c r="C1617" s="69"/>
      <c r="D1617" s="69"/>
      <c r="E1617" s="185"/>
      <c r="F1617" s="69"/>
      <c r="G1617" s="185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69"/>
      <c r="T1617" s="69"/>
      <c r="U1617" s="69"/>
      <c r="V1617" s="69"/>
      <c r="W1617" s="69"/>
      <c r="X1617" s="69"/>
      <c r="Y1617" s="69"/>
      <c r="Z1617" s="69"/>
      <c r="AA1617" s="69"/>
      <c r="AB1617" s="69"/>
      <c r="AC1617" s="69"/>
      <c r="AD1617" s="69"/>
      <c r="AE1617" s="69"/>
    </row>
    <row r="1618" spans="1:31" ht="22.5" customHeight="1">
      <c r="A1618" s="69"/>
      <c r="B1618" s="69"/>
      <c r="C1618" s="69"/>
      <c r="D1618" s="69"/>
      <c r="E1618" s="185"/>
      <c r="F1618" s="69"/>
      <c r="G1618" s="185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  <c r="T1618" s="69"/>
      <c r="U1618" s="69"/>
      <c r="V1618" s="69"/>
      <c r="W1618" s="69"/>
      <c r="X1618" s="69"/>
      <c r="Y1618" s="69"/>
      <c r="Z1618" s="69"/>
      <c r="AA1618" s="69"/>
      <c r="AB1618" s="69"/>
      <c r="AC1618" s="69"/>
      <c r="AD1618" s="69"/>
      <c r="AE1618" s="69"/>
    </row>
    <row r="1619" spans="1:31" ht="22.5" customHeight="1">
      <c r="A1619" s="69"/>
      <c r="B1619" s="69"/>
      <c r="C1619" s="69"/>
      <c r="D1619" s="69"/>
      <c r="E1619" s="185"/>
      <c r="F1619" s="69"/>
      <c r="G1619" s="185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69"/>
      <c r="T1619" s="69"/>
      <c r="U1619" s="69"/>
      <c r="V1619" s="69"/>
      <c r="W1619" s="69"/>
      <c r="X1619" s="69"/>
      <c r="Y1619" s="69"/>
      <c r="Z1619" s="69"/>
      <c r="AA1619" s="69"/>
      <c r="AB1619" s="69"/>
      <c r="AC1619" s="69"/>
      <c r="AD1619" s="69"/>
      <c r="AE1619" s="69"/>
    </row>
    <row r="1620" spans="1:31" ht="22.5" customHeight="1">
      <c r="A1620" s="69"/>
      <c r="B1620" s="69"/>
      <c r="C1620" s="69"/>
      <c r="D1620" s="69"/>
      <c r="E1620" s="185"/>
      <c r="F1620" s="69"/>
      <c r="G1620" s="185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  <c r="T1620" s="69"/>
      <c r="U1620" s="69"/>
      <c r="V1620" s="69"/>
      <c r="W1620" s="69"/>
      <c r="X1620" s="69"/>
      <c r="Y1620" s="69"/>
      <c r="Z1620" s="69"/>
      <c r="AA1620" s="69"/>
      <c r="AB1620" s="69"/>
      <c r="AC1620" s="69"/>
      <c r="AD1620" s="69"/>
      <c r="AE1620" s="69"/>
    </row>
    <row r="1621" spans="1:31" ht="22.5" customHeight="1">
      <c r="A1621" s="69"/>
      <c r="B1621" s="69"/>
      <c r="C1621" s="69"/>
      <c r="D1621" s="69"/>
      <c r="E1621" s="185"/>
      <c r="F1621" s="69"/>
      <c r="G1621" s="185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69"/>
      <c r="T1621" s="69"/>
      <c r="U1621" s="69"/>
      <c r="V1621" s="69"/>
      <c r="W1621" s="69"/>
      <c r="X1621" s="69"/>
      <c r="Y1621" s="69"/>
      <c r="Z1621" s="69"/>
      <c r="AA1621" s="69"/>
      <c r="AB1621" s="69"/>
      <c r="AC1621" s="69"/>
      <c r="AD1621" s="69"/>
      <c r="AE1621" s="69"/>
    </row>
    <row r="1622" spans="1:31" ht="22.5" customHeight="1">
      <c r="A1622" s="69"/>
      <c r="B1622" s="69"/>
      <c r="C1622" s="69"/>
      <c r="D1622" s="69"/>
      <c r="E1622" s="185"/>
      <c r="F1622" s="69"/>
      <c r="G1622" s="185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  <c r="T1622" s="69"/>
      <c r="U1622" s="69"/>
      <c r="V1622" s="69"/>
      <c r="W1622" s="69"/>
      <c r="X1622" s="69"/>
      <c r="Y1622" s="69"/>
      <c r="Z1622" s="69"/>
      <c r="AA1622" s="69"/>
      <c r="AB1622" s="69"/>
      <c r="AC1622" s="69"/>
      <c r="AD1622" s="69"/>
      <c r="AE1622" s="69"/>
    </row>
    <row r="1623" spans="1:31" ht="22.5" customHeight="1">
      <c r="A1623" s="69"/>
      <c r="B1623" s="69"/>
      <c r="C1623" s="69"/>
      <c r="D1623" s="69"/>
      <c r="E1623" s="185"/>
      <c r="F1623" s="69"/>
      <c r="G1623" s="185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69"/>
      <c r="T1623" s="69"/>
      <c r="U1623" s="69"/>
      <c r="V1623" s="69"/>
      <c r="W1623" s="69"/>
      <c r="X1623" s="69"/>
      <c r="Y1623" s="69"/>
      <c r="Z1623" s="69"/>
      <c r="AA1623" s="69"/>
      <c r="AB1623" s="69"/>
      <c r="AC1623" s="69"/>
      <c r="AD1623" s="69"/>
      <c r="AE1623" s="69"/>
    </row>
    <row r="1624" spans="1:31" ht="22.5" customHeight="1">
      <c r="A1624" s="69"/>
      <c r="B1624" s="69"/>
      <c r="C1624" s="69"/>
      <c r="D1624" s="69"/>
      <c r="E1624" s="185"/>
      <c r="F1624" s="69"/>
      <c r="G1624" s="185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  <c r="T1624" s="69"/>
      <c r="U1624" s="69"/>
      <c r="V1624" s="69"/>
      <c r="W1624" s="69"/>
      <c r="X1624" s="69"/>
      <c r="Y1624" s="69"/>
      <c r="Z1624" s="69"/>
      <c r="AA1624" s="69"/>
      <c r="AB1624" s="69"/>
      <c r="AC1624" s="69"/>
      <c r="AD1624" s="69"/>
      <c r="AE1624" s="69"/>
    </row>
    <row r="1625" spans="1:31" ht="22.5" customHeight="1">
      <c r="A1625" s="69"/>
      <c r="B1625" s="69"/>
      <c r="C1625" s="69"/>
      <c r="D1625" s="69"/>
      <c r="E1625" s="185"/>
      <c r="F1625" s="69"/>
      <c r="G1625" s="185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69"/>
      <c r="T1625" s="69"/>
      <c r="U1625" s="69"/>
      <c r="V1625" s="69"/>
      <c r="W1625" s="69"/>
      <c r="X1625" s="69"/>
      <c r="Y1625" s="69"/>
      <c r="Z1625" s="69"/>
      <c r="AA1625" s="69"/>
      <c r="AB1625" s="69"/>
      <c r="AC1625" s="69"/>
      <c r="AD1625" s="69"/>
      <c r="AE1625" s="69"/>
    </row>
    <row r="1626" spans="1:31" ht="22.5" customHeight="1">
      <c r="A1626" s="69"/>
      <c r="B1626" s="69"/>
      <c r="C1626" s="69"/>
      <c r="D1626" s="69"/>
      <c r="E1626" s="185"/>
      <c r="F1626" s="69"/>
      <c r="G1626" s="185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  <c r="Z1626" s="69"/>
      <c r="AA1626" s="69"/>
      <c r="AB1626" s="69"/>
      <c r="AC1626" s="69"/>
      <c r="AD1626" s="69"/>
      <c r="AE1626" s="69"/>
    </row>
    <row r="1627" spans="1:31" ht="22.5" customHeight="1">
      <c r="A1627" s="69"/>
      <c r="B1627" s="69"/>
      <c r="C1627" s="69"/>
      <c r="D1627" s="69"/>
      <c r="E1627" s="185"/>
      <c r="F1627" s="69"/>
      <c r="G1627" s="185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69"/>
      <c r="T1627" s="69"/>
      <c r="U1627" s="69"/>
      <c r="V1627" s="69"/>
      <c r="W1627" s="69"/>
      <c r="X1627" s="69"/>
      <c r="Y1627" s="69"/>
      <c r="Z1627" s="69"/>
      <c r="AA1627" s="69"/>
      <c r="AB1627" s="69"/>
      <c r="AC1627" s="69"/>
      <c r="AD1627" s="69"/>
      <c r="AE1627" s="69"/>
    </row>
    <row r="1628" spans="1:31" ht="22.5" customHeight="1">
      <c r="A1628" s="69"/>
      <c r="B1628" s="69"/>
      <c r="C1628" s="69"/>
      <c r="D1628" s="69"/>
      <c r="E1628" s="185"/>
      <c r="F1628" s="69"/>
      <c r="G1628" s="185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  <c r="T1628" s="69"/>
      <c r="U1628" s="69"/>
      <c r="V1628" s="69"/>
      <c r="W1628" s="69"/>
      <c r="X1628" s="69"/>
      <c r="Y1628" s="69"/>
      <c r="Z1628" s="69"/>
      <c r="AA1628" s="69"/>
      <c r="AB1628" s="69"/>
      <c r="AC1628" s="69"/>
      <c r="AD1628" s="69"/>
      <c r="AE1628" s="69"/>
    </row>
    <row r="1629" spans="1:31" ht="22.5" customHeight="1">
      <c r="A1629" s="69"/>
      <c r="B1629" s="69"/>
      <c r="C1629" s="69"/>
      <c r="D1629" s="69"/>
      <c r="E1629" s="185"/>
      <c r="F1629" s="69"/>
      <c r="G1629" s="185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69"/>
      <c r="T1629" s="69"/>
      <c r="U1629" s="69"/>
      <c r="V1629" s="69"/>
      <c r="W1629" s="69"/>
      <c r="X1629" s="69"/>
      <c r="Y1629" s="69"/>
      <c r="Z1629" s="69"/>
      <c r="AA1629" s="69"/>
      <c r="AB1629" s="69"/>
      <c r="AC1629" s="69"/>
      <c r="AD1629" s="69"/>
      <c r="AE1629" s="69"/>
    </row>
    <row r="1630" spans="1:31" ht="22.5" customHeight="1">
      <c r="A1630" s="69"/>
      <c r="B1630" s="69"/>
      <c r="C1630" s="69"/>
      <c r="D1630" s="69"/>
      <c r="E1630" s="185"/>
      <c r="F1630" s="69"/>
      <c r="G1630" s="185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  <c r="T1630" s="69"/>
      <c r="U1630" s="69"/>
      <c r="V1630" s="69"/>
      <c r="W1630" s="69"/>
      <c r="X1630" s="69"/>
      <c r="Y1630" s="69"/>
      <c r="Z1630" s="69"/>
      <c r="AA1630" s="69"/>
      <c r="AB1630" s="69"/>
      <c r="AC1630" s="69"/>
      <c r="AD1630" s="69"/>
      <c r="AE1630" s="69"/>
    </row>
    <row r="1631" spans="1:31" ht="22.5" customHeight="1">
      <c r="A1631" s="69"/>
      <c r="B1631" s="69"/>
      <c r="C1631" s="69"/>
      <c r="D1631" s="69"/>
      <c r="E1631" s="185"/>
      <c r="F1631" s="69"/>
      <c r="G1631" s="185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69"/>
      <c r="T1631" s="69"/>
      <c r="U1631" s="69"/>
      <c r="V1631" s="69"/>
      <c r="W1631" s="69"/>
      <c r="X1631" s="69"/>
      <c r="Y1631" s="69"/>
      <c r="Z1631" s="69"/>
      <c r="AA1631" s="69"/>
      <c r="AB1631" s="69"/>
      <c r="AC1631" s="69"/>
      <c r="AD1631" s="69"/>
      <c r="AE1631" s="69"/>
    </row>
    <row r="1632" spans="1:31" ht="22.5" customHeight="1">
      <c r="A1632" s="69"/>
      <c r="B1632" s="69"/>
      <c r="C1632" s="69"/>
      <c r="D1632" s="69"/>
      <c r="E1632" s="185"/>
      <c r="F1632" s="69"/>
      <c r="G1632" s="185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  <c r="T1632" s="69"/>
      <c r="U1632" s="69"/>
      <c r="V1632" s="69"/>
      <c r="W1632" s="69"/>
      <c r="X1632" s="69"/>
      <c r="Y1632" s="69"/>
      <c r="Z1632" s="69"/>
      <c r="AA1632" s="69"/>
      <c r="AB1632" s="69"/>
      <c r="AC1632" s="69"/>
      <c r="AD1632" s="69"/>
      <c r="AE1632" s="69"/>
    </row>
    <row r="1633" spans="1:31" ht="22.5" customHeight="1">
      <c r="A1633" s="69"/>
      <c r="B1633" s="69"/>
      <c r="C1633" s="69"/>
      <c r="D1633" s="69"/>
      <c r="E1633" s="185"/>
      <c r="F1633" s="69"/>
      <c r="G1633" s="185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69"/>
      <c r="T1633" s="69"/>
      <c r="U1633" s="69"/>
      <c r="V1633" s="69"/>
      <c r="W1633" s="69"/>
      <c r="X1633" s="69"/>
      <c r="Y1633" s="69"/>
      <c r="Z1633" s="69"/>
      <c r="AA1633" s="69"/>
      <c r="AB1633" s="69"/>
      <c r="AC1633" s="69"/>
      <c r="AD1633" s="69"/>
      <c r="AE1633" s="69"/>
    </row>
    <row r="1634" spans="1:31" ht="22.5" customHeight="1">
      <c r="A1634" s="69"/>
      <c r="B1634" s="69"/>
      <c r="C1634" s="69"/>
      <c r="D1634" s="69"/>
      <c r="E1634" s="185"/>
      <c r="F1634" s="69"/>
      <c r="G1634" s="185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69"/>
      <c r="X1634" s="69"/>
      <c r="Y1634" s="69"/>
      <c r="Z1634" s="69"/>
      <c r="AA1634" s="69"/>
      <c r="AB1634" s="69"/>
      <c r="AC1634" s="69"/>
      <c r="AD1634" s="69"/>
      <c r="AE1634" s="69"/>
    </row>
    <row r="1635" spans="1:31" ht="22.5" customHeight="1">
      <c r="A1635" s="69"/>
      <c r="B1635" s="69"/>
      <c r="C1635" s="69"/>
      <c r="D1635" s="69"/>
      <c r="E1635" s="185"/>
      <c r="F1635" s="69"/>
      <c r="G1635" s="185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69"/>
      <c r="T1635" s="69"/>
      <c r="U1635" s="69"/>
      <c r="V1635" s="69"/>
      <c r="W1635" s="69"/>
      <c r="X1635" s="69"/>
      <c r="Y1635" s="69"/>
      <c r="Z1635" s="69"/>
      <c r="AA1635" s="69"/>
      <c r="AB1635" s="69"/>
      <c r="AC1635" s="69"/>
      <c r="AD1635" s="69"/>
      <c r="AE1635" s="69"/>
    </row>
    <row r="1636" spans="1:31" ht="22.5" customHeight="1">
      <c r="A1636" s="69"/>
      <c r="B1636" s="69"/>
      <c r="C1636" s="69"/>
      <c r="D1636" s="69"/>
      <c r="E1636" s="185"/>
      <c r="F1636" s="69"/>
      <c r="G1636" s="185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  <c r="T1636" s="69"/>
      <c r="U1636" s="69"/>
      <c r="V1636" s="69"/>
      <c r="W1636" s="69"/>
      <c r="X1636" s="69"/>
      <c r="Y1636" s="69"/>
      <c r="Z1636" s="69"/>
      <c r="AA1636" s="69"/>
      <c r="AB1636" s="69"/>
      <c r="AC1636" s="69"/>
      <c r="AD1636" s="69"/>
      <c r="AE1636" s="69"/>
    </row>
    <row r="1637" spans="1:31" ht="22.5" customHeight="1">
      <c r="A1637" s="69"/>
      <c r="B1637" s="69"/>
      <c r="C1637" s="69"/>
      <c r="D1637" s="69"/>
      <c r="E1637" s="185"/>
      <c r="F1637" s="69"/>
      <c r="G1637" s="185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69"/>
      <c r="T1637" s="69"/>
      <c r="U1637" s="69"/>
      <c r="V1637" s="69"/>
      <c r="W1637" s="69"/>
      <c r="X1637" s="69"/>
      <c r="Y1637" s="69"/>
      <c r="Z1637" s="69"/>
      <c r="AA1637" s="69"/>
      <c r="AB1637" s="69"/>
      <c r="AC1637" s="69"/>
      <c r="AD1637" s="69"/>
      <c r="AE1637" s="69"/>
    </row>
    <row r="1638" spans="1:31" ht="22.5" customHeight="1">
      <c r="A1638" s="69"/>
      <c r="B1638" s="69"/>
      <c r="C1638" s="69"/>
      <c r="D1638" s="69"/>
      <c r="E1638" s="185"/>
      <c r="F1638" s="69"/>
      <c r="G1638" s="185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  <c r="T1638" s="69"/>
      <c r="U1638" s="69"/>
      <c r="V1638" s="69"/>
      <c r="W1638" s="69"/>
      <c r="X1638" s="69"/>
      <c r="Y1638" s="69"/>
      <c r="Z1638" s="69"/>
      <c r="AA1638" s="69"/>
      <c r="AB1638" s="69"/>
      <c r="AC1638" s="69"/>
      <c r="AD1638" s="69"/>
      <c r="AE1638" s="69"/>
    </row>
    <row r="1639" spans="1:31" ht="22.5" customHeight="1">
      <c r="A1639" s="69"/>
      <c r="B1639" s="69"/>
      <c r="C1639" s="69"/>
      <c r="D1639" s="69"/>
      <c r="E1639" s="185"/>
      <c r="F1639" s="69"/>
      <c r="G1639" s="185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69"/>
      <c r="T1639" s="69"/>
      <c r="U1639" s="69"/>
      <c r="V1639" s="69"/>
      <c r="W1639" s="69"/>
      <c r="X1639" s="69"/>
      <c r="Y1639" s="69"/>
      <c r="Z1639" s="69"/>
      <c r="AA1639" s="69"/>
      <c r="AB1639" s="69"/>
      <c r="AC1639" s="69"/>
      <c r="AD1639" s="69"/>
      <c r="AE1639" s="69"/>
    </row>
    <row r="1640" spans="1:31" ht="22.5" customHeight="1">
      <c r="A1640" s="69"/>
      <c r="B1640" s="69"/>
      <c r="C1640" s="69"/>
      <c r="D1640" s="69"/>
      <c r="E1640" s="185"/>
      <c r="F1640" s="69"/>
      <c r="G1640" s="185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  <c r="T1640" s="69"/>
      <c r="U1640" s="69"/>
      <c r="V1640" s="69"/>
      <c r="W1640" s="69"/>
      <c r="X1640" s="69"/>
      <c r="Y1640" s="69"/>
      <c r="Z1640" s="69"/>
      <c r="AA1640" s="69"/>
      <c r="AB1640" s="69"/>
      <c r="AC1640" s="69"/>
      <c r="AD1640" s="69"/>
      <c r="AE1640" s="69"/>
    </row>
    <row r="1641" spans="1:31" ht="22.5" customHeight="1">
      <c r="A1641" s="69"/>
      <c r="B1641" s="69"/>
      <c r="C1641" s="69"/>
      <c r="D1641" s="69"/>
      <c r="E1641" s="185"/>
      <c r="F1641" s="69"/>
      <c r="G1641" s="185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69"/>
      <c r="T1641" s="69"/>
      <c r="U1641" s="69"/>
      <c r="V1641" s="69"/>
      <c r="W1641" s="69"/>
      <c r="X1641" s="69"/>
      <c r="Y1641" s="69"/>
      <c r="Z1641" s="69"/>
      <c r="AA1641" s="69"/>
      <c r="AB1641" s="69"/>
      <c r="AC1641" s="69"/>
      <c r="AD1641" s="69"/>
      <c r="AE1641" s="69"/>
    </row>
    <row r="1642" spans="1:31" ht="22.5" customHeight="1">
      <c r="A1642" s="69"/>
      <c r="B1642" s="69"/>
      <c r="C1642" s="69"/>
      <c r="D1642" s="69"/>
      <c r="E1642" s="185"/>
      <c r="F1642" s="69"/>
      <c r="G1642" s="185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  <c r="T1642" s="69"/>
      <c r="U1642" s="69"/>
      <c r="V1642" s="69"/>
      <c r="W1642" s="69"/>
      <c r="X1642" s="69"/>
      <c r="Y1642" s="69"/>
      <c r="Z1642" s="69"/>
      <c r="AA1642" s="69"/>
      <c r="AB1642" s="69"/>
      <c r="AC1642" s="69"/>
      <c r="AD1642" s="69"/>
      <c r="AE1642" s="69"/>
    </row>
    <row r="1643" spans="1:31" ht="22.5" customHeight="1">
      <c r="A1643" s="69"/>
      <c r="B1643" s="69"/>
      <c r="C1643" s="69"/>
      <c r="D1643" s="69"/>
      <c r="E1643" s="185"/>
      <c r="F1643" s="69"/>
      <c r="G1643" s="185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  <c r="AA1643" s="69"/>
      <c r="AB1643" s="69"/>
      <c r="AC1643" s="69"/>
      <c r="AD1643" s="69"/>
      <c r="AE1643" s="69"/>
    </row>
    <row r="1644" spans="1:31" ht="22.5" customHeight="1">
      <c r="A1644" s="69"/>
      <c r="B1644" s="69"/>
      <c r="C1644" s="69"/>
      <c r="D1644" s="69"/>
      <c r="E1644" s="185"/>
      <c r="F1644" s="69"/>
      <c r="G1644" s="185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  <c r="T1644" s="69"/>
      <c r="U1644" s="69"/>
      <c r="V1644" s="69"/>
      <c r="W1644" s="69"/>
      <c r="X1644" s="69"/>
      <c r="Y1644" s="69"/>
      <c r="Z1644" s="69"/>
      <c r="AA1644" s="69"/>
      <c r="AB1644" s="69"/>
      <c r="AC1644" s="69"/>
      <c r="AD1644" s="69"/>
      <c r="AE1644" s="69"/>
    </row>
    <row r="1645" spans="1:31" ht="22.5" customHeight="1">
      <c r="A1645" s="69"/>
      <c r="B1645" s="69"/>
      <c r="C1645" s="69"/>
      <c r="D1645" s="69"/>
      <c r="E1645" s="185"/>
      <c r="F1645" s="69"/>
      <c r="G1645" s="185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  <c r="Z1645" s="69"/>
      <c r="AA1645" s="69"/>
      <c r="AB1645" s="69"/>
      <c r="AC1645" s="69"/>
      <c r="AD1645" s="69"/>
      <c r="AE1645" s="69"/>
    </row>
    <row r="1646" spans="1:31" ht="22.5" customHeight="1">
      <c r="A1646" s="69"/>
      <c r="B1646" s="69"/>
      <c r="C1646" s="69"/>
      <c r="D1646" s="69"/>
      <c r="E1646" s="185"/>
      <c r="F1646" s="69"/>
      <c r="G1646" s="185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  <c r="T1646" s="69"/>
      <c r="U1646" s="69"/>
      <c r="V1646" s="69"/>
      <c r="W1646" s="69"/>
      <c r="X1646" s="69"/>
      <c r="Y1646" s="69"/>
      <c r="Z1646" s="69"/>
      <c r="AA1646" s="69"/>
      <c r="AB1646" s="69"/>
      <c r="AC1646" s="69"/>
      <c r="AD1646" s="69"/>
      <c r="AE1646" s="69"/>
    </row>
    <row r="1647" spans="1:31" ht="22.5" customHeight="1">
      <c r="A1647" s="69"/>
      <c r="B1647" s="69"/>
      <c r="C1647" s="69"/>
      <c r="D1647" s="69"/>
      <c r="E1647" s="185"/>
      <c r="F1647" s="69"/>
      <c r="G1647" s="185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69"/>
      <c r="T1647" s="69"/>
      <c r="U1647" s="69"/>
      <c r="V1647" s="69"/>
      <c r="W1647" s="69"/>
      <c r="X1647" s="69"/>
      <c r="Y1647" s="69"/>
      <c r="Z1647" s="69"/>
      <c r="AA1647" s="69"/>
      <c r="AB1647" s="69"/>
      <c r="AC1647" s="69"/>
      <c r="AD1647" s="69"/>
      <c r="AE1647" s="69"/>
    </row>
    <row r="1648" spans="1:31" ht="22.5" customHeight="1">
      <c r="A1648" s="69"/>
      <c r="B1648" s="69"/>
      <c r="C1648" s="69"/>
      <c r="D1648" s="69"/>
      <c r="E1648" s="185"/>
      <c r="F1648" s="69"/>
      <c r="G1648" s="185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  <c r="Z1648" s="69"/>
      <c r="AA1648" s="69"/>
      <c r="AB1648" s="69"/>
      <c r="AC1648" s="69"/>
      <c r="AD1648" s="69"/>
      <c r="AE1648" s="69"/>
    </row>
    <row r="1649" spans="1:31" ht="22.5" customHeight="1">
      <c r="A1649" s="69"/>
      <c r="B1649" s="69"/>
      <c r="C1649" s="69"/>
      <c r="D1649" s="69"/>
      <c r="E1649" s="185"/>
      <c r="F1649" s="69"/>
      <c r="G1649" s="185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69"/>
      <c r="T1649" s="69"/>
      <c r="U1649" s="69"/>
      <c r="V1649" s="69"/>
      <c r="W1649" s="69"/>
      <c r="X1649" s="69"/>
      <c r="Y1649" s="69"/>
      <c r="Z1649" s="69"/>
      <c r="AA1649" s="69"/>
      <c r="AB1649" s="69"/>
      <c r="AC1649" s="69"/>
      <c r="AD1649" s="69"/>
      <c r="AE1649" s="69"/>
    </row>
    <row r="1650" spans="1:31" ht="22.5" customHeight="1">
      <c r="A1650" s="69"/>
      <c r="B1650" s="69"/>
      <c r="C1650" s="69"/>
      <c r="D1650" s="69"/>
      <c r="E1650" s="185"/>
      <c r="F1650" s="69"/>
      <c r="G1650" s="185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  <c r="T1650" s="69"/>
      <c r="U1650" s="69"/>
      <c r="V1650" s="69"/>
      <c r="W1650" s="69"/>
      <c r="X1650" s="69"/>
      <c r="Y1650" s="69"/>
      <c r="Z1650" s="69"/>
      <c r="AA1650" s="69"/>
      <c r="AB1650" s="69"/>
      <c r="AC1650" s="69"/>
      <c r="AD1650" s="69"/>
      <c r="AE1650" s="69"/>
    </row>
    <row r="1651" spans="1:31" ht="22.5" customHeight="1">
      <c r="A1651" s="69"/>
      <c r="B1651" s="69"/>
      <c r="C1651" s="69"/>
      <c r="D1651" s="69"/>
      <c r="E1651" s="185"/>
      <c r="F1651" s="69"/>
      <c r="G1651" s="185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69"/>
      <c r="T1651" s="69"/>
      <c r="U1651" s="69"/>
      <c r="V1651" s="69"/>
      <c r="W1651" s="69"/>
      <c r="X1651" s="69"/>
      <c r="Y1651" s="69"/>
      <c r="Z1651" s="69"/>
      <c r="AA1651" s="69"/>
      <c r="AB1651" s="69"/>
      <c r="AC1651" s="69"/>
      <c r="AD1651" s="69"/>
      <c r="AE1651" s="69"/>
    </row>
    <row r="1652" spans="1:31" ht="22.5" customHeight="1">
      <c r="A1652" s="69"/>
      <c r="B1652" s="69"/>
      <c r="C1652" s="69"/>
      <c r="D1652" s="69"/>
      <c r="E1652" s="185"/>
      <c r="F1652" s="69"/>
      <c r="G1652" s="185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69"/>
      <c r="X1652" s="69"/>
      <c r="Y1652" s="69"/>
      <c r="Z1652" s="69"/>
      <c r="AA1652" s="69"/>
      <c r="AB1652" s="69"/>
      <c r="AC1652" s="69"/>
      <c r="AD1652" s="69"/>
      <c r="AE1652" s="69"/>
    </row>
    <row r="1653" spans="1:31" ht="22.5" customHeight="1">
      <c r="A1653" s="69"/>
      <c r="B1653" s="69"/>
      <c r="C1653" s="69"/>
      <c r="D1653" s="69"/>
      <c r="E1653" s="185"/>
      <c r="F1653" s="69"/>
      <c r="G1653" s="185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69"/>
      <c r="T1653" s="69"/>
      <c r="U1653" s="69"/>
      <c r="V1653" s="69"/>
      <c r="W1653" s="69"/>
      <c r="X1653" s="69"/>
      <c r="Y1653" s="69"/>
      <c r="Z1653" s="69"/>
      <c r="AA1653" s="69"/>
      <c r="AB1653" s="69"/>
      <c r="AC1653" s="69"/>
      <c r="AD1653" s="69"/>
      <c r="AE1653" s="69"/>
    </row>
    <row r="1654" spans="1:31" ht="22.5" customHeight="1">
      <c r="A1654" s="69"/>
      <c r="B1654" s="69"/>
      <c r="C1654" s="69"/>
      <c r="D1654" s="69"/>
      <c r="E1654" s="185"/>
      <c r="F1654" s="69"/>
      <c r="G1654" s="185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  <c r="T1654" s="69"/>
      <c r="U1654" s="69"/>
      <c r="V1654" s="69"/>
      <c r="W1654" s="69"/>
      <c r="X1654" s="69"/>
      <c r="Y1654" s="69"/>
      <c r="Z1654" s="69"/>
      <c r="AA1654" s="69"/>
      <c r="AB1654" s="69"/>
      <c r="AC1654" s="69"/>
      <c r="AD1654" s="69"/>
      <c r="AE1654" s="69"/>
    </row>
    <row r="1655" spans="1:31" ht="22.5" customHeight="1">
      <c r="A1655" s="69"/>
      <c r="B1655" s="69"/>
      <c r="C1655" s="69"/>
      <c r="D1655" s="69"/>
      <c r="E1655" s="185"/>
      <c r="F1655" s="69"/>
      <c r="G1655" s="185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69"/>
      <c r="T1655" s="69"/>
      <c r="U1655" s="69"/>
      <c r="V1655" s="69"/>
      <c r="W1655" s="69"/>
      <c r="X1655" s="69"/>
      <c r="Y1655" s="69"/>
      <c r="Z1655" s="69"/>
      <c r="AA1655" s="69"/>
      <c r="AB1655" s="69"/>
      <c r="AC1655" s="69"/>
      <c r="AD1655" s="69"/>
      <c r="AE1655" s="69"/>
    </row>
    <row r="1656" spans="1:31" ht="22.5" customHeight="1">
      <c r="A1656" s="69"/>
      <c r="B1656" s="69"/>
      <c r="C1656" s="69"/>
      <c r="D1656" s="69"/>
      <c r="E1656" s="185"/>
      <c r="F1656" s="69"/>
      <c r="G1656" s="185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  <c r="T1656" s="69"/>
      <c r="U1656" s="69"/>
      <c r="V1656" s="69"/>
      <c r="W1656" s="69"/>
      <c r="X1656" s="69"/>
      <c r="Y1656" s="69"/>
      <c r="Z1656" s="69"/>
      <c r="AA1656" s="69"/>
      <c r="AB1656" s="69"/>
      <c r="AC1656" s="69"/>
      <c r="AD1656" s="69"/>
      <c r="AE1656" s="69"/>
    </row>
    <row r="1657" spans="1:31" ht="22.5" customHeight="1">
      <c r="A1657" s="69"/>
      <c r="B1657" s="69"/>
      <c r="C1657" s="69"/>
      <c r="D1657" s="69"/>
      <c r="E1657" s="185"/>
      <c r="F1657" s="69"/>
      <c r="G1657" s="185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69"/>
      <c r="T1657" s="69"/>
      <c r="U1657" s="69"/>
      <c r="V1657" s="69"/>
      <c r="W1657" s="69"/>
      <c r="X1657" s="69"/>
      <c r="Y1657" s="69"/>
      <c r="Z1657" s="69"/>
      <c r="AA1657" s="69"/>
      <c r="AB1657" s="69"/>
      <c r="AC1657" s="69"/>
      <c r="AD1657" s="69"/>
      <c r="AE1657" s="69"/>
    </row>
    <row r="1658" spans="1:31" ht="22.5" customHeight="1">
      <c r="A1658" s="69"/>
      <c r="B1658" s="69"/>
      <c r="C1658" s="69"/>
      <c r="D1658" s="69"/>
      <c r="E1658" s="185"/>
      <c r="F1658" s="69"/>
      <c r="G1658" s="185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  <c r="Z1658" s="69"/>
      <c r="AA1658" s="69"/>
      <c r="AB1658" s="69"/>
      <c r="AC1658" s="69"/>
      <c r="AD1658" s="69"/>
      <c r="AE1658" s="69"/>
    </row>
    <row r="1659" spans="1:31" ht="22.5" customHeight="1">
      <c r="A1659" s="69"/>
      <c r="B1659" s="69"/>
      <c r="C1659" s="69"/>
      <c r="D1659" s="69"/>
      <c r="E1659" s="185"/>
      <c r="F1659" s="69"/>
      <c r="G1659" s="185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69"/>
      <c r="T1659" s="69"/>
      <c r="U1659" s="69"/>
      <c r="V1659" s="69"/>
      <c r="W1659" s="69"/>
      <c r="X1659" s="69"/>
      <c r="Y1659" s="69"/>
      <c r="Z1659" s="69"/>
      <c r="AA1659" s="69"/>
      <c r="AB1659" s="69"/>
      <c r="AC1659" s="69"/>
      <c r="AD1659" s="69"/>
      <c r="AE1659" s="69"/>
    </row>
    <row r="1660" spans="1:31" ht="22.5" customHeight="1">
      <c r="A1660" s="69"/>
      <c r="B1660" s="69"/>
      <c r="C1660" s="69"/>
      <c r="D1660" s="69"/>
      <c r="E1660" s="185"/>
      <c r="F1660" s="69"/>
      <c r="G1660" s="185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  <c r="T1660" s="69"/>
      <c r="U1660" s="69"/>
      <c r="V1660" s="69"/>
      <c r="W1660" s="69"/>
      <c r="X1660" s="69"/>
      <c r="Y1660" s="69"/>
      <c r="Z1660" s="69"/>
      <c r="AA1660" s="69"/>
      <c r="AB1660" s="69"/>
      <c r="AC1660" s="69"/>
      <c r="AD1660" s="69"/>
      <c r="AE1660" s="69"/>
    </row>
    <row r="1661" spans="1:31" ht="22.5" customHeight="1">
      <c r="A1661" s="69"/>
      <c r="B1661" s="69"/>
      <c r="C1661" s="69"/>
      <c r="D1661" s="69"/>
      <c r="E1661" s="185"/>
      <c r="F1661" s="69"/>
      <c r="G1661" s="185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69"/>
      <c r="T1661" s="69"/>
      <c r="U1661" s="69"/>
      <c r="V1661" s="69"/>
      <c r="W1661" s="69"/>
      <c r="X1661" s="69"/>
      <c r="Y1661" s="69"/>
      <c r="Z1661" s="69"/>
      <c r="AA1661" s="69"/>
      <c r="AB1661" s="69"/>
      <c r="AC1661" s="69"/>
      <c r="AD1661" s="69"/>
      <c r="AE1661" s="69"/>
    </row>
    <row r="1662" spans="1:31" ht="22.5" customHeight="1">
      <c r="A1662" s="69"/>
      <c r="B1662" s="69"/>
      <c r="C1662" s="69"/>
      <c r="D1662" s="69"/>
      <c r="E1662" s="185"/>
      <c r="F1662" s="69"/>
      <c r="G1662" s="185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  <c r="T1662" s="69"/>
      <c r="U1662" s="69"/>
      <c r="V1662" s="69"/>
      <c r="W1662" s="69"/>
      <c r="X1662" s="69"/>
      <c r="Y1662" s="69"/>
      <c r="Z1662" s="69"/>
      <c r="AA1662" s="69"/>
      <c r="AB1662" s="69"/>
      <c r="AC1662" s="69"/>
      <c r="AD1662" s="69"/>
      <c r="AE1662" s="69"/>
    </row>
    <row r="1663" spans="1:31" ht="22.5" customHeight="1">
      <c r="A1663" s="69"/>
      <c r="B1663" s="69"/>
      <c r="C1663" s="69"/>
      <c r="D1663" s="69"/>
      <c r="E1663" s="185"/>
      <c r="F1663" s="69"/>
      <c r="G1663" s="185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  <c r="Z1663" s="69"/>
      <c r="AA1663" s="69"/>
      <c r="AB1663" s="69"/>
      <c r="AC1663" s="69"/>
      <c r="AD1663" s="69"/>
      <c r="AE1663" s="69"/>
    </row>
    <row r="1664" spans="1:31" ht="22.5" customHeight="1">
      <c r="A1664" s="69"/>
      <c r="B1664" s="69"/>
      <c r="C1664" s="69"/>
      <c r="D1664" s="69"/>
      <c r="E1664" s="185"/>
      <c r="F1664" s="69"/>
      <c r="G1664" s="185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  <c r="T1664" s="69"/>
      <c r="U1664" s="69"/>
      <c r="V1664" s="69"/>
      <c r="W1664" s="69"/>
      <c r="X1664" s="69"/>
      <c r="Y1664" s="69"/>
      <c r="Z1664" s="69"/>
      <c r="AA1664" s="69"/>
      <c r="AB1664" s="69"/>
      <c r="AC1664" s="69"/>
      <c r="AD1664" s="69"/>
      <c r="AE1664" s="69"/>
    </row>
    <row r="1665" spans="1:31" ht="22.5" customHeight="1">
      <c r="A1665" s="69"/>
      <c r="B1665" s="69"/>
      <c r="C1665" s="69"/>
      <c r="D1665" s="69"/>
      <c r="E1665" s="185"/>
      <c r="F1665" s="69"/>
      <c r="G1665" s="185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  <c r="T1665" s="69"/>
      <c r="U1665" s="69"/>
      <c r="V1665" s="69"/>
      <c r="W1665" s="69"/>
      <c r="X1665" s="69"/>
      <c r="Y1665" s="69"/>
      <c r="Z1665" s="69"/>
      <c r="AA1665" s="69"/>
      <c r="AB1665" s="69"/>
      <c r="AC1665" s="69"/>
      <c r="AD1665" s="69"/>
      <c r="AE1665" s="69"/>
    </row>
    <row r="1666" spans="1:31" ht="22.5" customHeight="1">
      <c r="A1666" s="69"/>
      <c r="B1666" s="69"/>
      <c r="C1666" s="69"/>
      <c r="D1666" s="69"/>
      <c r="E1666" s="185"/>
      <c r="F1666" s="69"/>
      <c r="G1666" s="185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  <c r="T1666" s="69"/>
      <c r="U1666" s="69"/>
      <c r="V1666" s="69"/>
      <c r="W1666" s="69"/>
      <c r="X1666" s="69"/>
      <c r="Y1666" s="69"/>
      <c r="Z1666" s="69"/>
      <c r="AA1666" s="69"/>
      <c r="AB1666" s="69"/>
      <c r="AC1666" s="69"/>
      <c r="AD1666" s="69"/>
      <c r="AE1666" s="69"/>
    </row>
    <row r="1667" spans="1:31" ht="22.5" customHeight="1">
      <c r="A1667" s="69"/>
      <c r="B1667" s="69"/>
      <c r="C1667" s="69"/>
      <c r="D1667" s="69"/>
      <c r="E1667" s="185"/>
      <c r="F1667" s="69"/>
      <c r="G1667" s="185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69"/>
      <c r="T1667" s="69"/>
      <c r="U1667" s="69"/>
      <c r="V1667" s="69"/>
      <c r="W1667" s="69"/>
      <c r="X1667" s="69"/>
      <c r="Y1667" s="69"/>
      <c r="Z1667" s="69"/>
      <c r="AA1667" s="69"/>
      <c r="AB1667" s="69"/>
      <c r="AC1667" s="69"/>
      <c r="AD1667" s="69"/>
      <c r="AE1667" s="69"/>
    </row>
    <row r="1668" spans="1:31" ht="22.5" customHeight="1">
      <c r="A1668" s="69"/>
      <c r="B1668" s="69"/>
      <c r="C1668" s="69"/>
      <c r="D1668" s="69"/>
      <c r="E1668" s="185"/>
      <c r="F1668" s="69"/>
      <c r="G1668" s="185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  <c r="T1668" s="69"/>
      <c r="U1668" s="69"/>
      <c r="V1668" s="69"/>
      <c r="W1668" s="69"/>
      <c r="X1668" s="69"/>
      <c r="Y1668" s="69"/>
      <c r="Z1668" s="69"/>
      <c r="AA1668" s="69"/>
      <c r="AB1668" s="69"/>
      <c r="AC1668" s="69"/>
      <c r="AD1668" s="69"/>
      <c r="AE1668" s="69"/>
    </row>
    <row r="1669" spans="1:31" ht="22.5" customHeight="1">
      <c r="A1669" s="69"/>
      <c r="B1669" s="69"/>
      <c r="C1669" s="69"/>
      <c r="D1669" s="69"/>
      <c r="E1669" s="185"/>
      <c r="F1669" s="69"/>
      <c r="G1669" s="185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69"/>
      <c r="T1669" s="69"/>
      <c r="U1669" s="69"/>
      <c r="V1669" s="69"/>
      <c r="W1669" s="69"/>
      <c r="X1669" s="69"/>
      <c r="Y1669" s="69"/>
      <c r="Z1669" s="69"/>
      <c r="AA1669" s="69"/>
      <c r="AB1669" s="69"/>
      <c r="AC1669" s="69"/>
      <c r="AD1669" s="69"/>
      <c r="AE1669" s="69"/>
    </row>
    <row r="1670" spans="1:31" ht="22.5" customHeight="1">
      <c r="A1670" s="69"/>
      <c r="B1670" s="69"/>
      <c r="C1670" s="69"/>
      <c r="D1670" s="69"/>
      <c r="E1670" s="185"/>
      <c r="F1670" s="69"/>
      <c r="G1670" s="185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  <c r="Z1670" s="69"/>
      <c r="AA1670" s="69"/>
      <c r="AB1670" s="69"/>
      <c r="AC1670" s="69"/>
      <c r="AD1670" s="69"/>
      <c r="AE1670" s="69"/>
    </row>
    <row r="1671" spans="1:31" ht="22.5" customHeight="1">
      <c r="A1671" s="69"/>
      <c r="B1671" s="69"/>
      <c r="C1671" s="69"/>
      <c r="D1671" s="69"/>
      <c r="E1671" s="185"/>
      <c r="F1671" s="69"/>
      <c r="G1671" s="185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69"/>
      <c r="T1671" s="69"/>
      <c r="U1671" s="69"/>
      <c r="V1671" s="69"/>
      <c r="W1671" s="69"/>
      <c r="X1671" s="69"/>
      <c r="Y1671" s="69"/>
      <c r="Z1671" s="69"/>
      <c r="AA1671" s="69"/>
      <c r="AB1671" s="69"/>
      <c r="AC1671" s="69"/>
      <c r="AD1671" s="69"/>
      <c r="AE1671" s="69"/>
    </row>
    <row r="1672" spans="1:31" ht="22.5" customHeight="1">
      <c r="A1672" s="69"/>
      <c r="B1672" s="69"/>
      <c r="C1672" s="69"/>
      <c r="D1672" s="69"/>
      <c r="E1672" s="185"/>
      <c r="F1672" s="69"/>
      <c r="G1672" s="185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  <c r="T1672" s="69"/>
      <c r="U1672" s="69"/>
      <c r="V1672" s="69"/>
      <c r="W1672" s="69"/>
      <c r="X1672" s="69"/>
      <c r="Y1672" s="69"/>
      <c r="Z1672" s="69"/>
      <c r="AA1672" s="69"/>
      <c r="AB1672" s="69"/>
      <c r="AC1672" s="69"/>
      <c r="AD1672" s="69"/>
      <c r="AE1672" s="69"/>
    </row>
    <row r="1673" spans="1:31" ht="22.5" customHeight="1">
      <c r="A1673" s="69"/>
      <c r="B1673" s="69"/>
      <c r="C1673" s="69"/>
      <c r="D1673" s="69"/>
      <c r="E1673" s="185"/>
      <c r="F1673" s="69"/>
      <c r="G1673" s="185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69"/>
      <c r="T1673" s="69"/>
      <c r="U1673" s="69"/>
      <c r="V1673" s="69"/>
      <c r="W1673" s="69"/>
      <c r="X1673" s="69"/>
      <c r="Y1673" s="69"/>
      <c r="Z1673" s="69"/>
      <c r="AA1673" s="69"/>
      <c r="AB1673" s="69"/>
      <c r="AC1673" s="69"/>
      <c r="AD1673" s="69"/>
      <c r="AE1673" s="69"/>
    </row>
    <row r="1674" spans="1:31" ht="22.5" customHeight="1">
      <c r="A1674" s="69"/>
      <c r="B1674" s="69"/>
      <c r="C1674" s="69"/>
      <c r="D1674" s="69"/>
      <c r="E1674" s="185"/>
      <c r="F1674" s="69"/>
      <c r="G1674" s="185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  <c r="T1674" s="69"/>
      <c r="U1674" s="69"/>
      <c r="V1674" s="69"/>
      <c r="W1674" s="69"/>
      <c r="X1674" s="69"/>
      <c r="Y1674" s="69"/>
      <c r="Z1674" s="69"/>
      <c r="AA1674" s="69"/>
      <c r="AB1674" s="69"/>
      <c r="AC1674" s="69"/>
      <c r="AD1674" s="69"/>
      <c r="AE1674" s="69"/>
    </row>
    <row r="1675" spans="1:31" ht="22.5" customHeight="1">
      <c r="A1675" s="69"/>
      <c r="B1675" s="69"/>
      <c r="C1675" s="69"/>
      <c r="D1675" s="69"/>
      <c r="E1675" s="185"/>
      <c r="F1675" s="69"/>
      <c r="G1675" s="185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  <c r="Z1675" s="69"/>
      <c r="AA1675" s="69"/>
      <c r="AB1675" s="69"/>
      <c r="AC1675" s="69"/>
      <c r="AD1675" s="69"/>
      <c r="AE1675" s="69"/>
    </row>
    <row r="1676" spans="1:31" ht="22.5" customHeight="1">
      <c r="A1676" s="69"/>
      <c r="B1676" s="69"/>
      <c r="C1676" s="69"/>
      <c r="D1676" s="69"/>
      <c r="E1676" s="185"/>
      <c r="F1676" s="69"/>
      <c r="G1676" s="185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  <c r="T1676" s="69"/>
      <c r="U1676" s="69"/>
      <c r="V1676" s="69"/>
      <c r="W1676" s="69"/>
      <c r="X1676" s="69"/>
      <c r="Y1676" s="69"/>
      <c r="Z1676" s="69"/>
      <c r="AA1676" s="69"/>
      <c r="AB1676" s="69"/>
      <c r="AC1676" s="69"/>
      <c r="AD1676" s="69"/>
      <c r="AE1676" s="69"/>
    </row>
    <row r="1677" spans="1:31" ht="22.5" customHeight="1">
      <c r="A1677" s="69"/>
      <c r="B1677" s="69"/>
      <c r="C1677" s="69"/>
      <c r="D1677" s="69"/>
      <c r="E1677" s="185"/>
      <c r="F1677" s="69"/>
      <c r="G1677" s="185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69"/>
      <c r="T1677" s="69"/>
      <c r="U1677" s="69"/>
      <c r="V1677" s="69"/>
      <c r="W1677" s="69"/>
      <c r="X1677" s="69"/>
      <c r="Y1677" s="69"/>
      <c r="Z1677" s="69"/>
      <c r="AA1677" s="69"/>
      <c r="AB1677" s="69"/>
      <c r="AC1677" s="69"/>
      <c r="AD1677" s="69"/>
      <c r="AE1677" s="69"/>
    </row>
    <row r="1678" spans="1:31" ht="22.5" customHeight="1">
      <c r="A1678" s="69"/>
      <c r="B1678" s="69"/>
      <c r="C1678" s="69"/>
      <c r="D1678" s="69"/>
      <c r="E1678" s="185"/>
      <c r="F1678" s="69"/>
      <c r="G1678" s="185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  <c r="T1678" s="69"/>
      <c r="U1678" s="69"/>
      <c r="V1678" s="69"/>
      <c r="W1678" s="69"/>
      <c r="X1678" s="69"/>
      <c r="Y1678" s="69"/>
      <c r="Z1678" s="69"/>
      <c r="AA1678" s="69"/>
      <c r="AB1678" s="69"/>
      <c r="AC1678" s="69"/>
      <c r="AD1678" s="69"/>
      <c r="AE1678" s="69"/>
    </row>
    <row r="1679" spans="1:31" ht="22.5" customHeight="1">
      <c r="A1679" s="69"/>
      <c r="B1679" s="69"/>
      <c r="C1679" s="69"/>
      <c r="D1679" s="69"/>
      <c r="E1679" s="185"/>
      <c r="F1679" s="69"/>
      <c r="G1679" s="185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69"/>
      <c r="T1679" s="69"/>
      <c r="U1679" s="69"/>
      <c r="V1679" s="69"/>
      <c r="W1679" s="69"/>
      <c r="X1679" s="69"/>
      <c r="Y1679" s="69"/>
      <c r="Z1679" s="69"/>
      <c r="AA1679" s="69"/>
      <c r="AB1679" s="69"/>
      <c r="AC1679" s="69"/>
      <c r="AD1679" s="69"/>
      <c r="AE1679" s="69"/>
    </row>
    <row r="1680" spans="1:31" ht="22.5" customHeight="1">
      <c r="A1680" s="69"/>
      <c r="B1680" s="69"/>
      <c r="C1680" s="69"/>
      <c r="D1680" s="69"/>
      <c r="E1680" s="185"/>
      <c r="F1680" s="69"/>
      <c r="G1680" s="185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  <c r="T1680" s="69"/>
      <c r="U1680" s="69"/>
      <c r="V1680" s="69"/>
      <c r="W1680" s="69"/>
      <c r="X1680" s="69"/>
      <c r="Y1680" s="69"/>
      <c r="Z1680" s="69"/>
      <c r="AA1680" s="69"/>
      <c r="AB1680" s="69"/>
      <c r="AC1680" s="69"/>
      <c r="AD1680" s="69"/>
      <c r="AE1680" s="69"/>
    </row>
    <row r="1681" spans="1:31" ht="22.5" customHeight="1">
      <c r="A1681" s="69"/>
      <c r="B1681" s="69"/>
      <c r="C1681" s="69"/>
      <c r="D1681" s="69"/>
      <c r="E1681" s="185"/>
      <c r="F1681" s="69"/>
      <c r="G1681" s="185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  <c r="T1681" s="69"/>
      <c r="U1681" s="69"/>
      <c r="V1681" s="69"/>
      <c r="W1681" s="69"/>
      <c r="X1681" s="69"/>
      <c r="Y1681" s="69"/>
      <c r="Z1681" s="69"/>
      <c r="AA1681" s="69"/>
      <c r="AB1681" s="69"/>
      <c r="AC1681" s="69"/>
      <c r="AD1681" s="69"/>
      <c r="AE1681" s="69"/>
    </row>
    <row r="1682" spans="1:31" ht="22.5" customHeight="1">
      <c r="A1682" s="69"/>
      <c r="B1682" s="69"/>
      <c r="C1682" s="69"/>
      <c r="D1682" s="69"/>
      <c r="E1682" s="185"/>
      <c r="F1682" s="69"/>
      <c r="G1682" s="185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  <c r="T1682" s="69"/>
      <c r="U1682" s="69"/>
      <c r="V1682" s="69"/>
      <c r="W1682" s="69"/>
      <c r="X1682" s="69"/>
      <c r="Y1682" s="69"/>
      <c r="Z1682" s="69"/>
      <c r="AA1682" s="69"/>
      <c r="AB1682" s="69"/>
      <c r="AC1682" s="69"/>
      <c r="AD1682" s="69"/>
      <c r="AE1682" s="69"/>
    </row>
    <row r="1683" spans="1:31" ht="22.5" customHeight="1">
      <c r="A1683" s="69"/>
      <c r="B1683" s="69"/>
      <c r="C1683" s="69"/>
      <c r="D1683" s="69"/>
      <c r="E1683" s="185"/>
      <c r="F1683" s="69"/>
      <c r="G1683" s="185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  <c r="AA1683" s="69"/>
      <c r="AB1683" s="69"/>
      <c r="AC1683" s="69"/>
      <c r="AD1683" s="69"/>
      <c r="AE1683" s="69"/>
    </row>
    <row r="1684" spans="1:31" ht="22.5" customHeight="1">
      <c r="A1684" s="69"/>
      <c r="B1684" s="69"/>
      <c r="C1684" s="69"/>
      <c r="D1684" s="69"/>
      <c r="E1684" s="185"/>
      <c r="F1684" s="69"/>
      <c r="G1684" s="185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  <c r="T1684" s="69"/>
      <c r="U1684" s="69"/>
      <c r="V1684" s="69"/>
      <c r="W1684" s="69"/>
      <c r="X1684" s="69"/>
      <c r="Y1684" s="69"/>
      <c r="Z1684" s="69"/>
      <c r="AA1684" s="69"/>
      <c r="AB1684" s="69"/>
      <c r="AC1684" s="69"/>
      <c r="AD1684" s="69"/>
      <c r="AE1684" s="69"/>
    </row>
    <row r="1685" spans="1:31" ht="22.5" customHeight="1">
      <c r="A1685" s="69"/>
      <c r="B1685" s="69"/>
      <c r="C1685" s="69"/>
      <c r="D1685" s="69"/>
      <c r="E1685" s="185"/>
      <c r="F1685" s="69"/>
      <c r="G1685" s="185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69"/>
      <c r="T1685" s="69"/>
      <c r="U1685" s="69"/>
      <c r="V1685" s="69"/>
      <c r="W1685" s="69"/>
      <c r="X1685" s="69"/>
      <c r="Y1685" s="69"/>
      <c r="Z1685" s="69"/>
      <c r="AA1685" s="69"/>
      <c r="AB1685" s="69"/>
      <c r="AC1685" s="69"/>
      <c r="AD1685" s="69"/>
      <c r="AE1685" s="69"/>
    </row>
    <row r="1686" spans="1:31" ht="22.5" customHeight="1">
      <c r="A1686" s="69"/>
      <c r="B1686" s="69"/>
      <c r="C1686" s="69"/>
      <c r="D1686" s="69"/>
      <c r="E1686" s="185"/>
      <c r="F1686" s="69"/>
      <c r="G1686" s="185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  <c r="T1686" s="69"/>
      <c r="U1686" s="69"/>
      <c r="V1686" s="69"/>
      <c r="W1686" s="69"/>
      <c r="X1686" s="69"/>
      <c r="Y1686" s="69"/>
      <c r="Z1686" s="69"/>
      <c r="AA1686" s="69"/>
      <c r="AB1686" s="69"/>
      <c r="AC1686" s="69"/>
      <c r="AD1686" s="69"/>
      <c r="AE1686" s="69"/>
    </row>
    <row r="1687" spans="1:31" ht="22.5" customHeight="1">
      <c r="A1687" s="69"/>
      <c r="B1687" s="69"/>
      <c r="C1687" s="69"/>
      <c r="D1687" s="69"/>
      <c r="E1687" s="185"/>
      <c r="F1687" s="69"/>
      <c r="G1687" s="185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69"/>
      <c r="T1687" s="69"/>
      <c r="U1687" s="69"/>
      <c r="V1687" s="69"/>
      <c r="W1687" s="69"/>
      <c r="X1687" s="69"/>
      <c r="Y1687" s="69"/>
      <c r="Z1687" s="69"/>
      <c r="AA1687" s="69"/>
      <c r="AB1687" s="69"/>
      <c r="AC1687" s="69"/>
      <c r="AD1687" s="69"/>
      <c r="AE1687" s="69"/>
    </row>
    <row r="1688" spans="1:31" ht="22.5" customHeight="1">
      <c r="A1688" s="69"/>
      <c r="B1688" s="69"/>
      <c r="C1688" s="69"/>
      <c r="D1688" s="69"/>
      <c r="E1688" s="185"/>
      <c r="F1688" s="69"/>
      <c r="G1688" s="185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69"/>
      <c r="X1688" s="69"/>
      <c r="Y1688" s="69"/>
      <c r="Z1688" s="69"/>
      <c r="AA1688" s="69"/>
      <c r="AB1688" s="69"/>
      <c r="AC1688" s="69"/>
      <c r="AD1688" s="69"/>
      <c r="AE1688" s="69"/>
    </row>
    <row r="1689" spans="1:31" ht="22.5" customHeight="1">
      <c r="A1689" s="69"/>
      <c r="B1689" s="69"/>
      <c r="C1689" s="69"/>
      <c r="D1689" s="69"/>
      <c r="E1689" s="185"/>
      <c r="F1689" s="69"/>
      <c r="G1689" s="185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69"/>
      <c r="T1689" s="69"/>
      <c r="U1689" s="69"/>
      <c r="V1689" s="69"/>
      <c r="W1689" s="69"/>
      <c r="X1689" s="69"/>
      <c r="Y1689" s="69"/>
      <c r="Z1689" s="69"/>
      <c r="AA1689" s="69"/>
      <c r="AB1689" s="69"/>
      <c r="AC1689" s="69"/>
      <c r="AD1689" s="69"/>
      <c r="AE1689" s="69"/>
    </row>
    <row r="1690" spans="1:31" ht="22.5" customHeight="1">
      <c r="A1690" s="69"/>
      <c r="B1690" s="69"/>
      <c r="C1690" s="69"/>
      <c r="D1690" s="69"/>
      <c r="E1690" s="185"/>
      <c r="F1690" s="69"/>
      <c r="G1690" s="185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  <c r="T1690" s="69"/>
      <c r="U1690" s="69"/>
      <c r="V1690" s="69"/>
      <c r="W1690" s="69"/>
      <c r="X1690" s="69"/>
      <c r="Y1690" s="69"/>
      <c r="Z1690" s="69"/>
      <c r="AA1690" s="69"/>
      <c r="AB1690" s="69"/>
      <c r="AC1690" s="69"/>
      <c r="AD1690" s="69"/>
      <c r="AE1690" s="69"/>
    </row>
    <row r="1691" spans="1:31" ht="22.5" customHeight="1">
      <c r="A1691" s="69"/>
      <c r="B1691" s="69"/>
      <c r="C1691" s="69"/>
      <c r="D1691" s="69"/>
      <c r="E1691" s="185"/>
      <c r="F1691" s="69"/>
      <c r="G1691" s="185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69"/>
      <c r="T1691" s="69"/>
      <c r="U1691" s="69"/>
      <c r="V1691" s="69"/>
      <c r="W1691" s="69"/>
      <c r="X1691" s="69"/>
      <c r="Y1691" s="69"/>
      <c r="Z1691" s="69"/>
      <c r="AA1691" s="69"/>
      <c r="AB1691" s="69"/>
      <c r="AC1691" s="69"/>
      <c r="AD1691" s="69"/>
      <c r="AE1691" s="69"/>
    </row>
    <row r="1692" spans="1:31" ht="22.5" customHeight="1">
      <c r="A1692" s="69"/>
      <c r="B1692" s="69"/>
      <c r="C1692" s="69"/>
      <c r="D1692" s="69"/>
      <c r="E1692" s="185"/>
      <c r="F1692" s="69"/>
      <c r="G1692" s="185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  <c r="T1692" s="69"/>
      <c r="U1692" s="69"/>
      <c r="V1692" s="69"/>
      <c r="W1692" s="69"/>
      <c r="X1692" s="69"/>
      <c r="Y1692" s="69"/>
      <c r="Z1692" s="69"/>
      <c r="AA1692" s="69"/>
      <c r="AB1692" s="69"/>
      <c r="AC1692" s="69"/>
      <c r="AD1692" s="69"/>
      <c r="AE1692" s="69"/>
    </row>
    <row r="1693" spans="1:31" ht="22.5" customHeight="1">
      <c r="A1693" s="69"/>
      <c r="B1693" s="69"/>
      <c r="C1693" s="69"/>
      <c r="D1693" s="69"/>
      <c r="E1693" s="185"/>
      <c r="F1693" s="69"/>
      <c r="G1693" s="185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69"/>
      <c r="T1693" s="69"/>
      <c r="U1693" s="69"/>
      <c r="V1693" s="69"/>
      <c r="W1693" s="69"/>
      <c r="X1693" s="69"/>
      <c r="Y1693" s="69"/>
      <c r="Z1693" s="69"/>
      <c r="AA1693" s="69"/>
      <c r="AB1693" s="69"/>
      <c r="AC1693" s="69"/>
      <c r="AD1693" s="69"/>
      <c r="AE1693" s="69"/>
    </row>
    <row r="1694" spans="1:31" ht="22.5" customHeight="1">
      <c r="A1694" s="69"/>
      <c r="B1694" s="69"/>
      <c r="C1694" s="69"/>
      <c r="D1694" s="69"/>
      <c r="E1694" s="185"/>
      <c r="F1694" s="69"/>
      <c r="G1694" s="185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  <c r="T1694" s="69"/>
      <c r="U1694" s="69"/>
      <c r="V1694" s="69"/>
      <c r="W1694" s="69"/>
      <c r="X1694" s="69"/>
      <c r="Y1694" s="69"/>
      <c r="Z1694" s="69"/>
      <c r="AA1694" s="69"/>
      <c r="AB1694" s="69"/>
      <c r="AC1694" s="69"/>
      <c r="AD1694" s="69"/>
      <c r="AE1694" s="69"/>
    </row>
    <row r="1695" spans="1:31" ht="22.5" customHeight="1">
      <c r="A1695" s="69"/>
      <c r="B1695" s="69"/>
      <c r="C1695" s="69"/>
      <c r="D1695" s="69"/>
      <c r="E1695" s="185"/>
      <c r="F1695" s="69"/>
      <c r="G1695" s="185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69"/>
      <c r="T1695" s="69"/>
      <c r="U1695" s="69"/>
      <c r="V1695" s="69"/>
      <c r="W1695" s="69"/>
      <c r="X1695" s="69"/>
      <c r="Y1695" s="69"/>
      <c r="Z1695" s="69"/>
      <c r="AA1695" s="69"/>
      <c r="AB1695" s="69"/>
      <c r="AC1695" s="69"/>
      <c r="AD1695" s="69"/>
      <c r="AE1695" s="69"/>
    </row>
    <row r="1696" spans="1:31" ht="22.5" customHeight="1">
      <c r="A1696" s="69"/>
      <c r="B1696" s="69"/>
      <c r="C1696" s="69"/>
      <c r="D1696" s="69"/>
      <c r="E1696" s="185"/>
      <c r="F1696" s="69"/>
      <c r="G1696" s="185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  <c r="T1696" s="69"/>
      <c r="U1696" s="69"/>
      <c r="V1696" s="69"/>
      <c r="W1696" s="69"/>
      <c r="X1696" s="69"/>
      <c r="Y1696" s="69"/>
      <c r="Z1696" s="69"/>
      <c r="AA1696" s="69"/>
      <c r="AB1696" s="69"/>
      <c r="AC1696" s="69"/>
      <c r="AD1696" s="69"/>
      <c r="AE1696" s="69"/>
    </row>
    <row r="1697" spans="1:31" ht="22.5" customHeight="1">
      <c r="A1697" s="69"/>
      <c r="B1697" s="69"/>
      <c r="C1697" s="69"/>
      <c r="D1697" s="69"/>
      <c r="E1697" s="185"/>
      <c r="F1697" s="69"/>
      <c r="G1697" s="185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69"/>
      <c r="T1697" s="69"/>
      <c r="U1697" s="69"/>
      <c r="V1697" s="69"/>
      <c r="W1697" s="69"/>
      <c r="X1697" s="69"/>
      <c r="Y1697" s="69"/>
      <c r="Z1697" s="69"/>
      <c r="AA1697" s="69"/>
      <c r="AB1697" s="69"/>
      <c r="AC1697" s="69"/>
      <c r="AD1697" s="69"/>
      <c r="AE1697" s="69"/>
    </row>
    <row r="1698" spans="1:31" ht="22.5" customHeight="1">
      <c r="A1698" s="69"/>
      <c r="B1698" s="69"/>
      <c r="C1698" s="69"/>
      <c r="D1698" s="69"/>
      <c r="E1698" s="185"/>
      <c r="F1698" s="69"/>
      <c r="G1698" s="185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  <c r="T1698" s="69"/>
      <c r="U1698" s="69"/>
      <c r="V1698" s="69"/>
      <c r="W1698" s="69"/>
      <c r="X1698" s="69"/>
      <c r="Y1698" s="69"/>
      <c r="Z1698" s="69"/>
      <c r="AA1698" s="69"/>
      <c r="AB1698" s="69"/>
      <c r="AC1698" s="69"/>
      <c r="AD1698" s="69"/>
      <c r="AE1698" s="69"/>
    </row>
    <row r="1699" spans="1:31" ht="22.5" customHeight="1">
      <c r="A1699" s="69"/>
      <c r="B1699" s="69"/>
      <c r="C1699" s="69"/>
      <c r="D1699" s="69"/>
      <c r="E1699" s="185"/>
      <c r="F1699" s="69"/>
      <c r="G1699" s="185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69"/>
      <c r="T1699" s="69"/>
      <c r="U1699" s="69"/>
      <c r="V1699" s="69"/>
      <c r="W1699" s="69"/>
      <c r="X1699" s="69"/>
      <c r="Y1699" s="69"/>
      <c r="Z1699" s="69"/>
      <c r="AA1699" s="69"/>
      <c r="AB1699" s="69"/>
      <c r="AC1699" s="69"/>
      <c r="AD1699" s="69"/>
      <c r="AE1699" s="69"/>
    </row>
    <row r="1700" spans="1:31" ht="22.5" customHeight="1">
      <c r="A1700" s="69"/>
      <c r="B1700" s="69"/>
      <c r="C1700" s="69"/>
      <c r="D1700" s="69"/>
      <c r="E1700" s="185"/>
      <c r="F1700" s="69"/>
      <c r="G1700" s="185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  <c r="T1700" s="69"/>
      <c r="U1700" s="69"/>
      <c r="V1700" s="69"/>
      <c r="W1700" s="69"/>
      <c r="X1700" s="69"/>
      <c r="Y1700" s="69"/>
      <c r="Z1700" s="69"/>
      <c r="AA1700" s="69"/>
      <c r="AB1700" s="69"/>
      <c r="AC1700" s="69"/>
      <c r="AD1700" s="69"/>
      <c r="AE1700" s="69"/>
    </row>
    <row r="1701" spans="1:31" ht="22.5" customHeight="1">
      <c r="A1701" s="69"/>
      <c r="B1701" s="69"/>
      <c r="C1701" s="69"/>
      <c r="D1701" s="69"/>
      <c r="E1701" s="185"/>
      <c r="F1701" s="69"/>
      <c r="G1701" s="185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69"/>
      <c r="T1701" s="69"/>
      <c r="U1701" s="69"/>
      <c r="V1701" s="69"/>
      <c r="W1701" s="69"/>
      <c r="X1701" s="69"/>
      <c r="Y1701" s="69"/>
      <c r="Z1701" s="69"/>
      <c r="AA1701" s="69"/>
      <c r="AB1701" s="69"/>
      <c r="AC1701" s="69"/>
      <c r="AD1701" s="69"/>
      <c r="AE1701" s="69"/>
    </row>
    <row r="1702" spans="1:31" ht="22.5" customHeight="1">
      <c r="A1702" s="69"/>
      <c r="B1702" s="69"/>
      <c r="C1702" s="69"/>
      <c r="D1702" s="69"/>
      <c r="E1702" s="185"/>
      <c r="F1702" s="69"/>
      <c r="G1702" s="185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  <c r="T1702" s="69"/>
      <c r="U1702" s="69"/>
      <c r="V1702" s="69"/>
      <c r="W1702" s="69"/>
      <c r="X1702" s="69"/>
      <c r="Y1702" s="69"/>
      <c r="Z1702" s="69"/>
      <c r="AA1702" s="69"/>
      <c r="AB1702" s="69"/>
      <c r="AC1702" s="69"/>
      <c r="AD1702" s="69"/>
      <c r="AE1702" s="69"/>
    </row>
    <row r="1703" spans="1:31" ht="22.5" customHeight="1">
      <c r="A1703" s="69"/>
      <c r="B1703" s="69"/>
      <c r="C1703" s="69"/>
      <c r="D1703" s="69"/>
      <c r="E1703" s="185"/>
      <c r="F1703" s="69"/>
      <c r="G1703" s="185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69"/>
      <c r="T1703" s="69"/>
      <c r="U1703" s="69"/>
      <c r="V1703" s="69"/>
      <c r="W1703" s="69"/>
      <c r="X1703" s="69"/>
      <c r="Y1703" s="69"/>
      <c r="Z1703" s="69"/>
      <c r="AA1703" s="69"/>
      <c r="AB1703" s="69"/>
      <c r="AC1703" s="69"/>
      <c r="AD1703" s="69"/>
      <c r="AE1703" s="69"/>
    </row>
    <row r="1704" spans="1:31" ht="22.5" customHeight="1">
      <c r="A1704" s="69"/>
      <c r="B1704" s="69"/>
      <c r="C1704" s="69"/>
      <c r="D1704" s="69"/>
      <c r="E1704" s="185"/>
      <c r="F1704" s="69"/>
      <c r="G1704" s="185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  <c r="T1704" s="69"/>
      <c r="U1704" s="69"/>
      <c r="V1704" s="69"/>
      <c r="W1704" s="69"/>
      <c r="X1704" s="69"/>
      <c r="Y1704" s="69"/>
      <c r="Z1704" s="69"/>
      <c r="AA1704" s="69"/>
      <c r="AB1704" s="69"/>
      <c r="AC1704" s="69"/>
      <c r="AD1704" s="69"/>
      <c r="AE1704" s="69"/>
    </row>
    <row r="1705" spans="1:31" ht="22.5" customHeight="1">
      <c r="A1705" s="69"/>
      <c r="B1705" s="69"/>
      <c r="C1705" s="69"/>
      <c r="D1705" s="69"/>
      <c r="E1705" s="185"/>
      <c r="F1705" s="69"/>
      <c r="G1705" s="185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69"/>
      <c r="T1705" s="69"/>
      <c r="U1705" s="69"/>
      <c r="V1705" s="69"/>
      <c r="W1705" s="69"/>
      <c r="X1705" s="69"/>
      <c r="Y1705" s="69"/>
      <c r="Z1705" s="69"/>
      <c r="AA1705" s="69"/>
      <c r="AB1705" s="69"/>
      <c r="AC1705" s="69"/>
      <c r="AD1705" s="69"/>
      <c r="AE1705" s="69"/>
    </row>
    <row r="1706" spans="1:31" ht="22.5" customHeight="1">
      <c r="A1706" s="69"/>
      <c r="B1706" s="69"/>
      <c r="C1706" s="69"/>
      <c r="D1706" s="69"/>
      <c r="E1706" s="185"/>
      <c r="F1706" s="69"/>
      <c r="G1706" s="185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69"/>
      <c r="X1706" s="69"/>
      <c r="Y1706" s="69"/>
      <c r="Z1706" s="69"/>
      <c r="AA1706" s="69"/>
      <c r="AB1706" s="69"/>
      <c r="AC1706" s="69"/>
      <c r="AD1706" s="69"/>
      <c r="AE1706" s="69"/>
    </row>
    <row r="1707" spans="1:31" ht="22.5" customHeight="1">
      <c r="A1707" s="69"/>
      <c r="B1707" s="69"/>
      <c r="C1707" s="69"/>
      <c r="D1707" s="69"/>
      <c r="E1707" s="185"/>
      <c r="F1707" s="69"/>
      <c r="G1707" s="185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69"/>
      <c r="T1707" s="69"/>
      <c r="U1707" s="69"/>
      <c r="V1707" s="69"/>
      <c r="W1707" s="69"/>
      <c r="X1707" s="69"/>
      <c r="Y1707" s="69"/>
      <c r="Z1707" s="69"/>
      <c r="AA1707" s="69"/>
      <c r="AB1707" s="69"/>
      <c r="AC1707" s="69"/>
      <c r="AD1707" s="69"/>
      <c r="AE1707" s="69"/>
    </row>
    <row r="1708" spans="1:31" ht="22.5" customHeight="1">
      <c r="A1708" s="69"/>
      <c r="B1708" s="69"/>
      <c r="C1708" s="69"/>
      <c r="D1708" s="69"/>
      <c r="E1708" s="185"/>
      <c r="F1708" s="69"/>
      <c r="G1708" s="185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  <c r="T1708" s="69"/>
      <c r="U1708" s="69"/>
      <c r="V1708" s="69"/>
      <c r="W1708" s="69"/>
      <c r="X1708" s="69"/>
      <c r="Y1708" s="69"/>
      <c r="Z1708" s="69"/>
      <c r="AA1708" s="69"/>
      <c r="AB1708" s="69"/>
      <c r="AC1708" s="69"/>
      <c r="AD1708" s="69"/>
      <c r="AE1708" s="69"/>
    </row>
    <row r="1709" spans="1:31" ht="22.5" customHeight="1">
      <c r="A1709" s="69"/>
      <c r="B1709" s="69"/>
      <c r="C1709" s="69"/>
      <c r="D1709" s="69"/>
      <c r="E1709" s="185"/>
      <c r="F1709" s="69"/>
      <c r="G1709" s="185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  <c r="Z1709" s="69"/>
      <c r="AA1709" s="69"/>
      <c r="AB1709" s="69"/>
      <c r="AC1709" s="69"/>
      <c r="AD1709" s="69"/>
      <c r="AE1709" s="69"/>
    </row>
    <row r="1710" spans="1:31" ht="22.5" customHeight="1">
      <c r="A1710" s="69"/>
      <c r="B1710" s="69"/>
      <c r="C1710" s="69"/>
      <c r="D1710" s="69"/>
      <c r="E1710" s="185"/>
      <c r="F1710" s="69"/>
      <c r="G1710" s="185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  <c r="T1710" s="69"/>
      <c r="U1710" s="69"/>
      <c r="V1710" s="69"/>
      <c r="W1710" s="69"/>
      <c r="X1710" s="69"/>
      <c r="Y1710" s="69"/>
      <c r="Z1710" s="69"/>
      <c r="AA1710" s="69"/>
      <c r="AB1710" s="69"/>
      <c r="AC1710" s="69"/>
      <c r="AD1710" s="69"/>
      <c r="AE1710" s="69"/>
    </row>
    <row r="1711" spans="1:31" ht="22.5" customHeight="1">
      <c r="A1711" s="69"/>
      <c r="B1711" s="69"/>
      <c r="C1711" s="69"/>
      <c r="D1711" s="69"/>
      <c r="E1711" s="185"/>
      <c r="F1711" s="69"/>
      <c r="G1711" s="185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  <c r="Z1711" s="69"/>
      <c r="AA1711" s="69"/>
      <c r="AB1711" s="69"/>
      <c r="AC1711" s="69"/>
      <c r="AD1711" s="69"/>
      <c r="AE1711" s="69"/>
    </row>
    <row r="1712" spans="1:31" ht="22.5" customHeight="1">
      <c r="A1712" s="69"/>
      <c r="B1712" s="69"/>
      <c r="C1712" s="69"/>
      <c r="D1712" s="69"/>
      <c r="E1712" s="185"/>
      <c r="F1712" s="69"/>
      <c r="G1712" s="185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  <c r="T1712" s="69"/>
      <c r="U1712" s="69"/>
      <c r="V1712" s="69"/>
      <c r="W1712" s="69"/>
      <c r="X1712" s="69"/>
      <c r="Y1712" s="69"/>
      <c r="Z1712" s="69"/>
      <c r="AA1712" s="69"/>
      <c r="AB1712" s="69"/>
      <c r="AC1712" s="69"/>
      <c r="AD1712" s="69"/>
      <c r="AE1712" s="69"/>
    </row>
    <row r="1713" spans="1:31" ht="22.5" customHeight="1">
      <c r="A1713" s="69"/>
      <c r="B1713" s="69"/>
      <c r="C1713" s="69"/>
      <c r="D1713" s="69"/>
      <c r="E1713" s="185"/>
      <c r="F1713" s="69"/>
      <c r="G1713" s="185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69"/>
      <c r="T1713" s="69"/>
      <c r="U1713" s="69"/>
      <c r="V1713" s="69"/>
      <c r="W1713" s="69"/>
      <c r="X1713" s="69"/>
      <c r="Y1713" s="69"/>
      <c r="Z1713" s="69"/>
      <c r="AA1713" s="69"/>
      <c r="AB1713" s="69"/>
      <c r="AC1713" s="69"/>
      <c r="AD1713" s="69"/>
      <c r="AE1713" s="69"/>
    </row>
    <row r="1714" spans="1:31" ht="22.5" customHeight="1">
      <c r="A1714" s="69"/>
      <c r="B1714" s="69"/>
      <c r="C1714" s="69"/>
      <c r="D1714" s="69"/>
      <c r="E1714" s="185"/>
      <c r="F1714" s="69"/>
      <c r="G1714" s="185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  <c r="T1714" s="69"/>
      <c r="U1714" s="69"/>
      <c r="V1714" s="69"/>
      <c r="W1714" s="69"/>
      <c r="X1714" s="69"/>
      <c r="Y1714" s="69"/>
      <c r="Z1714" s="69"/>
      <c r="AA1714" s="69"/>
      <c r="AB1714" s="69"/>
      <c r="AC1714" s="69"/>
      <c r="AD1714" s="69"/>
      <c r="AE1714" s="69"/>
    </row>
    <row r="1715" spans="1:31" ht="22.5" customHeight="1">
      <c r="A1715" s="69"/>
      <c r="B1715" s="69"/>
      <c r="C1715" s="69"/>
      <c r="D1715" s="69"/>
      <c r="E1715" s="185"/>
      <c r="F1715" s="69"/>
      <c r="G1715" s="185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69"/>
      <c r="T1715" s="69"/>
      <c r="U1715" s="69"/>
      <c r="V1715" s="69"/>
      <c r="W1715" s="69"/>
      <c r="X1715" s="69"/>
      <c r="Y1715" s="69"/>
      <c r="Z1715" s="69"/>
      <c r="AA1715" s="69"/>
      <c r="AB1715" s="69"/>
      <c r="AC1715" s="69"/>
      <c r="AD1715" s="69"/>
      <c r="AE1715" s="69"/>
    </row>
    <row r="1716" spans="1:31" ht="22.5" customHeight="1">
      <c r="A1716" s="69"/>
      <c r="B1716" s="69"/>
      <c r="C1716" s="69"/>
      <c r="D1716" s="69"/>
      <c r="E1716" s="185"/>
      <c r="F1716" s="69"/>
      <c r="G1716" s="185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  <c r="T1716" s="69"/>
      <c r="U1716" s="69"/>
      <c r="V1716" s="69"/>
      <c r="W1716" s="69"/>
      <c r="X1716" s="69"/>
      <c r="Y1716" s="69"/>
      <c r="Z1716" s="69"/>
      <c r="AA1716" s="69"/>
      <c r="AB1716" s="69"/>
      <c r="AC1716" s="69"/>
      <c r="AD1716" s="69"/>
      <c r="AE1716" s="69"/>
    </row>
    <row r="1717" spans="1:31" ht="22.5" customHeight="1">
      <c r="A1717" s="69"/>
      <c r="B1717" s="69"/>
      <c r="C1717" s="69"/>
      <c r="D1717" s="69"/>
      <c r="E1717" s="185"/>
      <c r="F1717" s="69"/>
      <c r="G1717" s="185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69"/>
      <c r="T1717" s="69"/>
      <c r="U1717" s="69"/>
      <c r="V1717" s="69"/>
      <c r="W1717" s="69"/>
      <c r="X1717" s="69"/>
      <c r="Y1717" s="69"/>
      <c r="Z1717" s="69"/>
      <c r="AA1717" s="69"/>
      <c r="AB1717" s="69"/>
      <c r="AC1717" s="69"/>
      <c r="AD1717" s="69"/>
      <c r="AE1717" s="69"/>
    </row>
    <row r="1718" spans="1:31" ht="22.5" customHeight="1">
      <c r="A1718" s="69"/>
      <c r="B1718" s="69"/>
      <c r="C1718" s="69"/>
      <c r="D1718" s="69"/>
      <c r="E1718" s="185"/>
      <c r="F1718" s="69"/>
      <c r="G1718" s="185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  <c r="T1718" s="69"/>
      <c r="U1718" s="69"/>
      <c r="V1718" s="69"/>
      <c r="W1718" s="69"/>
      <c r="X1718" s="69"/>
      <c r="Y1718" s="69"/>
      <c r="Z1718" s="69"/>
      <c r="AA1718" s="69"/>
      <c r="AB1718" s="69"/>
      <c r="AC1718" s="69"/>
      <c r="AD1718" s="69"/>
      <c r="AE1718" s="69"/>
    </row>
    <row r="1719" spans="1:31" ht="22.5" customHeight="1">
      <c r="A1719" s="69"/>
      <c r="B1719" s="69"/>
      <c r="C1719" s="69"/>
      <c r="D1719" s="69"/>
      <c r="E1719" s="185"/>
      <c r="F1719" s="69"/>
      <c r="G1719" s="185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69"/>
      <c r="T1719" s="69"/>
      <c r="U1719" s="69"/>
      <c r="V1719" s="69"/>
      <c r="W1719" s="69"/>
      <c r="X1719" s="69"/>
      <c r="Y1719" s="69"/>
      <c r="Z1719" s="69"/>
      <c r="AA1719" s="69"/>
      <c r="AB1719" s="69"/>
      <c r="AC1719" s="69"/>
      <c r="AD1719" s="69"/>
      <c r="AE1719" s="69"/>
    </row>
    <row r="1720" spans="1:31" ht="22.5" customHeight="1">
      <c r="A1720" s="69"/>
      <c r="B1720" s="69"/>
      <c r="C1720" s="69"/>
      <c r="D1720" s="69"/>
      <c r="E1720" s="185"/>
      <c r="F1720" s="69"/>
      <c r="G1720" s="185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  <c r="T1720" s="69"/>
      <c r="U1720" s="69"/>
      <c r="V1720" s="69"/>
      <c r="W1720" s="69"/>
      <c r="X1720" s="69"/>
      <c r="Y1720" s="69"/>
      <c r="Z1720" s="69"/>
      <c r="AA1720" s="69"/>
      <c r="AB1720" s="69"/>
      <c r="AC1720" s="69"/>
      <c r="AD1720" s="69"/>
      <c r="AE1720" s="69"/>
    </row>
    <row r="1721" spans="1:31" ht="22.5" customHeight="1">
      <c r="A1721" s="69"/>
      <c r="B1721" s="69"/>
      <c r="C1721" s="69"/>
      <c r="D1721" s="69"/>
      <c r="E1721" s="185"/>
      <c r="F1721" s="69"/>
      <c r="G1721" s="185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69"/>
      <c r="T1721" s="69"/>
      <c r="U1721" s="69"/>
      <c r="V1721" s="69"/>
      <c r="W1721" s="69"/>
      <c r="X1721" s="69"/>
      <c r="Y1721" s="69"/>
      <c r="Z1721" s="69"/>
      <c r="AA1721" s="69"/>
      <c r="AB1721" s="69"/>
      <c r="AC1721" s="69"/>
      <c r="AD1721" s="69"/>
      <c r="AE1721" s="69"/>
    </row>
    <row r="1722" spans="1:31" ht="22.5" customHeight="1">
      <c r="A1722" s="69"/>
      <c r="B1722" s="69"/>
      <c r="C1722" s="69"/>
      <c r="D1722" s="69"/>
      <c r="E1722" s="185"/>
      <c r="F1722" s="69"/>
      <c r="G1722" s="185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  <c r="T1722" s="69"/>
      <c r="U1722" s="69"/>
      <c r="V1722" s="69"/>
      <c r="W1722" s="69"/>
      <c r="X1722" s="69"/>
      <c r="Y1722" s="69"/>
      <c r="Z1722" s="69"/>
      <c r="AA1722" s="69"/>
      <c r="AB1722" s="69"/>
      <c r="AC1722" s="69"/>
      <c r="AD1722" s="69"/>
      <c r="AE1722" s="69"/>
    </row>
    <row r="1723" spans="1:31" ht="22.5" customHeight="1">
      <c r="A1723" s="69"/>
      <c r="B1723" s="69"/>
      <c r="C1723" s="69"/>
      <c r="D1723" s="69"/>
      <c r="E1723" s="185"/>
      <c r="F1723" s="69"/>
      <c r="G1723" s="185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  <c r="AA1723" s="69"/>
      <c r="AB1723" s="69"/>
      <c r="AC1723" s="69"/>
      <c r="AD1723" s="69"/>
      <c r="AE1723" s="69"/>
    </row>
    <row r="1724" spans="1:31" ht="22.5" customHeight="1">
      <c r="A1724" s="69"/>
      <c r="B1724" s="69"/>
      <c r="C1724" s="69"/>
      <c r="D1724" s="69"/>
      <c r="E1724" s="185"/>
      <c r="F1724" s="69"/>
      <c r="G1724" s="185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69"/>
      <c r="X1724" s="69"/>
      <c r="Y1724" s="69"/>
      <c r="Z1724" s="69"/>
      <c r="AA1724" s="69"/>
      <c r="AB1724" s="69"/>
      <c r="AC1724" s="69"/>
      <c r="AD1724" s="69"/>
      <c r="AE1724" s="69"/>
    </row>
    <row r="1725" spans="1:31" ht="22.5" customHeight="1">
      <c r="A1725" s="69"/>
      <c r="B1725" s="69"/>
      <c r="C1725" s="69"/>
      <c r="D1725" s="69"/>
      <c r="E1725" s="185"/>
      <c r="F1725" s="69"/>
      <c r="G1725" s="185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69"/>
      <c r="T1725" s="69"/>
      <c r="U1725" s="69"/>
      <c r="V1725" s="69"/>
      <c r="W1725" s="69"/>
      <c r="X1725" s="69"/>
      <c r="Y1725" s="69"/>
      <c r="Z1725" s="69"/>
      <c r="AA1725" s="69"/>
      <c r="AB1725" s="69"/>
      <c r="AC1725" s="69"/>
      <c r="AD1725" s="69"/>
      <c r="AE1725" s="69"/>
    </row>
    <row r="1726" spans="1:31" ht="22.5" customHeight="1">
      <c r="A1726" s="69"/>
      <c r="B1726" s="69"/>
      <c r="C1726" s="69"/>
      <c r="D1726" s="69"/>
      <c r="E1726" s="185"/>
      <c r="F1726" s="69"/>
      <c r="G1726" s="185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  <c r="T1726" s="69"/>
      <c r="U1726" s="69"/>
      <c r="V1726" s="69"/>
      <c r="W1726" s="69"/>
      <c r="X1726" s="69"/>
      <c r="Y1726" s="69"/>
      <c r="Z1726" s="69"/>
      <c r="AA1726" s="69"/>
      <c r="AB1726" s="69"/>
      <c r="AC1726" s="69"/>
      <c r="AD1726" s="69"/>
      <c r="AE1726" s="69"/>
    </row>
    <row r="1727" spans="1:31" ht="22.5" customHeight="1">
      <c r="A1727" s="69"/>
      <c r="B1727" s="69"/>
      <c r="C1727" s="69"/>
      <c r="D1727" s="69"/>
      <c r="E1727" s="185"/>
      <c r="F1727" s="69"/>
      <c r="G1727" s="185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  <c r="Z1727" s="69"/>
      <c r="AA1727" s="69"/>
      <c r="AB1727" s="69"/>
      <c r="AC1727" s="69"/>
      <c r="AD1727" s="69"/>
      <c r="AE1727" s="69"/>
    </row>
    <row r="1728" spans="1:31" ht="22.5" customHeight="1">
      <c r="A1728" s="69"/>
      <c r="B1728" s="69"/>
      <c r="C1728" s="69"/>
      <c r="D1728" s="69"/>
      <c r="E1728" s="185"/>
      <c r="F1728" s="69"/>
      <c r="G1728" s="185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  <c r="T1728" s="69"/>
      <c r="U1728" s="69"/>
      <c r="V1728" s="69"/>
      <c r="W1728" s="69"/>
      <c r="X1728" s="69"/>
      <c r="Y1728" s="69"/>
      <c r="Z1728" s="69"/>
      <c r="AA1728" s="69"/>
      <c r="AB1728" s="69"/>
      <c r="AC1728" s="69"/>
      <c r="AD1728" s="69"/>
      <c r="AE1728" s="69"/>
    </row>
    <row r="1729" spans="1:31" ht="22.5" customHeight="1">
      <c r="A1729" s="69"/>
      <c r="B1729" s="69"/>
      <c r="C1729" s="69"/>
      <c r="D1729" s="69"/>
      <c r="E1729" s="185"/>
      <c r="F1729" s="69"/>
      <c r="G1729" s="185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69"/>
      <c r="T1729" s="69"/>
      <c r="U1729" s="69"/>
      <c r="V1729" s="69"/>
      <c r="W1729" s="69"/>
      <c r="X1729" s="69"/>
      <c r="Y1729" s="69"/>
      <c r="Z1729" s="69"/>
      <c r="AA1729" s="69"/>
      <c r="AB1729" s="69"/>
      <c r="AC1729" s="69"/>
      <c r="AD1729" s="69"/>
      <c r="AE1729" s="69"/>
    </row>
    <row r="1730" spans="1:31" ht="22.5" customHeight="1">
      <c r="A1730" s="69"/>
      <c r="B1730" s="69"/>
      <c r="C1730" s="69"/>
      <c r="D1730" s="69"/>
      <c r="E1730" s="185"/>
      <c r="F1730" s="69"/>
      <c r="G1730" s="185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  <c r="T1730" s="69"/>
      <c r="U1730" s="69"/>
      <c r="V1730" s="69"/>
      <c r="W1730" s="69"/>
      <c r="X1730" s="69"/>
      <c r="Y1730" s="69"/>
      <c r="Z1730" s="69"/>
      <c r="AA1730" s="69"/>
      <c r="AB1730" s="69"/>
      <c r="AC1730" s="69"/>
      <c r="AD1730" s="69"/>
      <c r="AE1730" s="69"/>
    </row>
    <row r="1731" spans="1:31" ht="22.5" customHeight="1">
      <c r="A1731" s="69"/>
      <c r="B1731" s="69"/>
      <c r="C1731" s="69"/>
      <c r="D1731" s="69"/>
      <c r="E1731" s="185"/>
      <c r="F1731" s="69"/>
      <c r="G1731" s="185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69"/>
      <c r="T1731" s="69"/>
      <c r="U1731" s="69"/>
      <c r="V1731" s="69"/>
      <c r="W1731" s="69"/>
      <c r="X1731" s="69"/>
      <c r="Y1731" s="69"/>
      <c r="Z1731" s="69"/>
      <c r="AA1731" s="69"/>
      <c r="AB1731" s="69"/>
      <c r="AC1731" s="69"/>
      <c r="AD1731" s="69"/>
      <c r="AE1731" s="69"/>
    </row>
    <row r="1732" spans="1:31" ht="22.5" customHeight="1">
      <c r="A1732" s="69"/>
      <c r="B1732" s="69"/>
      <c r="C1732" s="69"/>
      <c r="D1732" s="69"/>
      <c r="E1732" s="185"/>
      <c r="F1732" s="69"/>
      <c r="G1732" s="185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  <c r="T1732" s="69"/>
      <c r="U1732" s="69"/>
      <c r="V1732" s="69"/>
      <c r="W1732" s="69"/>
      <c r="X1732" s="69"/>
      <c r="Y1732" s="69"/>
      <c r="Z1732" s="69"/>
      <c r="AA1732" s="69"/>
      <c r="AB1732" s="69"/>
      <c r="AC1732" s="69"/>
      <c r="AD1732" s="69"/>
      <c r="AE1732" s="69"/>
    </row>
    <row r="1733" spans="1:31" ht="22.5" customHeight="1">
      <c r="A1733" s="69"/>
      <c r="B1733" s="69"/>
      <c r="C1733" s="69"/>
      <c r="D1733" s="69"/>
      <c r="E1733" s="185"/>
      <c r="F1733" s="69"/>
      <c r="G1733" s="185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69"/>
      <c r="T1733" s="69"/>
      <c r="U1733" s="69"/>
      <c r="V1733" s="69"/>
      <c r="W1733" s="69"/>
      <c r="X1733" s="69"/>
      <c r="Y1733" s="69"/>
      <c r="Z1733" s="69"/>
      <c r="AA1733" s="69"/>
      <c r="AB1733" s="69"/>
      <c r="AC1733" s="69"/>
      <c r="AD1733" s="69"/>
      <c r="AE1733" s="69"/>
    </row>
    <row r="1734" spans="1:31" ht="22.5" customHeight="1">
      <c r="A1734" s="69"/>
      <c r="B1734" s="69"/>
      <c r="C1734" s="69"/>
      <c r="D1734" s="69"/>
      <c r="E1734" s="185"/>
      <c r="F1734" s="69"/>
      <c r="G1734" s="185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  <c r="T1734" s="69"/>
      <c r="U1734" s="69"/>
      <c r="V1734" s="69"/>
      <c r="W1734" s="69"/>
      <c r="X1734" s="69"/>
      <c r="Y1734" s="69"/>
      <c r="Z1734" s="69"/>
      <c r="AA1734" s="69"/>
      <c r="AB1734" s="69"/>
      <c r="AC1734" s="69"/>
      <c r="AD1734" s="69"/>
      <c r="AE1734" s="69"/>
    </row>
    <row r="1735" spans="1:31" ht="22.5" customHeight="1">
      <c r="A1735" s="69"/>
      <c r="B1735" s="69"/>
      <c r="C1735" s="69"/>
      <c r="D1735" s="69"/>
      <c r="E1735" s="185"/>
      <c r="F1735" s="69"/>
      <c r="G1735" s="185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69"/>
      <c r="T1735" s="69"/>
      <c r="U1735" s="69"/>
      <c r="V1735" s="69"/>
      <c r="W1735" s="69"/>
      <c r="X1735" s="69"/>
      <c r="Y1735" s="69"/>
      <c r="Z1735" s="69"/>
      <c r="AA1735" s="69"/>
      <c r="AB1735" s="69"/>
      <c r="AC1735" s="69"/>
      <c r="AD1735" s="69"/>
      <c r="AE1735" s="69"/>
    </row>
    <row r="1736" spans="1:31" ht="22.5" customHeight="1">
      <c r="A1736" s="69"/>
      <c r="B1736" s="69"/>
      <c r="C1736" s="69"/>
      <c r="D1736" s="69"/>
      <c r="E1736" s="185"/>
      <c r="F1736" s="69"/>
      <c r="G1736" s="185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  <c r="T1736" s="69"/>
      <c r="U1736" s="69"/>
      <c r="V1736" s="69"/>
      <c r="W1736" s="69"/>
      <c r="X1736" s="69"/>
      <c r="Y1736" s="69"/>
      <c r="Z1736" s="69"/>
      <c r="AA1736" s="69"/>
      <c r="AB1736" s="69"/>
      <c r="AC1736" s="69"/>
      <c r="AD1736" s="69"/>
      <c r="AE1736" s="69"/>
    </row>
    <row r="1737" spans="1:31" ht="22.5" customHeight="1">
      <c r="A1737" s="69"/>
      <c r="B1737" s="69"/>
      <c r="C1737" s="69"/>
      <c r="D1737" s="69"/>
      <c r="E1737" s="185"/>
      <c r="F1737" s="69"/>
      <c r="G1737" s="185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69"/>
      <c r="T1737" s="69"/>
      <c r="U1737" s="69"/>
      <c r="V1737" s="69"/>
      <c r="W1737" s="69"/>
      <c r="X1737" s="69"/>
      <c r="Y1737" s="69"/>
      <c r="Z1737" s="69"/>
      <c r="AA1737" s="69"/>
      <c r="AB1737" s="69"/>
      <c r="AC1737" s="69"/>
      <c r="AD1737" s="69"/>
      <c r="AE1737" s="69"/>
    </row>
    <row r="1738" spans="1:31" ht="22.5" customHeight="1">
      <c r="A1738" s="69"/>
      <c r="B1738" s="69"/>
      <c r="C1738" s="69"/>
      <c r="D1738" s="69"/>
      <c r="E1738" s="185"/>
      <c r="F1738" s="69"/>
      <c r="G1738" s="185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  <c r="T1738" s="69"/>
      <c r="U1738" s="69"/>
      <c r="V1738" s="69"/>
      <c r="W1738" s="69"/>
      <c r="X1738" s="69"/>
      <c r="Y1738" s="69"/>
      <c r="Z1738" s="69"/>
      <c r="AA1738" s="69"/>
      <c r="AB1738" s="69"/>
      <c r="AC1738" s="69"/>
      <c r="AD1738" s="69"/>
      <c r="AE1738" s="69"/>
    </row>
    <row r="1739" spans="1:31" ht="22.5" customHeight="1">
      <c r="A1739" s="69"/>
      <c r="B1739" s="69"/>
      <c r="C1739" s="69"/>
      <c r="D1739" s="69"/>
      <c r="E1739" s="185"/>
      <c r="F1739" s="69"/>
      <c r="G1739" s="185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69"/>
      <c r="T1739" s="69"/>
      <c r="U1739" s="69"/>
      <c r="V1739" s="69"/>
      <c r="W1739" s="69"/>
      <c r="X1739" s="69"/>
      <c r="Y1739" s="69"/>
      <c r="Z1739" s="69"/>
      <c r="AA1739" s="69"/>
      <c r="AB1739" s="69"/>
      <c r="AC1739" s="69"/>
      <c r="AD1739" s="69"/>
      <c r="AE1739" s="69"/>
    </row>
    <row r="1740" spans="1:31" ht="22.5" customHeight="1">
      <c r="A1740" s="69"/>
      <c r="B1740" s="69"/>
      <c r="C1740" s="69"/>
      <c r="D1740" s="69"/>
      <c r="E1740" s="185"/>
      <c r="F1740" s="69"/>
      <c r="G1740" s="185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  <c r="T1740" s="69"/>
      <c r="U1740" s="69"/>
      <c r="V1740" s="69"/>
      <c r="W1740" s="69"/>
      <c r="X1740" s="69"/>
      <c r="Y1740" s="69"/>
      <c r="Z1740" s="69"/>
      <c r="AA1740" s="69"/>
      <c r="AB1740" s="69"/>
      <c r="AC1740" s="69"/>
      <c r="AD1740" s="69"/>
      <c r="AE1740" s="69"/>
    </row>
    <row r="1741" spans="1:31" ht="22.5" customHeight="1">
      <c r="A1741" s="69"/>
      <c r="B1741" s="69"/>
      <c r="C1741" s="69"/>
      <c r="D1741" s="69"/>
      <c r="E1741" s="185"/>
      <c r="F1741" s="69"/>
      <c r="G1741" s="185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69"/>
      <c r="T1741" s="69"/>
      <c r="U1741" s="69"/>
      <c r="V1741" s="69"/>
      <c r="W1741" s="69"/>
      <c r="X1741" s="69"/>
      <c r="Y1741" s="69"/>
      <c r="Z1741" s="69"/>
      <c r="AA1741" s="69"/>
      <c r="AB1741" s="69"/>
      <c r="AC1741" s="69"/>
      <c r="AD1741" s="69"/>
      <c r="AE1741" s="69"/>
    </row>
    <row r="1742" spans="1:31" ht="22.5" customHeight="1">
      <c r="A1742" s="69"/>
      <c r="B1742" s="69"/>
      <c r="C1742" s="69"/>
      <c r="D1742" s="69"/>
      <c r="E1742" s="185"/>
      <c r="F1742" s="69"/>
      <c r="G1742" s="185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69"/>
      <c r="X1742" s="69"/>
      <c r="Y1742" s="69"/>
      <c r="Z1742" s="69"/>
      <c r="AA1742" s="69"/>
      <c r="AB1742" s="69"/>
      <c r="AC1742" s="69"/>
      <c r="AD1742" s="69"/>
      <c r="AE1742" s="69"/>
    </row>
    <row r="1743" spans="1:31" ht="22.5" customHeight="1">
      <c r="A1743" s="69"/>
      <c r="B1743" s="69"/>
      <c r="C1743" s="69"/>
      <c r="D1743" s="69"/>
      <c r="E1743" s="185"/>
      <c r="F1743" s="69"/>
      <c r="G1743" s="185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69"/>
      <c r="T1743" s="69"/>
      <c r="U1743" s="69"/>
      <c r="V1743" s="69"/>
      <c r="W1743" s="69"/>
      <c r="X1743" s="69"/>
      <c r="Y1743" s="69"/>
      <c r="Z1743" s="69"/>
      <c r="AA1743" s="69"/>
      <c r="AB1743" s="69"/>
      <c r="AC1743" s="69"/>
      <c r="AD1743" s="69"/>
      <c r="AE1743" s="69"/>
    </row>
    <row r="1744" spans="1:31" ht="22.5" customHeight="1">
      <c r="A1744" s="69"/>
      <c r="B1744" s="69"/>
      <c r="C1744" s="69"/>
      <c r="D1744" s="69"/>
      <c r="E1744" s="185"/>
      <c r="F1744" s="69"/>
      <c r="G1744" s="185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  <c r="T1744" s="69"/>
      <c r="U1744" s="69"/>
      <c r="V1744" s="69"/>
      <c r="W1744" s="69"/>
      <c r="X1744" s="69"/>
      <c r="Y1744" s="69"/>
      <c r="Z1744" s="69"/>
      <c r="AA1744" s="69"/>
      <c r="AB1744" s="69"/>
      <c r="AC1744" s="69"/>
      <c r="AD1744" s="69"/>
      <c r="AE1744" s="69"/>
    </row>
    <row r="1745" spans="1:31" ht="22.5" customHeight="1">
      <c r="A1745" s="69"/>
      <c r="B1745" s="69"/>
      <c r="C1745" s="69"/>
      <c r="D1745" s="69"/>
      <c r="E1745" s="185"/>
      <c r="F1745" s="69"/>
      <c r="G1745" s="185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69"/>
      <c r="T1745" s="69"/>
      <c r="U1745" s="69"/>
      <c r="V1745" s="69"/>
      <c r="W1745" s="69"/>
      <c r="X1745" s="69"/>
      <c r="Y1745" s="69"/>
      <c r="Z1745" s="69"/>
      <c r="AA1745" s="69"/>
      <c r="AB1745" s="69"/>
      <c r="AC1745" s="69"/>
      <c r="AD1745" s="69"/>
      <c r="AE1745" s="69"/>
    </row>
    <row r="1746" spans="1:31" ht="22.5" customHeight="1">
      <c r="A1746" s="69"/>
      <c r="B1746" s="69"/>
      <c r="C1746" s="69"/>
      <c r="D1746" s="69"/>
      <c r="E1746" s="185"/>
      <c r="F1746" s="69"/>
      <c r="G1746" s="185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  <c r="T1746" s="69"/>
      <c r="U1746" s="69"/>
      <c r="V1746" s="69"/>
      <c r="W1746" s="69"/>
      <c r="X1746" s="69"/>
      <c r="Y1746" s="69"/>
      <c r="Z1746" s="69"/>
      <c r="AA1746" s="69"/>
      <c r="AB1746" s="69"/>
      <c r="AC1746" s="69"/>
      <c r="AD1746" s="69"/>
      <c r="AE1746" s="69"/>
    </row>
    <row r="1747" spans="1:31" ht="22.5" customHeight="1">
      <c r="A1747" s="69"/>
      <c r="B1747" s="69"/>
      <c r="C1747" s="69"/>
      <c r="D1747" s="69"/>
      <c r="E1747" s="185"/>
      <c r="F1747" s="69"/>
      <c r="G1747" s="185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69"/>
      <c r="T1747" s="69"/>
      <c r="U1747" s="69"/>
      <c r="V1747" s="69"/>
      <c r="W1747" s="69"/>
      <c r="X1747" s="69"/>
      <c r="Y1747" s="69"/>
      <c r="Z1747" s="69"/>
      <c r="AA1747" s="69"/>
      <c r="AB1747" s="69"/>
      <c r="AC1747" s="69"/>
      <c r="AD1747" s="69"/>
      <c r="AE1747" s="69"/>
    </row>
    <row r="1748" spans="1:31" ht="22.5" customHeight="1">
      <c r="A1748" s="69"/>
      <c r="B1748" s="69"/>
      <c r="C1748" s="69"/>
      <c r="D1748" s="69"/>
      <c r="E1748" s="185"/>
      <c r="F1748" s="69"/>
      <c r="G1748" s="185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  <c r="T1748" s="69"/>
      <c r="U1748" s="69"/>
      <c r="V1748" s="69"/>
      <c r="W1748" s="69"/>
      <c r="X1748" s="69"/>
      <c r="Y1748" s="69"/>
      <c r="Z1748" s="69"/>
      <c r="AA1748" s="69"/>
      <c r="AB1748" s="69"/>
      <c r="AC1748" s="69"/>
      <c r="AD1748" s="69"/>
      <c r="AE1748" s="69"/>
    </row>
    <row r="1749" spans="1:31" ht="22.5" customHeight="1">
      <c r="A1749" s="69"/>
      <c r="B1749" s="69"/>
      <c r="C1749" s="69"/>
      <c r="D1749" s="69"/>
      <c r="E1749" s="185"/>
      <c r="F1749" s="69"/>
      <c r="G1749" s="185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69"/>
      <c r="T1749" s="69"/>
      <c r="U1749" s="69"/>
      <c r="V1749" s="69"/>
      <c r="W1749" s="69"/>
      <c r="X1749" s="69"/>
      <c r="Y1749" s="69"/>
      <c r="Z1749" s="69"/>
      <c r="AA1749" s="69"/>
      <c r="AB1749" s="69"/>
      <c r="AC1749" s="69"/>
      <c r="AD1749" s="69"/>
      <c r="AE1749" s="69"/>
    </row>
    <row r="1750" spans="1:31" ht="22.5" customHeight="1">
      <c r="A1750" s="69"/>
      <c r="B1750" s="69"/>
      <c r="C1750" s="69"/>
      <c r="D1750" s="69"/>
      <c r="E1750" s="185"/>
      <c r="F1750" s="69"/>
      <c r="G1750" s="185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  <c r="T1750" s="69"/>
      <c r="U1750" s="69"/>
      <c r="V1750" s="69"/>
      <c r="W1750" s="69"/>
      <c r="X1750" s="69"/>
      <c r="Y1750" s="69"/>
      <c r="Z1750" s="69"/>
      <c r="AA1750" s="69"/>
      <c r="AB1750" s="69"/>
      <c r="AC1750" s="69"/>
      <c r="AD1750" s="69"/>
      <c r="AE1750" s="69"/>
    </row>
    <row r="1751" spans="1:31" ht="22.5" customHeight="1">
      <c r="A1751" s="69"/>
      <c r="B1751" s="69"/>
      <c r="C1751" s="69"/>
      <c r="D1751" s="69"/>
      <c r="E1751" s="185"/>
      <c r="F1751" s="69"/>
      <c r="G1751" s="185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69"/>
      <c r="T1751" s="69"/>
      <c r="U1751" s="69"/>
      <c r="V1751" s="69"/>
      <c r="W1751" s="69"/>
      <c r="X1751" s="69"/>
      <c r="Y1751" s="69"/>
      <c r="Z1751" s="69"/>
      <c r="AA1751" s="69"/>
      <c r="AB1751" s="69"/>
      <c r="AC1751" s="69"/>
      <c r="AD1751" s="69"/>
      <c r="AE1751" s="69"/>
    </row>
    <row r="1752" spans="1:31" ht="22.5" customHeight="1">
      <c r="A1752" s="69"/>
      <c r="B1752" s="69"/>
      <c r="C1752" s="69"/>
      <c r="D1752" s="69"/>
      <c r="E1752" s="185"/>
      <c r="F1752" s="69"/>
      <c r="G1752" s="185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  <c r="T1752" s="69"/>
      <c r="U1752" s="69"/>
      <c r="V1752" s="69"/>
      <c r="W1752" s="69"/>
      <c r="X1752" s="69"/>
      <c r="Y1752" s="69"/>
      <c r="Z1752" s="69"/>
      <c r="AA1752" s="69"/>
      <c r="AB1752" s="69"/>
      <c r="AC1752" s="69"/>
      <c r="AD1752" s="69"/>
      <c r="AE1752" s="69"/>
    </row>
    <row r="1753" spans="1:31" ht="22.5" customHeight="1">
      <c r="A1753" s="69"/>
      <c r="B1753" s="69"/>
      <c r="C1753" s="69"/>
      <c r="D1753" s="69"/>
      <c r="E1753" s="185"/>
      <c r="F1753" s="69"/>
      <c r="G1753" s="185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69"/>
      <c r="T1753" s="69"/>
      <c r="U1753" s="69"/>
      <c r="V1753" s="69"/>
      <c r="W1753" s="69"/>
      <c r="X1753" s="69"/>
      <c r="Y1753" s="69"/>
      <c r="Z1753" s="69"/>
      <c r="AA1753" s="69"/>
      <c r="AB1753" s="69"/>
      <c r="AC1753" s="69"/>
      <c r="AD1753" s="69"/>
      <c r="AE1753" s="69"/>
    </row>
    <row r="1754" spans="1:31" ht="22.5" customHeight="1">
      <c r="A1754" s="69"/>
      <c r="B1754" s="69"/>
      <c r="C1754" s="69"/>
      <c r="D1754" s="69"/>
      <c r="E1754" s="185"/>
      <c r="F1754" s="69"/>
      <c r="G1754" s="185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  <c r="T1754" s="69"/>
      <c r="U1754" s="69"/>
      <c r="V1754" s="69"/>
      <c r="W1754" s="69"/>
      <c r="X1754" s="69"/>
      <c r="Y1754" s="69"/>
      <c r="Z1754" s="69"/>
      <c r="AA1754" s="69"/>
      <c r="AB1754" s="69"/>
      <c r="AC1754" s="69"/>
      <c r="AD1754" s="69"/>
      <c r="AE1754" s="69"/>
    </row>
    <row r="1755" spans="1:31" ht="22.5" customHeight="1">
      <c r="A1755" s="69"/>
      <c r="B1755" s="69"/>
      <c r="C1755" s="69"/>
      <c r="D1755" s="69"/>
      <c r="E1755" s="185"/>
      <c r="F1755" s="69"/>
      <c r="G1755" s="185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69"/>
      <c r="T1755" s="69"/>
      <c r="U1755" s="69"/>
      <c r="V1755" s="69"/>
      <c r="W1755" s="69"/>
      <c r="X1755" s="69"/>
      <c r="Y1755" s="69"/>
      <c r="Z1755" s="69"/>
      <c r="AA1755" s="69"/>
      <c r="AB1755" s="69"/>
      <c r="AC1755" s="69"/>
      <c r="AD1755" s="69"/>
      <c r="AE1755" s="69"/>
    </row>
    <row r="1756" spans="1:31" ht="22.5" customHeight="1">
      <c r="A1756" s="69"/>
      <c r="B1756" s="69"/>
      <c r="C1756" s="69"/>
      <c r="D1756" s="69"/>
      <c r="E1756" s="185"/>
      <c r="F1756" s="69"/>
      <c r="G1756" s="185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  <c r="T1756" s="69"/>
      <c r="U1756" s="69"/>
      <c r="V1756" s="69"/>
      <c r="W1756" s="69"/>
      <c r="X1756" s="69"/>
      <c r="Y1756" s="69"/>
      <c r="Z1756" s="69"/>
      <c r="AA1756" s="69"/>
      <c r="AB1756" s="69"/>
      <c r="AC1756" s="69"/>
      <c r="AD1756" s="69"/>
      <c r="AE1756" s="69"/>
    </row>
    <row r="1757" spans="1:31" ht="22.5" customHeight="1">
      <c r="A1757" s="69"/>
      <c r="B1757" s="69"/>
      <c r="C1757" s="69"/>
      <c r="D1757" s="69"/>
      <c r="E1757" s="185"/>
      <c r="F1757" s="69"/>
      <c r="G1757" s="185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69"/>
      <c r="T1757" s="69"/>
      <c r="U1757" s="69"/>
      <c r="V1757" s="69"/>
      <c r="W1757" s="69"/>
      <c r="X1757" s="69"/>
      <c r="Y1757" s="69"/>
      <c r="Z1757" s="69"/>
      <c r="AA1757" s="69"/>
      <c r="AB1757" s="69"/>
      <c r="AC1757" s="69"/>
      <c r="AD1757" s="69"/>
      <c r="AE1757" s="69"/>
    </row>
    <row r="1758" spans="1:31" ht="22.5" customHeight="1">
      <c r="A1758" s="69"/>
      <c r="B1758" s="69"/>
      <c r="C1758" s="69"/>
      <c r="D1758" s="69"/>
      <c r="E1758" s="185"/>
      <c r="F1758" s="69"/>
      <c r="G1758" s="185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  <c r="T1758" s="69"/>
      <c r="U1758" s="69"/>
      <c r="V1758" s="69"/>
      <c r="W1758" s="69"/>
      <c r="X1758" s="69"/>
      <c r="Y1758" s="69"/>
      <c r="Z1758" s="69"/>
      <c r="AA1758" s="69"/>
      <c r="AB1758" s="69"/>
      <c r="AC1758" s="69"/>
      <c r="AD1758" s="69"/>
      <c r="AE1758" s="69"/>
    </row>
    <row r="1759" spans="1:31" ht="22.5" customHeight="1">
      <c r="A1759" s="69"/>
      <c r="B1759" s="69"/>
      <c r="C1759" s="69"/>
      <c r="D1759" s="69"/>
      <c r="E1759" s="185"/>
      <c r="F1759" s="69"/>
      <c r="G1759" s="185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69"/>
      <c r="T1759" s="69"/>
      <c r="U1759" s="69"/>
      <c r="V1759" s="69"/>
      <c r="W1759" s="69"/>
      <c r="X1759" s="69"/>
      <c r="Y1759" s="69"/>
      <c r="Z1759" s="69"/>
      <c r="AA1759" s="69"/>
      <c r="AB1759" s="69"/>
      <c r="AC1759" s="69"/>
      <c r="AD1759" s="69"/>
      <c r="AE1759" s="69"/>
    </row>
    <row r="1760" spans="1:31" ht="22.5" customHeight="1">
      <c r="A1760" s="69"/>
      <c r="B1760" s="69"/>
      <c r="C1760" s="69"/>
      <c r="D1760" s="69"/>
      <c r="E1760" s="185"/>
      <c r="F1760" s="69"/>
      <c r="G1760" s="185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69"/>
      <c r="X1760" s="69"/>
      <c r="Y1760" s="69"/>
      <c r="Z1760" s="69"/>
      <c r="AA1760" s="69"/>
      <c r="AB1760" s="69"/>
      <c r="AC1760" s="69"/>
      <c r="AD1760" s="69"/>
      <c r="AE1760" s="69"/>
    </row>
    <row r="1761" spans="1:31" ht="22.5" customHeight="1">
      <c r="A1761" s="69"/>
      <c r="B1761" s="69"/>
      <c r="C1761" s="69"/>
      <c r="D1761" s="69"/>
      <c r="E1761" s="185"/>
      <c r="F1761" s="69"/>
      <c r="G1761" s="185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69"/>
      <c r="T1761" s="69"/>
      <c r="U1761" s="69"/>
      <c r="V1761" s="69"/>
      <c r="W1761" s="69"/>
      <c r="X1761" s="69"/>
      <c r="Y1761" s="69"/>
      <c r="Z1761" s="69"/>
      <c r="AA1761" s="69"/>
      <c r="AB1761" s="69"/>
      <c r="AC1761" s="69"/>
      <c r="AD1761" s="69"/>
      <c r="AE1761" s="69"/>
    </row>
    <row r="1762" spans="1:31" ht="22.5" customHeight="1">
      <c r="A1762" s="69"/>
      <c r="B1762" s="69"/>
      <c r="C1762" s="69"/>
      <c r="D1762" s="69"/>
      <c r="E1762" s="185"/>
      <c r="F1762" s="69"/>
      <c r="G1762" s="185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  <c r="T1762" s="69"/>
      <c r="U1762" s="69"/>
      <c r="V1762" s="69"/>
      <c r="W1762" s="69"/>
      <c r="X1762" s="69"/>
      <c r="Y1762" s="69"/>
      <c r="Z1762" s="69"/>
      <c r="AA1762" s="69"/>
      <c r="AB1762" s="69"/>
      <c r="AC1762" s="69"/>
      <c r="AD1762" s="69"/>
      <c r="AE1762" s="69"/>
    </row>
    <row r="1763" spans="1:31" ht="22.5" customHeight="1">
      <c r="A1763" s="69"/>
      <c r="B1763" s="69"/>
      <c r="C1763" s="69"/>
      <c r="D1763" s="69"/>
      <c r="E1763" s="185"/>
      <c r="F1763" s="69"/>
      <c r="G1763" s="185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  <c r="AA1763" s="69"/>
      <c r="AB1763" s="69"/>
      <c r="AC1763" s="69"/>
      <c r="AD1763" s="69"/>
      <c r="AE1763" s="69"/>
    </row>
    <row r="1764" spans="1:31" ht="22.5" customHeight="1">
      <c r="A1764" s="69"/>
      <c r="B1764" s="69"/>
      <c r="C1764" s="69"/>
      <c r="D1764" s="69"/>
      <c r="E1764" s="185"/>
      <c r="F1764" s="69"/>
      <c r="G1764" s="185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  <c r="T1764" s="69"/>
      <c r="U1764" s="69"/>
      <c r="V1764" s="69"/>
      <c r="W1764" s="69"/>
      <c r="X1764" s="69"/>
      <c r="Y1764" s="69"/>
      <c r="Z1764" s="69"/>
      <c r="AA1764" s="69"/>
      <c r="AB1764" s="69"/>
      <c r="AC1764" s="69"/>
      <c r="AD1764" s="69"/>
      <c r="AE1764" s="69"/>
    </row>
    <row r="1765" spans="1:31" ht="22.5" customHeight="1">
      <c r="A1765" s="69"/>
      <c r="B1765" s="69"/>
      <c r="C1765" s="69"/>
      <c r="D1765" s="69"/>
      <c r="E1765" s="185"/>
      <c r="F1765" s="69"/>
      <c r="G1765" s="185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69"/>
      <c r="T1765" s="69"/>
      <c r="U1765" s="69"/>
      <c r="V1765" s="69"/>
      <c r="W1765" s="69"/>
      <c r="X1765" s="69"/>
      <c r="Y1765" s="69"/>
      <c r="Z1765" s="69"/>
      <c r="AA1765" s="69"/>
      <c r="AB1765" s="69"/>
      <c r="AC1765" s="69"/>
      <c r="AD1765" s="69"/>
      <c r="AE1765" s="69"/>
    </row>
    <row r="1766" spans="1:31" ht="22.5" customHeight="1">
      <c r="A1766" s="69"/>
      <c r="B1766" s="69"/>
      <c r="C1766" s="69"/>
      <c r="D1766" s="69"/>
      <c r="E1766" s="185"/>
      <c r="F1766" s="69"/>
      <c r="G1766" s="185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  <c r="T1766" s="69"/>
      <c r="U1766" s="69"/>
      <c r="V1766" s="69"/>
      <c r="W1766" s="69"/>
      <c r="X1766" s="69"/>
      <c r="Y1766" s="69"/>
      <c r="Z1766" s="69"/>
      <c r="AA1766" s="69"/>
      <c r="AB1766" s="69"/>
      <c r="AC1766" s="69"/>
      <c r="AD1766" s="69"/>
      <c r="AE1766" s="69"/>
    </row>
    <row r="1767" spans="1:31" ht="22.5" customHeight="1">
      <c r="A1767" s="69"/>
      <c r="B1767" s="69"/>
      <c r="C1767" s="69"/>
      <c r="D1767" s="69"/>
      <c r="E1767" s="185"/>
      <c r="F1767" s="69"/>
      <c r="G1767" s="185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69"/>
      <c r="T1767" s="69"/>
      <c r="U1767" s="69"/>
      <c r="V1767" s="69"/>
      <c r="W1767" s="69"/>
      <c r="X1767" s="69"/>
      <c r="Y1767" s="69"/>
      <c r="Z1767" s="69"/>
      <c r="AA1767" s="69"/>
      <c r="AB1767" s="69"/>
      <c r="AC1767" s="69"/>
      <c r="AD1767" s="69"/>
      <c r="AE1767" s="69"/>
    </row>
    <row r="1768" spans="1:31" ht="22.5" customHeight="1">
      <c r="A1768" s="69"/>
      <c r="B1768" s="69"/>
      <c r="C1768" s="69"/>
      <c r="D1768" s="69"/>
      <c r="E1768" s="185"/>
      <c r="F1768" s="69"/>
      <c r="G1768" s="185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  <c r="T1768" s="69"/>
      <c r="U1768" s="69"/>
      <c r="V1768" s="69"/>
      <c r="W1768" s="69"/>
      <c r="X1768" s="69"/>
      <c r="Y1768" s="69"/>
      <c r="Z1768" s="69"/>
      <c r="AA1768" s="69"/>
      <c r="AB1768" s="69"/>
      <c r="AC1768" s="69"/>
      <c r="AD1768" s="69"/>
      <c r="AE1768" s="69"/>
    </row>
    <row r="1769" spans="1:31" ht="22.5" customHeight="1">
      <c r="A1769" s="69"/>
      <c r="B1769" s="69"/>
      <c r="C1769" s="69"/>
      <c r="D1769" s="69"/>
      <c r="E1769" s="185"/>
      <c r="F1769" s="69"/>
      <c r="G1769" s="185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69"/>
      <c r="T1769" s="69"/>
      <c r="U1769" s="69"/>
      <c r="V1769" s="69"/>
      <c r="W1769" s="69"/>
      <c r="X1769" s="69"/>
      <c r="Y1769" s="69"/>
      <c r="Z1769" s="69"/>
      <c r="AA1769" s="69"/>
      <c r="AB1769" s="69"/>
      <c r="AC1769" s="69"/>
      <c r="AD1769" s="69"/>
      <c r="AE1769" s="69"/>
    </row>
    <row r="1770" spans="1:31" ht="22.5" customHeight="1">
      <c r="A1770" s="69"/>
      <c r="B1770" s="69"/>
      <c r="C1770" s="69"/>
      <c r="D1770" s="69"/>
      <c r="E1770" s="185"/>
      <c r="F1770" s="69"/>
      <c r="G1770" s="185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  <c r="T1770" s="69"/>
      <c r="U1770" s="69"/>
      <c r="V1770" s="69"/>
      <c r="W1770" s="69"/>
      <c r="X1770" s="69"/>
      <c r="Y1770" s="69"/>
      <c r="Z1770" s="69"/>
      <c r="AA1770" s="69"/>
      <c r="AB1770" s="69"/>
      <c r="AC1770" s="69"/>
      <c r="AD1770" s="69"/>
      <c r="AE1770" s="69"/>
    </row>
    <row r="1771" spans="1:31" ht="22.5" customHeight="1">
      <c r="A1771" s="69"/>
      <c r="B1771" s="69"/>
      <c r="C1771" s="69"/>
      <c r="D1771" s="69"/>
      <c r="E1771" s="185"/>
      <c r="F1771" s="69"/>
      <c r="G1771" s="185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69"/>
      <c r="T1771" s="69"/>
      <c r="U1771" s="69"/>
      <c r="V1771" s="69"/>
      <c r="W1771" s="69"/>
      <c r="X1771" s="69"/>
      <c r="Y1771" s="69"/>
      <c r="Z1771" s="69"/>
      <c r="AA1771" s="69"/>
      <c r="AB1771" s="69"/>
      <c r="AC1771" s="69"/>
      <c r="AD1771" s="69"/>
      <c r="AE1771" s="69"/>
    </row>
    <row r="1772" spans="1:31" ht="22.5" customHeight="1">
      <c r="A1772" s="69"/>
      <c r="B1772" s="69"/>
      <c r="C1772" s="69"/>
      <c r="D1772" s="69"/>
      <c r="E1772" s="185"/>
      <c r="F1772" s="69"/>
      <c r="G1772" s="185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  <c r="T1772" s="69"/>
      <c r="U1772" s="69"/>
      <c r="V1772" s="69"/>
      <c r="W1772" s="69"/>
      <c r="X1772" s="69"/>
      <c r="Y1772" s="69"/>
      <c r="Z1772" s="69"/>
      <c r="AA1772" s="69"/>
      <c r="AB1772" s="69"/>
      <c r="AC1772" s="69"/>
      <c r="AD1772" s="69"/>
      <c r="AE1772" s="69"/>
    </row>
    <row r="1773" spans="1:31" ht="22.5" customHeight="1">
      <c r="A1773" s="69"/>
      <c r="B1773" s="69"/>
      <c r="C1773" s="69"/>
      <c r="D1773" s="69"/>
      <c r="E1773" s="185"/>
      <c r="F1773" s="69"/>
      <c r="G1773" s="185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69"/>
      <c r="T1773" s="69"/>
      <c r="U1773" s="69"/>
      <c r="V1773" s="69"/>
      <c r="W1773" s="69"/>
      <c r="X1773" s="69"/>
      <c r="Y1773" s="69"/>
      <c r="Z1773" s="69"/>
      <c r="AA1773" s="69"/>
      <c r="AB1773" s="69"/>
      <c r="AC1773" s="69"/>
      <c r="AD1773" s="69"/>
      <c r="AE1773" s="69"/>
    </row>
    <row r="1774" spans="1:31" ht="22.5" customHeight="1">
      <c r="A1774" s="69"/>
      <c r="B1774" s="69"/>
      <c r="C1774" s="69"/>
      <c r="D1774" s="69"/>
      <c r="E1774" s="185"/>
      <c r="F1774" s="69"/>
      <c r="G1774" s="185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69"/>
      <c r="Z1774" s="69"/>
      <c r="AA1774" s="69"/>
      <c r="AB1774" s="69"/>
      <c r="AC1774" s="69"/>
      <c r="AD1774" s="69"/>
      <c r="AE1774" s="69"/>
    </row>
    <row r="1775" spans="1:31" ht="22.5" customHeight="1">
      <c r="A1775" s="69"/>
      <c r="B1775" s="69"/>
      <c r="C1775" s="69"/>
      <c r="D1775" s="69"/>
      <c r="E1775" s="185"/>
      <c r="F1775" s="69"/>
      <c r="G1775" s="185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69"/>
      <c r="T1775" s="69"/>
      <c r="U1775" s="69"/>
      <c r="V1775" s="69"/>
      <c r="W1775" s="69"/>
      <c r="X1775" s="69"/>
      <c r="Y1775" s="69"/>
      <c r="Z1775" s="69"/>
      <c r="AA1775" s="69"/>
      <c r="AB1775" s="69"/>
      <c r="AC1775" s="69"/>
      <c r="AD1775" s="69"/>
      <c r="AE1775" s="69"/>
    </row>
    <row r="1776" spans="1:31" ht="22.5" customHeight="1">
      <c r="A1776" s="69"/>
      <c r="B1776" s="69"/>
      <c r="C1776" s="69"/>
      <c r="D1776" s="69"/>
      <c r="E1776" s="185"/>
      <c r="F1776" s="69"/>
      <c r="G1776" s="185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  <c r="T1776" s="69"/>
      <c r="U1776" s="69"/>
      <c r="V1776" s="69"/>
      <c r="W1776" s="69"/>
      <c r="X1776" s="69"/>
      <c r="Y1776" s="69"/>
      <c r="Z1776" s="69"/>
      <c r="AA1776" s="69"/>
      <c r="AB1776" s="69"/>
      <c r="AC1776" s="69"/>
      <c r="AD1776" s="69"/>
      <c r="AE1776" s="69"/>
    </row>
    <row r="1777" spans="1:31" ht="22.5" customHeight="1">
      <c r="A1777" s="69"/>
      <c r="B1777" s="69"/>
      <c r="C1777" s="69"/>
      <c r="D1777" s="69"/>
      <c r="E1777" s="185"/>
      <c r="F1777" s="69"/>
      <c r="G1777" s="185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69"/>
      <c r="T1777" s="69"/>
      <c r="U1777" s="69"/>
      <c r="V1777" s="69"/>
      <c r="W1777" s="69"/>
      <c r="X1777" s="69"/>
      <c r="Y1777" s="69"/>
      <c r="Z1777" s="69"/>
      <c r="AA1777" s="69"/>
      <c r="AB1777" s="69"/>
      <c r="AC1777" s="69"/>
      <c r="AD1777" s="69"/>
      <c r="AE1777" s="69"/>
    </row>
    <row r="1778" spans="1:31" ht="22.5" customHeight="1">
      <c r="A1778" s="69"/>
      <c r="B1778" s="69"/>
      <c r="C1778" s="69"/>
      <c r="D1778" s="69"/>
      <c r="E1778" s="185"/>
      <c r="F1778" s="69"/>
      <c r="G1778" s="185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69"/>
      <c r="X1778" s="69"/>
      <c r="Y1778" s="69"/>
      <c r="Z1778" s="69"/>
      <c r="AA1778" s="69"/>
      <c r="AB1778" s="69"/>
      <c r="AC1778" s="69"/>
      <c r="AD1778" s="69"/>
      <c r="AE1778" s="69"/>
    </row>
    <row r="1779" spans="1:31" ht="22.5" customHeight="1">
      <c r="A1779" s="69"/>
      <c r="B1779" s="69"/>
      <c r="C1779" s="69"/>
      <c r="D1779" s="69"/>
      <c r="E1779" s="185"/>
      <c r="F1779" s="69"/>
      <c r="G1779" s="185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69"/>
      <c r="T1779" s="69"/>
      <c r="U1779" s="69"/>
      <c r="V1779" s="69"/>
      <c r="W1779" s="69"/>
      <c r="X1779" s="69"/>
      <c r="Y1779" s="69"/>
      <c r="Z1779" s="69"/>
      <c r="AA1779" s="69"/>
      <c r="AB1779" s="69"/>
      <c r="AC1779" s="69"/>
      <c r="AD1779" s="69"/>
      <c r="AE1779" s="69"/>
    </row>
    <row r="1780" spans="1:31" ht="22.5" customHeight="1">
      <c r="A1780" s="69"/>
      <c r="B1780" s="69"/>
      <c r="C1780" s="69"/>
      <c r="D1780" s="69"/>
      <c r="E1780" s="185"/>
      <c r="F1780" s="69"/>
      <c r="G1780" s="185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  <c r="T1780" s="69"/>
      <c r="U1780" s="69"/>
      <c r="V1780" s="69"/>
      <c r="W1780" s="69"/>
      <c r="X1780" s="69"/>
      <c r="Y1780" s="69"/>
      <c r="Z1780" s="69"/>
      <c r="AA1780" s="69"/>
      <c r="AB1780" s="69"/>
      <c r="AC1780" s="69"/>
      <c r="AD1780" s="69"/>
      <c r="AE1780" s="69"/>
    </row>
    <row r="1781" spans="1:31" ht="22.5" customHeight="1">
      <c r="A1781" s="69"/>
      <c r="B1781" s="69"/>
      <c r="C1781" s="69"/>
      <c r="D1781" s="69"/>
      <c r="E1781" s="185"/>
      <c r="F1781" s="69"/>
      <c r="G1781" s="185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69"/>
      <c r="T1781" s="69"/>
      <c r="U1781" s="69"/>
      <c r="V1781" s="69"/>
      <c r="W1781" s="69"/>
      <c r="X1781" s="69"/>
      <c r="Y1781" s="69"/>
      <c r="Z1781" s="69"/>
      <c r="AA1781" s="69"/>
      <c r="AB1781" s="69"/>
      <c r="AC1781" s="69"/>
      <c r="AD1781" s="69"/>
      <c r="AE1781" s="69"/>
    </row>
    <row r="1782" spans="1:31" ht="22.5" customHeight="1">
      <c r="A1782" s="69"/>
      <c r="B1782" s="69"/>
      <c r="C1782" s="69"/>
      <c r="D1782" s="69"/>
      <c r="E1782" s="185"/>
      <c r="F1782" s="69"/>
      <c r="G1782" s="185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  <c r="T1782" s="69"/>
      <c r="U1782" s="69"/>
      <c r="V1782" s="69"/>
      <c r="W1782" s="69"/>
      <c r="X1782" s="69"/>
      <c r="Y1782" s="69"/>
      <c r="Z1782" s="69"/>
      <c r="AA1782" s="69"/>
      <c r="AB1782" s="69"/>
      <c r="AC1782" s="69"/>
      <c r="AD1782" s="69"/>
      <c r="AE1782" s="69"/>
    </row>
    <row r="1783" spans="1:31" ht="22.5" customHeight="1">
      <c r="A1783" s="69"/>
      <c r="B1783" s="69"/>
      <c r="C1783" s="69"/>
      <c r="D1783" s="69"/>
      <c r="E1783" s="185"/>
      <c r="F1783" s="69"/>
      <c r="G1783" s="185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69"/>
      <c r="T1783" s="69"/>
      <c r="U1783" s="69"/>
      <c r="V1783" s="69"/>
      <c r="W1783" s="69"/>
      <c r="X1783" s="69"/>
      <c r="Y1783" s="69"/>
      <c r="Z1783" s="69"/>
      <c r="AA1783" s="69"/>
      <c r="AB1783" s="69"/>
      <c r="AC1783" s="69"/>
      <c r="AD1783" s="69"/>
      <c r="AE1783" s="69"/>
    </row>
    <row r="1784" spans="1:31" ht="22.5" customHeight="1">
      <c r="A1784" s="69"/>
      <c r="B1784" s="69"/>
      <c r="C1784" s="69"/>
      <c r="D1784" s="69"/>
      <c r="E1784" s="185"/>
      <c r="F1784" s="69"/>
      <c r="G1784" s="185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  <c r="T1784" s="69"/>
      <c r="U1784" s="69"/>
      <c r="V1784" s="69"/>
      <c r="W1784" s="69"/>
      <c r="X1784" s="69"/>
      <c r="Y1784" s="69"/>
      <c r="Z1784" s="69"/>
      <c r="AA1784" s="69"/>
      <c r="AB1784" s="69"/>
      <c r="AC1784" s="69"/>
      <c r="AD1784" s="69"/>
      <c r="AE1784" s="69"/>
    </row>
    <row r="1785" spans="1:31" ht="22.5" customHeight="1">
      <c r="A1785" s="69"/>
      <c r="B1785" s="69"/>
      <c r="C1785" s="69"/>
      <c r="D1785" s="69"/>
      <c r="E1785" s="185"/>
      <c r="F1785" s="69"/>
      <c r="G1785" s="185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69"/>
      <c r="T1785" s="69"/>
      <c r="U1785" s="69"/>
      <c r="V1785" s="69"/>
      <c r="W1785" s="69"/>
      <c r="X1785" s="69"/>
      <c r="Y1785" s="69"/>
      <c r="Z1785" s="69"/>
      <c r="AA1785" s="69"/>
      <c r="AB1785" s="69"/>
      <c r="AC1785" s="69"/>
      <c r="AD1785" s="69"/>
      <c r="AE1785" s="69"/>
    </row>
    <row r="1786" spans="1:31" ht="22.5" customHeight="1">
      <c r="A1786" s="69"/>
      <c r="B1786" s="69"/>
      <c r="C1786" s="69"/>
      <c r="D1786" s="69"/>
      <c r="E1786" s="185"/>
      <c r="F1786" s="69"/>
      <c r="G1786" s="185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  <c r="T1786" s="69"/>
      <c r="U1786" s="69"/>
      <c r="V1786" s="69"/>
      <c r="W1786" s="69"/>
      <c r="X1786" s="69"/>
      <c r="Y1786" s="69"/>
      <c r="Z1786" s="69"/>
      <c r="AA1786" s="69"/>
      <c r="AB1786" s="69"/>
      <c r="AC1786" s="69"/>
      <c r="AD1786" s="69"/>
      <c r="AE1786" s="69"/>
    </row>
    <row r="1787" spans="1:31" ht="22.5" customHeight="1">
      <c r="A1787" s="69"/>
      <c r="B1787" s="69"/>
      <c r="C1787" s="69"/>
      <c r="D1787" s="69"/>
      <c r="E1787" s="185"/>
      <c r="F1787" s="69"/>
      <c r="G1787" s="185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69"/>
      <c r="T1787" s="69"/>
      <c r="U1787" s="69"/>
      <c r="V1787" s="69"/>
      <c r="W1787" s="69"/>
      <c r="X1787" s="69"/>
      <c r="Y1787" s="69"/>
      <c r="Z1787" s="69"/>
      <c r="AA1787" s="69"/>
      <c r="AB1787" s="69"/>
      <c r="AC1787" s="69"/>
      <c r="AD1787" s="69"/>
      <c r="AE1787" s="69"/>
    </row>
    <row r="1788" spans="1:31" ht="22.5" customHeight="1">
      <c r="A1788" s="69"/>
      <c r="B1788" s="69"/>
      <c r="C1788" s="69"/>
      <c r="D1788" s="69"/>
      <c r="E1788" s="185"/>
      <c r="F1788" s="69"/>
      <c r="G1788" s="185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  <c r="T1788" s="69"/>
      <c r="U1788" s="69"/>
      <c r="V1788" s="69"/>
      <c r="W1788" s="69"/>
      <c r="X1788" s="69"/>
      <c r="Y1788" s="69"/>
      <c r="Z1788" s="69"/>
      <c r="AA1788" s="69"/>
      <c r="AB1788" s="69"/>
      <c r="AC1788" s="69"/>
      <c r="AD1788" s="69"/>
      <c r="AE1788" s="69"/>
    </row>
    <row r="1789" spans="1:31" ht="22.5" customHeight="1">
      <c r="A1789" s="69"/>
      <c r="B1789" s="69"/>
      <c r="C1789" s="69"/>
      <c r="D1789" s="69"/>
      <c r="E1789" s="185"/>
      <c r="F1789" s="69"/>
      <c r="G1789" s="185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69"/>
      <c r="T1789" s="69"/>
      <c r="U1789" s="69"/>
      <c r="V1789" s="69"/>
      <c r="W1789" s="69"/>
      <c r="X1789" s="69"/>
      <c r="Y1789" s="69"/>
      <c r="Z1789" s="69"/>
      <c r="AA1789" s="69"/>
      <c r="AB1789" s="69"/>
      <c r="AC1789" s="69"/>
      <c r="AD1789" s="69"/>
      <c r="AE1789" s="69"/>
    </row>
    <row r="1790" spans="1:31" ht="22.5" customHeight="1">
      <c r="A1790" s="69"/>
      <c r="B1790" s="69"/>
      <c r="C1790" s="69"/>
      <c r="D1790" s="69"/>
      <c r="E1790" s="185"/>
      <c r="F1790" s="69"/>
      <c r="G1790" s="185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  <c r="T1790" s="69"/>
      <c r="U1790" s="69"/>
      <c r="V1790" s="69"/>
      <c r="W1790" s="69"/>
      <c r="X1790" s="69"/>
      <c r="Y1790" s="69"/>
      <c r="Z1790" s="69"/>
      <c r="AA1790" s="69"/>
      <c r="AB1790" s="69"/>
      <c r="AC1790" s="69"/>
      <c r="AD1790" s="69"/>
      <c r="AE1790" s="69"/>
    </row>
    <row r="1791" spans="1:31" ht="22.5" customHeight="1">
      <c r="A1791" s="69"/>
      <c r="B1791" s="69"/>
      <c r="C1791" s="69"/>
      <c r="D1791" s="69"/>
      <c r="E1791" s="185"/>
      <c r="F1791" s="69"/>
      <c r="G1791" s="185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69"/>
      <c r="T1791" s="69"/>
      <c r="U1791" s="69"/>
      <c r="V1791" s="69"/>
      <c r="W1791" s="69"/>
      <c r="X1791" s="69"/>
      <c r="Y1791" s="69"/>
      <c r="Z1791" s="69"/>
      <c r="AA1791" s="69"/>
      <c r="AB1791" s="69"/>
      <c r="AC1791" s="69"/>
      <c r="AD1791" s="69"/>
      <c r="AE1791" s="69"/>
    </row>
    <row r="1792" spans="1:31" ht="22.5" customHeight="1">
      <c r="A1792" s="69"/>
      <c r="B1792" s="69"/>
      <c r="C1792" s="69"/>
      <c r="D1792" s="69"/>
      <c r="E1792" s="185"/>
      <c r="F1792" s="69"/>
      <c r="G1792" s="185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  <c r="T1792" s="69"/>
      <c r="U1792" s="69"/>
      <c r="V1792" s="69"/>
      <c r="W1792" s="69"/>
      <c r="X1792" s="69"/>
      <c r="Y1792" s="69"/>
      <c r="Z1792" s="69"/>
      <c r="AA1792" s="69"/>
      <c r="AB1792" s="69"/>
      <c r="AC1792" s="69"/>
      <c r="AD1792" s="69"/>
      <c r="AE1792" s="69"/>
    </row>
    <row r="1793" spans="1:31" ht="22.5" customHeight="1">
      <c r="A1793" s="69"/>
      <c r="B1793" s="69"/>
      <c r="C1793" s="69"/>
      <c r="D1793" s="69"/>
      <c r="E1793" s="185"/>
      <c r="F1793" s="69"/>
      <c r="G1793" s="185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69"/>
      <c r="T1793" s="69"/>
      <c r="U1793" s="69"/>
      <c r="V1793" s="69"/>
      <c r="W1793" s="69"/>
      <c r="X1793" s="69"/>
      <c r="Y1793" s="69"/>
      <c r="Z1793" s="69"/>
      <c r="AA1793" s="69"/>
      <c r="AB1793" s="69"/>
      <c r="AC1793" s="69"/>
      <c r="AD1793" s="69"/>
      <c r="AE1793" s="69"/>
    </row>
    <row r="1794" spans="1:31" ht="22.5" customHeight="1">
      <c r="A1794" s="69"/>
      <c r="B1794" s="69"/>
      <c r="C1794" s="69"/>
      <c r="D1794" s="69"/>
      <c r="E1794" s="185"/>
      <c r="F1794" s="69"/>
      <c r="G1794" s="185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  <c r="T1794" s="69"/>
      <c r="U1794" s="69"/>
      <c r="V1794" s="69"/>
      <c r="W1794" s="69"/>
      <c r="X1794" s="69"/>
      <c r="Y1794" s="69"/>
      <c r="Z1794" s="69"/>
      <c r="AA1794" s="69"/>
      <c r="AB1794" s="69"/>
      <c r="AC1794" s="69"/>
      <c r="AD1794" s="69"/>
      <c r="AE1794" s="69"/>
    </row>
    <row r="1795" spans="1:31" ht="22.5" customHeight="1">
      <c r="A1795" s="69"/>
      <c r="B1795" s="69"/>
      <c r="C1795" s="69"/>
      <c r="D1795" s="69"/>
      <c r="E1795" s="185"/>
      <c r="F1795" s="69"/>
      <c r="G1795" s="185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69"/>
      <c r="T1795" s="69"/>
      <c r="U1795" s="69"/>
      <c r="V1795" s="69"/>
      <c r="W1795" s="69"/>
      <c r="X1795" s="69"/>
      <c r="Y1795" s="69"/>
      <c r="Z1795" s="69"/>
      <c r="AA1795" s="69"/>
      <c r="AB1795" s="69"/>
      <c r="AC1795" s="69"/>
      <c r="AD1795" s="69"/>
      <c r="AE1795" s="69"/>
    </row>
    <row r="1796" spans="1:31" ht="22.5" customHeight="1">
      <c r="A1796" s="69"/>
      <c r="B1796" s="69"/>
      <c r="C1796" s="69"/>
      <c r="D1796" s="69"/>
      <c r="E1796" s="185"/>
      <c r="F1796" s="69"/>
      <c r="G1796" s="185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69"/>
      <c r="X1796" s="69"/>
      <c r="Y1796" s="69"/>
      <c r="Z1796" s="69"/>
      <c r="AA1796" s="69"/>
      <c r="AB1796" s="69"/>
      <c r="AC1796" s="69"/>
      <c r="AD1796" s="69"/>
      <c r="AE1796" s="69"/>
    </row>
    <row r="1797" spans="1:31" ht="22.5" customHeight="1">
      <c r="A1797" s="69"/>
      <c r="B1797" s="69"/>
      <c r="C1797" s="69"/>
      <c r="D1797" s="69"/>
      <c r="E1797" s="185"/>
      <c r="F1797" s="69"/>
      <c r="G1797" s="185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69"/>
      <c r="T1797" s="69"/>
      <c r="U1797" s="69"/>
      <c r="V1797" s="69"/>
      <c r="W1797" s="69"/>
      <c r="X1797" s="69"/>
      <c r="Y1797" s="69"/>
      <c r="Z1797" s="69"/>
      <c r="AA1797" s="69"/>
      <c r="AB1797" s="69"/>
      <c r="AC1797" s="69"/>
      <c r="AD1797" s="69"/>
      <c r="AE1797" s="69"/>
    </row>
    <row r="1798" spans="1:31" ht="22.5" customHeight="1">
      <c r="A1798" s="69"/>
      <c r="B1798" s="69"/>
      <c r="C1798" s="69"/>
      <c r="D1798" s="69"/>
      <c r="E1798" s="185"/>
      <c r="F1798" s="69"/>
      <c r="G1798" s="185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  <c r="T1798" s="69"/>
      <c r="U1798" s="69"/>
      <c r="V1798" s="69"/>
      <c r="W1798" s="69"/>
      <c r="X1798" s="69"/>
      <c r="Y1798" s="69"/>
      <c r="Z1798" s="69"/>
      <c r="AA1798" s="69"/>
      <c r="AB1798" s="69"/>
      <c r="AC1798" s="69"/>
      <c r="AD1798" s="69"/>
      <c r="AE1798" s="69"/>
    </row>
    <row r="1799" spans="1:31" ht="22.5" customHeight="1">
      <c r="A1799" s="69"/>
      <c r="B1799" s="69"/>
      <c r="C1799" s="69"/>
      <c r="D1799" s="69"/>
      <c r="E1799" s="185"/>
      <c r="F1799" s="69"/>
      <c r="G1799" s="185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69"/>
      <c r="T1799" s="69"/>
      <c r="U1799" s="69"/>
      <c r="V1799" s="69"/>
      <c r="W1799" s="69"/>
      <c r="X1799" s="69"/>
      <c r="Y1799" s="69"/>
      <c r="Z1799" s="69"/>
      <c r="AA1799" s="69"/>
      <c r="AB1799" s="69"/>
      <c r="AC1799" s="69"/>
      <c r="AD1799" s="69"/>
      <c r="AE1799" s="69"/>
    </row>
    <row r="1800" spans="1:31" ht="22.5" customHeight="1">
      <c r="A1800" s="69"/>
      <c r="B1800" s="69"/>
      <c r="C1800" s="69"/>
      <c r="D1800" s="69"/>
      <c r="E1800" s="185"/>
      <c r="F1800" s="69"/>
      <c r="G1800" s="185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  <c r="T1800" s="69"/>
      <c r="U1800" s="69"/>
      <c r="V1800" s="69"/>
      <c r="W1800" s="69"/>
      <c r="X1800" s="69"/>
      <c r="Y1800" s="69"/>
      <c r="Z1800" s="69"/>
      <c r="AA1800" s="69"/>
      <c r="AB1800" s="69"/>
      <c r="AC1800" s="69"/>
      <c r="AD1800" s="69"/>
      <c r="AE1800" s="69"/>
    </row>
    <row r="1801" spans="1:31" ht="22.5" customHeight="1">
      <c r="A1801" s="69"/>
      <c r="B1801" s="69"/>
      <c r="C1801" s="69"/>
      <c r="D1801" s="69"/>
      <c r="E1801" s="185"/>
      <c r="F1801" s="69"/>
      <c r="G1801" s="185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69"/>
      <c r="T1801" s="69"/>
      <c r="U1801" s="69"/>
      <c r="V1801" s="69"/>
      <c r="W1801" s="69"/>
      <c r="X1801" s="69"/>
      <c r="Y1801" s="69"/>
      <c r="Z1801" s="69"/>
      <c r="AA1801" s="69"/>
      <c r="AB1801" s="69"/>
      <c r="AC1801" s="69"/>
      <c r="AD1801" s="69"/>
      <c r="AE1801" s="69"/>
    </row>
    <row r="1802" spans="1:31" ht="22.5" customHeight="1">
      <c r="A1802" s="69"/>
      <c r="B1802" s="69"/>
      <c r="C1802" s="69"/>
      <c r="D1802" s="69"/>
      <c r="E1802" s="185"/>
      <c r="F1802" s="69"/>
      <c r="G1802" s="185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  <c r="T1802" s="69"/>
      <c r="U1802" s="69"/>
      <c r="V1802" s="69"/>
      <c r="W1802" s="69"/>
      <c r="X1802" s="69"/>
      <c r="Y1802" s="69"/>
      <c r="Z1802" s="69"/>
      <c r="AA1802" s="69"/>
      <c r="AB1802" s="69"/>
      <c r="AC1802" s="69"/>
      <c r="AD1802" s="69"/>
      <c r="AE1802" s="69"/>
    </row>
    <row r="1803" spans="1:31" ht="22.5" customHeight="1">
      <c r="A1803" s="69"/>
      <c r="B1803" s="69"/>
      <c r="C1803" s="69"/>
      <c r="D1803" s="69"/>
      <c r="E1803" s="185"/>
      <c r="F1803" s="69"/>
      <c r="G1803" s="185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  <c r="AA1803" s="69"/>
      <c r="AB1803" s="69"/>
      <c r="AC1803" s="69"/>
      <c r="AD1803" s="69"/>
      <c r="AE1803" s="69"/>
    </row>
    <row r="1804" spans="1:31" ht="22.5" customHeight="1">
      <c r="A1804" s="69"/>
      <c r="B1804" s="69"/>
      <c r="C1804" s="69"/>
      <c r="D1804" s="69"/>
      <c r="E1804" s="185"/>
      <c r="F1804" s="69"/>
      <c r="G1804" s="185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  <c r="T1804" s="69"/>
      <c r="U1804" s="69"/>
      <c r="V1804" s="69"/>
      <c r="W1804" s="69"/>
      <c r="X1804" s="69"/>
      <c r="Y1804" s="69"/>
      <c r="Z1804" s="69"/>
      <c r="AA1804" s="69"/>
      <c r="AB1804" s="69"/>
      <c r="AC1804" s="69"/>
      <c r="AD1804" s="69"/>
      <c r="AE1804" s="69"/>
    </row>
    <row r="1805" spans="1:31" ht="22.5" customHeight="1">
      <c r="A1805" s="69"/>
      <c r="B1805" s="69"/>
      <c r="C1805" s="69"/>
      <c r="D1805" s="69"/>
      <c r="E1805" s="185"/>
      <c r="F1805" s="69"/>
      <c r="G1805" s="185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69"/>
      <c r="T1805" s="69"/>
      <c r="U1805" s="69"/>
      <c r="V1805" s="69"/>
      <c r="W1805" s="69"/>
      <c r="X1805" s="69"/>
      <c r="Y1805" s="69"/>
      <c r="Z1805" s="69"/>
      <c r="AA1805" s="69"/>
      <c r="AB1805" s="69"/>
      <c r="AC1805" s="69"/>
      <c r="AD1805" s="69"/>
      <c r="AE1805" s="69"/>
    </row>
    <row r="1806" spans="1:31" ht="22.5" customHeight="1">
      <c r="A1806" s="69"/>
      <c r="B1806" s="69"/>
      <c r="C1806" s="69"/>
      <c r="D1806" s="69"/>
      <c r="E1806" s="185"/>
      <c r="F1806" s="69"/>
      <c r="G1806" s="185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  <c r="T1806" s="69"/>
      <c r="U1806" s="69"/>
      <c r="V1806" s="69"/>
      <c r="W1806" s="69"/>
      <c r="X1806" s="69"/>
      <c r="Y1806" s="69"/>
      <c r="Z1806" s="69"/>
      <c r="AA1806" s="69"/>
      <c r="AB1806" s="69"/>
      <c r="AC1806" s="69"/>
      <c r="AD1806" s="69"/>
      <c r="AE1806" s="69"/>
    </row>
    <row r="1807" spans="1:31" ht="22.5" customHeight="1">
      <c r="A1807" s="69"/>
      <c r="B1807" s="69"/>
      <c r="C1807" s="69"/>
      <c r="D1807" s="69"/>
      <c r="E1807" s="185"/>
      <c r="F1807" s="69"/>
      <c r="G1807" s="185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69"/>
      <c r="T1807" s="69"/>
      <c r="U1807" s="69"/>
      <c r="V1807" s="69"/>
      <c r="W1807" s="69"/>
      <c r="X1807" s="69"/>
      <c r="Y1807" s="69"/>
      <c r="Z1807" s="69"/>
      <c r="AA1807" s="69"/>
      <c r="AB1807" s="69"/>
      <c r="AC1807" s="69"/>
      <c r="AD1807" s="69"/>
      <c r="AE1807" s="69"/>
    </row>
    <row r="1808" spans="1:31" ht="22.5" customHeight="1">
      <c r="A1808" s="69"/>
      <c r="B1808" s="69"/>
      <c r="C1808" s="69"/>
      <c r="D1808" s="69"/>
      <c r="E1808" s="185"/>
      <c r="F1808" s="69"/>
      <c r="G1808" s="185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  <c r="T1808" s="69"/>
      <c r="U1808" s="69"/>
      <c r="V1808" s="69"/>
      <c r="W1808" s="69"/>
      <c r="X1808" s="69"/>
      <c r="Y1808" s="69"/>
      <c r="Z1808" s="69"/>
      <c r="AA1808" s="69"/>
      <c r="AB1808" s="69"/>
      <c r="AC1808" s="69"/>
      <c r="AD1808" s="69"/>
      <c r="AE1808" s="69"/>
    </row>
    <row r="1809" spans="1:31" ht="22.5" customHeight="1">
      <c r="A1809" s="69"/>
      <c r="B1809" s="69"/>
      <c r="C1809" s="69"/>
      <c r="D1809" s="69"/>
      <c r="E1809" s="185"/>
      <c r="F1809" s="69"/>
      <c r="G1809" s="185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69"/>
      <c r="T1809" s="69"/>
      <c r="U1809" s="69"/>
      <c r="V1809" s="69"/>
      <c r="W1809" s="69"/>
      <c r="X1809" s="69"/>
      <c r="Y1809" s="69"/>
      <c r="Z1809" s="69"/>
      <c r="AA1809" s="69"/>
      <c r="AB1809" s="69"/>
      <c r="AC1809" s="69"/>
      <c r="AD1809" s="69"/>
      <c r="AE1809" s="69"/>
    </row>
    <row r="1810" spans="1:31" ht="22.5" customHeight="1">
      <c r="A1810" s="69"/>
      <c r="B1810" s="69"/>
      <c r="C1810" s="69"/>
      <c r="D1810" s="69"/>
      <c r="E1810" s="185"/>
      <c r="F1810" s="69"/>
      <c r="G1810" s="185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  <c r="T1810" s="69"/>
      <c r="U1810" s="69"/>
      <c r="V1810" s="69"/>
      <c r="W1810" s="69"/>
      <c r="X1810" s="69"/>
      <c r="Y1810" s="69"/>
      <c r="Z1810" s="69"/>
      <c r="AA1810" s="69"/>
      <c r="AB1810" s="69"/>
      <c r="AC1810" s="69"/>
      <c r="AD1810" s="69"/>
      <c r="AE1810" s="69"/>
    </row>
    <row r="1811" spans="1:31" ht="22.5" customHeight="1">
      <c r="A1811" s="69"/>
      <c r="B1811" s="69"/>
      <c r="C1811" s="69"/>
      <c r="D1811" s="69"/>
      <c r="E1811" s="185"/>
      <c r="F1811" s="69"/>
      <c r="G1811" s="185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69"/>
      <c r="T1811" s="69"/>
      <c r="U1811" s="69"/>
      <c r="V1811" s="69"/>
      <c r="W1811" s="69"/>
      <c r="X1811" s="69"/>
      <c r="Y1811" s="69"/>
      <c r="Z1811" s="69"/>
      <c r="AA1811" s="69"/>
      <c r="AB1811" s="69"/>
      <c r="AC1811" s="69"/>
      <c r="AD1811" s="69"/>
      <c r="AE1811" s="69"/>
    </row>
    <row r="1812" spans="1:31" ht="22.5" customHeight="1">
      <c r="A1812" s="69"/>
      <c r="B1812" s="69"/>
      <c r="C1812" s="69"/>
      <c r="D1812" s="69"/>
      <c r="E1812" s="185"/>
      <c r="F1812" s="69"/>
      <c r="G1812" s="185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  <c r="T1812" s="69"/>
      <c r="U1812" s="69"/>
      <c r="V1812" s="69"/>
      <c r="W1812" s="69"/>
      <c r="X1812" s="69"/>
      <c r="Y1812" s="69"/>
      <c r="Z1812" s="69"/>
      <c r="AA1812" s="69"/>
      <c r="AB1812" s="69"/>
      <c r="AC1812" s="69"/>
      <c r="AD1812" s="69"/>
      <c r="AE1812" s="69"/>
    </row>
    <row r="1813" spans="1:31" ht="22.5" customHeight="1">
      <c r="A1813" s="69"/>
      <c r="B1813" s="69"/>
      <c r="C1813" s="69"/>
      <c r="D1813" s="69"/>
      <c r="E1813" s="185"/>
      <c r="F1813" s="69"/>
      <c r="G1813" s="185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69"/>
      <c r="T1813" s="69"/>
      <c r="U1813" s="69"/>
      <c r="V1813" s="69"/>
      <c r="W1813" s="69"/>
      <c r="X1813" s="69"/>
      <c r="Y1813" s="69"/>
      <c r="Z1813" s="69"/>
      <c r="AA1813" s="69"/>
      <c r="AB1813" s="69"/>
      <c r="AC1813" s="69"/>
      <c r="AD1813" s="69"/>
      <c r="AE1813" s="69"/>
    </row>
    <row r="1814" spans="1:31" ht="22.5" customHeight="1">
      <c r="A1814" s="69"/>
      <c r="B1814" s="69"/>
      <c r="C1814" s="69"/>
      <c r="D1814" s="69"/>
      <c r="E1814" s="185"/>
      <c r="F1814" s="69"/>
      <c r="G1814" s="185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69"/>
      <c r="X1814" s="69"/>
      <c r="Y1814" s="69"/>
      <c r="Z1814" s="69"/>
      <c r="AA1814" s="69"/>
      <c r="AB1814" s="69"/>
      <c r="AC1814" s="69"/>
      <c r="AD1814" s="69"/>
      <c r="AE1814" s="69"/>
    </row>
    <row r="1815" spans="1:31" ht="22.5" customHeight="1">
      <c r="A1815" s="69"/>
      <c r="B1815" s="69"/>
      <c r="C1815" s="69"/>
      <c r="D1815" s="69"/>
      <c r="E1815" s="185"/>
      <c r="F1815" s="69"/>
      <c r="G1815" s="185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69"/>
      <c r="T1815" s="69"/>
      <c r="U1815" s="69"/>
      <c r="V1815" s="69"/>
      <c r="W1815" s="69"/>
      <c r="X1815" s="69"/>
      <c r="Y1815" s="69"/>
      <c r="Z1815" s="69"/>
      <c r="AA1815" s="69"/>
      <c r="AB1815" s="69"/>
      <c r="AC1815" s="69"/>
      <c r="AD1815" s="69"/>
      <c r="AE1815" s="69"/>
    </row>
    <row r="1816" spans="1:31" ht="22.5" customHeight="1">
      <c r="A1816" s="69"/>
      <c r="B1816" s="69"/>
      <c r="C1816" s="69"/>
      <c r="D1816" s="69"/>
      <c r="E1816" s="185"/>
      <c r="F1816" s="69"/>
      <c r="G1816" s="185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  <c r="T1816" s="69"/>
      <c r="U1816" s="69"/>
      <c r="V1816" s="69"/>
      <c r="W1816" s="69"/>
      <c r="X1816" s="69"/>
      <c r="Y1816" s="69"/>
      <c r="Z1816" s="69"/>
      <c r="AA1816" s="69"/>
      <c r="AB1816" s="69"/>
      <c r="AC1816" s="69"/>
      <c r="AD1816" s="69"/>
      <c r="AE1816" s="69"/>
    </row>
    <row r="1817" spans="1:31" ht="22.5" customHeight="1">
      <c r="A1817" s="69"/>
      <c r="B1817" s="69"/>
      <c r="C1817" s="69"/>
      <c r="D1817" s="69"/>
      <c r="E1817" s="185"/>
      <c r="F1817" s="69"/>
      <c r="G1817" s="185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69"/>
      <c r="T1817" s="69"/>
      <c r="U1817" s="69"/>
      <c r="V1817" s="69"/>
      <c r="W1817" s="69"/>
      <c r="X1817" s="69"/>
      <c r="Y1817" s="69"/>
      <c r="Z1817" s="69"/>
      <c r="AA1817" s="69"/>
      <c r="AB1817" s="69"/>
      <c r="AC1817" s="69"/>
      <c r="AD1817" s="69"/>
      <c r="AE1817" s="69"/>
    </row>
    <row r="1818" spans="1:31" ht="22.5" customHeight="1">
      <c r="A1818" s="69"/>
      <c r="B1818" s="69"/>
      <c r="C1818" s="69"/>
      <c r="D1818" s="69"/>
      <c r="E1818" s="185"/>
      <c r="F1818" s="69"/>
      <c r="G1818" s="185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  <c r="T1818" s="69"/>
      <c r="U1818" s="69"/>
      <c r="V1818" s="69"/>
      <c r="W1818" s="69"/>
      <c r="X1818" s="69"/>
      <c r="Y1818" s="69"/>
      <c r="Z1818" s="69"/>
      <c r="AA1818" s="69"/>
      <c r="AB1818" s="69"/>
      <c r="AC1818" s="69"/>
      <c r="AD1818" s="69"/>
      <c r="AE1818" s="69"/>
    </row>
    <row r="1819" spans="1:31" ht="22.5" customHeight="1">
      <c r="A1819" s="69"/>
      <c r="B1819" s="69"/>
      <c r="C1819" s="69"/>
      <c r="D1819" s="69"/>
      <c r="E1819" s="185"/>
      <c r="F1819" s="69"/>
      <c r="G1819" s="185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69"/>
      <c r="T1819" s="69"/>
      <c r="U1819" s="69"/>
      <c r="V1819" s="69"/>
      <c r="W1819" s="69"/>
      <c r="X1819" s="69"/>
      <c r="Y1819" s="69"/>
      <c r="Z1819" s="69"/>
      <c r="AA1819" s="69"/>
      <c r="AB1819" s="69"/>
      <c r="AC1819" s="69"/>
      <c r="AD1819" s="69"/>
      <c r="AE1819" s="69"/>
    </row>
    <row r="1820" spans="1:31" ht="22.5" customHeight="1">
      <c r="A1820" s="69"/>
      <c r="B1820" s="69"/>
      <c r="C1820" s="69"/>
      <c r="D1820" s="69"/>
      <c r="E1820" s="185"/>
      <c r="F1820" s="69"/>
      <c r="G1820" s="185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  <c r="T1820" s="69"/>
      <c r="U1820" s="69"/>
      <c r="V1820" s="69"/>
      <c r="W1820" s="69"/>
      <c r="X1820" s="69"/>
      <c r="Y1820" s="69"/>
      <c r="Z1820" s="69"/>
      <c r="AA1820" s="69"/>
      <c r="AB1820" s="69"/>
      <c r="AC1820" s="69"/>
      <c r="AD1820" s="69"/>
      <c r="AE1820" s="69"/>
    </row>
    <row r="1821" spans="1:31" ht="22.5" customHeight="1">
      <c r="A1821" s="69"/>
      <c r="B1821" s="69"/>
      <c r="C1821" s="69"/>
      <c r="D1821" s="69"/>
      <c r="E1821" s="185"/>
      <c r="F1821" s="69"/>
      <c r="G1821" s="185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69"/>
      <c r="T1821" s="69"/>
      <c r="U1821" s="69"/>
      <c r="V1821" s="69"/>
      <c r="W1821" s="69"/>
      <c r="X1821" s="69"/>
      <c r="Y1821" s="69"/>
      <c r="Z1821" s="69"/>
      <c r="AA1821" s="69"/>
      <c r="AB1821" s="69"/>
      <c r="AC1821" s="69"/>
      <c r="AD1821" s="69"/>
      <c r="AE1821" s="69"/>
    </row>
    <row r="1822" spans="1:31" ht="22.5" customHeight="1">
      <c r="A1822" s="69"/>
      <c r="B1822" s="69"/>
      <c r="C1822" s="69"/>
      <c r="D1822" s="69"/>
      <c r="E1822" s="185"/>
      <c r="F1822" s="69"/>
      <c r="G1822" s="185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  <c r="T1822" s="69"/>
      <c r="U1822" s="69"/>
      <c r="V1822" s="69"/>
      <c r="W1822" s="69"/>
      <c r="X1822" s="69"/>
      <c r="Y1822" s="69"/>
      <c r="Z1822" s="69"/>
      <c r="AA1822" s="69"/>
      <c r="AB1822" s="69"/>
      <c r="AC1822" s="69"/>
      <c r="AD1822" s="69"/>
      <c r="AE1822" s="69"/>
    </row>
    <row r="1823" spans="1:31" ht="22.5" customHeight="1">
      <c r="A1823" s="69"/>
      <c r="B1823" s="69"/>
      <c r="C1823" s="69"/>
      <c r="D1823" s="69"/>
      <c r="E1823" s="185"/>
      <c r="F1823" s="69"/>
      <c r="G1823" s="185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69"/>
      <c r="T1823" s="69"/>
      <c r="U1823" s="69"/>
      <c r="V1823" s="69"/>
      <c r="W1823" s="69"/>
      <c r="X1823" s="69"/>
      <c r="Y1823" s="69"/>
      <c r="Z1823" s="69"/>
      <c r="AA1823" s="69"/>
      <c r="AB1823" s="69"/>
      <c r="AC1823" s="69"/>
      <c r="AD1823" s="69"/>
      <c r="AE1823" s="69"/>
    </row>
    <row r="1824" spans="1:31" ht="22.5" customHeight="1">
      <c r="A1824" s="69"/>
      <c r="B1824" s="69"/>
      <c r="C1824" s="69"/>
      <c r="D1824" s="69"/>
      <c r="E1824" s="185"/>
      <c r="F1824" s="69"/>
      <c r="G1824" s="185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  <c r="T1824" s="69"/>
      <c r="U1824" s="69"/>
      <c r="V1824" s="69"/>
      <c r="W1824" s="69"/>
      <c r="X1824" s="69"/>
      <c r="Y1824" s="69"/>
      <c r="Z1824" s="69"/>
      <c r="AA1824" s="69"/>
      <c r="AB1824" s="69"/>
      <c r="AC1824" s="69"/>
      <c r="AD1824" s="69"/>
      <c r="AE1824" s="69"/>
    </row>
    <row r="1825" spans="1:31" ht="22.5" customHeight="1">
      <c r="A1825" s="69"/>
      <c r="B1825" s="69"/>
      <c r="C1825" s="69"/>
      <c r="D1825" s="69"/>
      <c r="E1825" s="185"/>
      <c r="F1825" s="69"/>
      <c r="G1825" s="185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69"/>
      <c r="T1825" s="69"/>
      <c r="U1825" s="69"/>
      <c r="V1825" s="69"/>
      <c r="W1825" s="69"/>
      <c r="X1825" s="69"/>
      <c r="Y1825" s="69"/>
      <c r="Z1825" s="69"/>
      <c r="AA1825" s="69"/>
      <c r="AB1825" s="69"/>
      <c r="AC1825" s="69"/>
      <c r="AD1825" s="69"/>
      <c r="AE1825" s="69"/>
    </row>
    <row r="1826" spans="1:31" ht="22.5" customHeight="1">
      <c r="A1826" s="69"/>
      <c r="B1826" s="69"/>
      <c r="C1826" s="69"/>
      <c r="D1826" s="69"/>
      <c r="E1826" s="185"/>
      <c r="F1826" s="69"/>
      <c r="G1826" s="185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  <c r="T1826" s="69"/>
      <c r="U1826" s="69"/>
      <c r="V1826" s="69"/>
      <c r="W1826" s="69"/>
      <c r="X1826" s="69"/>
      <c r="Y1826" s="69"/>
      <c r="Z1826" s="69"/>
      <c r="AA1826" s="69"/>
      <c r="AB1826" s="69"/>
      <c r="AC1826" s="69"/>
      <c r="AD1826" s="69"/>
      <c r="AE1826" s="69"/>
    </row>
    <row r="1827" spans="1:31" ht="22.5" customHeight="1">
      <c r="A1827" s="69"/>
      <c r="B1827" s="69"/>
      <c r="C1827" s="69"/>
      <c r="D1827" s="69"/>
      <c r="E1827" s="185"/>
      <c r="F1827" s="69"/>
      <c r="G1827" s="185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69"/>
      <c r="T1827" s="69"/>
      <c r="U1827" s="69"/>
      <c r="V1827" s="69"/>
      <c r="W1827" s="69"/>
      <c r="X1827" s="69"/>
      <c r="Y1827" s="69"/>
      <c r="Z1827" s="69"/>
      <c r="AA1827" s="69"/>
      <c r="AB1827" s="69"/>
      <c r="AC1827" s="69"/>
      <c r="AD1827" s="69"/>
      <c r="AE1827" s="69"/>
    </row>
    <row r="1828" spans="1:31" ht="22.5" customHeight="1">
      <c r="A1828" s="69"/>
      <c r="B1828" s="69"/>
      <c r="C1828" s="69"/>
      <c r="D1828" s="69"/>
      <c r="E1828" s="185"/>
      <c r="F1828" s="69"/>
      <c r="G1828" s="185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  <c r="T1828" s="69"/>
      <c r="U1828" s="69"/>
      <c r="V1828" s="69"/>
      <c r="W1828" s="69"/>
      <c r="X1828" s="69"/>
      <c r="Y1828" s="69"/>
      <c r="Z1828" s="69"/>
      <c r="AA1828" s="69"/>
      <c r="AB1828" s="69"/>
      <c r="AC1828" s="69"/>
      <c r="AD1828" s="69"/>
      <c r="AE1828" s="69"/>
    </row>
    <row r="1829" spans="1:31" ht="22.5" customHeight="1">
      <c r="A1829" s="69"/>
      <c r="B1829" s="69"/>
      <c r="C1829" s="69"/>
      <c r="D1829" s="69"/>
      <c r="E1829" s="185"/>
      <c r="F1829" s="69"/>
      <c r="G1829" s="185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69"/>
      <c r="T1829" s="69"/>
      <c r="U1829" s="69"/>
      <c r="V1829" s="69"/>
      <c r="W1829" s="69"/>
      <c r="X1829" s="69"/>
      <c r="Y1829" s="69"/>
      <c r="Z1829" s="69"/>
      <c r="AA1829" s="69"/>
      <c r="AB1829" s="69"/>
      <c r="AC1829" s="69"/>
      <c r="AD1829" s="69"/>
      <c r="AE1829" s="69"/>
    </row>
    <row r="1830" spans="1:31" ht="22.5" customHeight="1">
      <c r="A1830" s="69"/>
      <c r="B1830" s="69"/>
      <c r="C1830" s="69"/>
      <c r="D1830" s="69"/>
      <c r="E1830" s="185"/>
      <c r="F1830" s="69"/>
      <c r="G1830" s="185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  <c r="T1830" s="69"/>
      <c r="U1830" s="69"/>
      <c r="V1830" s="69"/>
      <c r="W1830" s="69"/>
      <c r="X1830" s="69"/>
      <c r="Y1830" s="69"/>
      <c r="Z1830" s="69"/>
      <c r="AA1830" s="69"/>
      <c r="AB1830" s="69"/>
      <c r="AC1830" s="69"/>
      <c r="AD1830" s="69"/>
      <c r="AE1830" s="69"/>
    </row>
    <row r="1831" spans="1:31" ht="22.5" customHeight="1">
      <c r="A1831" s="69"/>
      <c r="B1831" s="69"/>
      <c r="C1831" s="69"/>
      <c r="D1831" s="69"/>
      <c r="E1831" s="185"/>
      <c r="F1831" s="69"/>
      <c r="G1831" s="185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  <c r="T1831" s="69"/>
      <c r="U1831" s="69"/>
      <c r="V1831" s="69"/>
      <c r="W1831" s="69"/>
      <c r="X1831" s="69"/>
      <c r="Y1831" s="69"/>
      <c r="Z1831" s="69"/>
      <c r="AA1831" s="69"/>
      <c r="AB1831" s="69"/>
      <c r="AC1831" s="69"/>
      <c r="AD1831" s="69"/>
      <c r="AE1831" s="69"/>
    </row>
    <row r="1832" spans="1:31" ht="22.5" customHeight="1">
      <c r="A1832" s="69"/>
      <c r="B1832" s="69"/>
      <c r="C1832" s="69"/>
      <c r="D1832" s="69"/>
      <c r="E1832" s="185"/>
      <c r="F1832" s="69"/>
      <c r="G1832" s="185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69"/>
      <c r="X1832" s="69"/>
      <c r="Y1832" s="69"/>
      <c r="Z1832" s="69"/>
      <c r="AA1832" s="69"/>
      <c r="AB1832" s="69"/>
      <c r="AC1832" s="69"/>
      <c r="AD1832" s="69"/>
      <c r="AE1832" s="69"/>
    </row>
    <row r="1833" spans="1:31" ht="22.5" customHeight="1">
      <c r="A1833" s="69"/>
      <c r="B1833" s="69"/>
      <c r="C1833" s="69"/>
      <c r="D1833" s="69"/>
      <c r="E1833" s="185"/>
      <c r="F1833" s="69"/>
      <c r="G1833" s="185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69"/>
      <c r="T1833" s="69"/>
      <c r="U1833" s="69"/>
      <c r="V1833" s="69"/>
      <c r="W1833" s="69"/>
      <c r="X1833" s="69"/>
      <c r="Y1833" s="69"/>
      <c r="Z1833" s="69"/>
      <c r="AA1833" s="69"/>
      <c r="AB1833" s="69"/>
      <c r="AC1833" s="69"/>
      <c r="AD1833" s="69"/>
      <c r="AE1833" s="69"/>
    </row>
    <row r="1834" spans="1:31" ht="22.5" customHeight="1">
      <c r="A1834" s="69"/>
      <c r="B1834" s="69"/>
      <c r="C1834" s="69"/>
      <c r="D1834" s="69"/>
      <c r="E1834" s="185"/>
      <c r="F1834" s="69"/>
      <c r="G1834" s="185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  <c r="T1834" s="69"/>
      <c r="U1834" s="69"/>
      <c r="V1834" s="69"/>
      <c r="W1834" s="69"/>
      <c r="X1834" s="69"/>
      <c r="Y1834" s="69"/>
      <c r="Z1834" s="69"/>
      <c r="AA1834" s="69"/>
      <c r="AB1834" s="69"/>
      <c r="AC1834" s="69"/>
      <c r="AD1834" s="69"/>
      <c r="AE1834" s="69"/>
    </row>
    <row r="1835" spans="1:31" ht="22.5" customHeight="1">
      <c r="A1835" s="69"/>
      <c r="B1835" s="69"/>
      <c r="C1835" s="69"/>
      <c r="D1835" s="69"/>
      <c r="E1835" s="185"/>
      <c r="F1835" s="69"/>
      <c r="G1835" s="185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69"/>
      <c r="T1835" s="69"/>
      <c r="U1835" s="69"/>
      <c r="V1835" s="69"/>
      <c r="W1835" s="69"/>
      <c r="X1835" s="69"/>
      <c r="Y1835" s="69"/>
      <c r="Z1835" s="69"/>
      <c r="AA1835" s="69"/>
      <c r="AB1835" s="69"/>
      <c r="AC1835" s="69"/>
      <c r="AD1835" s="69"/>
      <c r="AE1835" s="69"/>
    </row>
    <row r="1836" spans="1:31" ht="22.5" customHeight="1">
      <c r="A1836" s="69"/>
      <c r="B1836" s="69"/>
      <c r="C1836" s="69"/>
      <c r="D1836" s="69"/>
      <c r="E1836" s="185"/>
      <c r="F1836" s="69"/>
      <c r="G1836" s="185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  <c r="T1836" s="69"/>
      <c r="U1836" s="69"/>
      <c r="V1836" s="69"/>
      <c r="W1836" s="69"/>
      <c r="X1836" s="69"/>
      <c r="Y1836" s="69"/>
      <c r="Z1836" s="69"/>
      <c r="AA1836" s="69"/>
      <c r="AB1836" s="69"/>
      <c r="AC1836" s="69"/>
      <c r="AD1836" s="69"/>
      <c r="AE1836" s="69"/>
    </row>
    <row r="1837" spans="1:31" ht="22.5" customHeight="1">
      <c r="A1837" s="69"/>
      <c r="B1837" s="69"/>
      <c r="C1837" s="69"/>
      <c r="D1837" s="69"/>
      <c r="E1837" s="185"/>
      <c r="F1837" s="69"/>
      <c r="G1837" s="185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69"/>
      <c r="T1837" s="69"/>
      <c r="U1837" s="69"/>
      <c r="V1837" s="69"/>
      <c r="W1837" s="69"/>
      <c r="X1837" s="69"/>
      <c r="Y1837" s="69"/>
      <c r="Z1837" s="69"/>
      <c r="AA1837" s="69"/>
      <c r="AB1837" s="69"/>
      <c r="AC1837" s="69"/>
      <c r="AD1837" s="69"/>
      <c r="AE1837" s="69"/>
    </row>
    <row r="1838" spans="1:31" ht="22.5" customHeight="1">
      <c r="A1838" s="69"/>
      <c r="B1838" s="69"/>
      <c r="C1838" s="69"/>
      <c r="D1838" s="69"/>
      <c r="E1838" s="185"/>
      <c r="F1838" s="69"/>
      <c r="G1838" s="185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  <c r="T1838" s="69"/>
      <c r="U1838" s="69"/>
      <c r="V1838" s="69"/>
      <c r="W1838" s="69"/>
      <c r="X1838" s="69"/>
      <c r="Y1838" s="69"/>
      <c r="Z1838" s="69"/>
      <c r="AA1838" s="69"/>
      <c r="AB1838" s="69"/>
      <c r="AC1838" s="69"/>
      <c r="AD1838" s="69"/>
      <c r="AE1838" s="69"/>
    </row>
    <row r="1839" spans="1:31" ht="22.5" customHeight="1">
      <c r="A1839" s="69"/>
      <c r="B1839" s="69"/>
      <c r="C1839" s="69"/>
      <c r="D1839" s="69"/>
      <c r="E1839" s="185"/>
      <c r="F1839" s="69"/>
      <c r="G1839" s="185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69"/>
      <c r="T1839" s="69"/>
      <c r="U1839" s="69"/>
      <c r="V1839" s="69"/>
      <c r="W1839" s="69"/>
      <c r="X1839" s="69"/>
      <c r="Y1839" s="69"/>
      <c r="Z1839" s="69"/>
      <c r="AA1839" s="69"/>
      <c r="AB1839" s="69"/>
      <c r="AC1839" s="69"/>
      <c r="AD1839" s="69"/>
      <c r="AE1839" s="69"/>
    </row>
    <row r="1840" spans="1:31" ht="22.5" customHeight="1">
      <c r="A1840" s="69"/>
      <c r="B1840" s="69"/>
      <c r="C1840" s="69"/>
      <c r="D1840" s="69"/>
      <c r="E1840" s="185"/>
      <c r="F1840" s="69"/>
      <c r="G1840" s="185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  <c r="T1840" s="69"/>
      <c r="U1840" s="69"/>
      <c r="V1840" s="69"/>
      <c r="W1840" s="69"/>
      <c r="X1840" s="69"/>
      <c r="Y1840" s="69"/>
      <c r="Z1840" s="69"/>
      <c r="AA1840" s="69"/>
      <c r="AB1840" s="69"/>
      <c r="AC1840" s="69"/>
      <c r="AD1840" s="69"/>
      <c r="AE1840" s="69"/>
    </row>
    <row r="1841" spans="1:31" ht="22.5" customHeight="1">
      <c r="A1841" s="69"/>
      <c r="B1841" s="69"/>
      <c r="C1841" s="69"/>
      <c r="D1841" s="69"/>
      <c r="E1841" s="185"/>
      <c r="F1841" s="69"/>
      <c r="G1841" s="185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69"/>
      <c r="T1841" s="69"/>
      <c r="U1841" s="69"/>
      <c r="V1841" s="69"/>
      <c r="W1841" s="69"/>
      <c r="X1841" s="69"/>
      <c r="Y1841" s="69"/>
      <c r="Z1841" s="69"/>
      <c r="AA1841" s="69"/>
      <c r="AB1841" s="69"/>
      <c r="AC1841" s="69"/>
      <c r="AD1841" s="69"/>
      <c r="AE1841" s="69"/>
    </row>
    <row r="1842" spans="1:31" ht="22.5" customHeight="1">
      <c r="A1842" s="69"/>
      <c r="B1842" s="69"/>
      <c r="C1842" s="69"/>
      <c r="D1842" s="69"/>
      <c r="E1842" s="185"/>
      <c r="F1842" s="69"/>
      <c r="G1842" s="185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  <c r="T1842" s="69"/>
      <c r="U1842" s="69"/>
      <c r="V1842" s="69"/>
      <c r="W1842" s="69"/>
      <c r="X1842" s="69"/>
      <c r="Y1842" s="69"/>
      <c r="Z1842" s="69"/>
      <c r="AA1842" s="69"/>
      <c r="AB1842" s="69"/>
      <c r="AC1842" s="69"/>
      <c r="AD1842" s="69"/>
      <c r="AE1842" s="69"/>
    </row>
    <row r="1843" spans="1:31" ht="22.5" customHeight="1">
      <c r="A1843" s="69"/>
      <c r="B1843" s="69"/>
      <c r="C1843" s="69"/>
      <c r="D1843" s="69"/>
      <c r="E1843" s="185"/>
      <c r="F1843" s="69"/>
      <c r="G1843" s="185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  <c r="AA1843" s="69"/>
      <c r="AB1843" s="69"/>
      <c r="AC1843" s="69"/>
      <c r="AD1843" s="69"/>
      <c r="AE1843" s="69"/>
    </row>
    <row r="1844" spans="1:31" ht="22.5" customHeight="1">
      <c r="A1844" s="69"/>
      <c r="B1844" s="69"/>
      <c r="C1844" s="69"/>
      <c r="D1844" s="69"/>
      <c r="E1844" s="185"/>
      <c r="F1844" s="69"/>
      <c r="G1844" s="185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  <c r="T1844" s="69"/>
      <c r="U1844" s="69"/>
      <c r="V1844" s="69"/>
      <c r="W1844" s="69"/>
      <c r="X1844" s="69"/>
      <c r="Y1844" s="69"/>
      <c r="Z1844" s="69"/>
      <c r="AA1844" s="69"/>
      <c r="AB1844" s="69"/>
      <c r="AC1844" s="69"/>
      <c r="AD1844" s="69"/>
      <c r="AE1844" s="69"/>
    </row>
    <row r="1845" spans="1:31" ht="22.5" customHeight="1">
      <c r="A1845" s="69"/>
      <c r="B1845" s="69"/>
      <c r="C1845" s="69"/>
      <c r="D1845" s="69"/>
      <c r="E1845" s="185"/>
      <c r="F1845" s="69"/>
      <c r="G1845" s="185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69"/>
      <c r="T1845" s="69"/>
      <c r="U1845" s="69"/>
      <c r="V1845" s="69"/>
      <c r="W1845" s="69"/>
      <c r="X1845" s="69"/>
      <c r="Y1845" s="69"/>
      <c r="Z1845" s="69"/>
      <c r="AA1845" s="69"/>
      <c r="AB1845" s="69"/>
      <c r="AC1845" s="69"/>
      <c r="AD1845" s="69"/>
      <c r="AE1845" s="69"/>
    </row>
    <row r="1846" spans="1:31" ht="22.5" customHeight="1">
      <c r="A1846" s="69"/>
      <c r="B1846" s="69"/>
      <c r="C1846" s="69"/>
      <c r="D1846" s="69"/>
      <c r="E1846" s="185"/>
      <c r="F1846" s="69"/>
      <c r="G1846" s="185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  <c r="T1846" s="69"/>
      <c r="U1846" s="69"/>
      <c r="V1846" s="69"/>
      <c r="W1846" s="69"/>
      <c r="X1846" s="69"/>
      <c r="Y1846" s="69"/>
      <c r="Z1846" s="69"/>
      <c r="AA1846" s="69"/>
      <c r="AB1846" s="69"/>
      <c r="AC1846" s="69"/>
      <c r="AD1846" s="69"/>
      <c r="AE1846" s="69"/>
    </row>
    <row r="1847" spans="1:31" ht="22.5" customHeight="1">
      <c r="A1847" s="69"/>
      <c r="B1847" s="69"/>
      <c r="C1847" s="69"/>
      <c r="D1847" s="69"/>
      <c r="E1847" s="185"/>
      <c r="F1847" s="69"/>
      <c r="G1847" s="185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69"/>
      <c r="T1847" s="69"/>
      <c r="U1847" s="69"/>
      <c r="V1847" s="69"/>
      <c r="W1847" s="69"/>
      <c r="X1847" s="69"/>
      <c r="Y1847" s="69"/>
      <c r="Z1847" s="69"/>
      <c r="AA1847" s="69"/>
      <c r="AB1847" s="69"/>
      <c r="AC1847" s="69"/>
      <c r="AD1847" s="69"/>
      <c r="AE1847" s="69"/>
    </row>
    <row r="1848" spans="1:31" ht="22.5" customHeight="1">
      <c r="A1848" s="69"/>
      <c r="B1848" s="69"/>
      <c r="C1848" s="69"/>
      <c r="D1848" s="69"/>
      <c r="E1848" s="185"/>
      <c r="F1848" s="69"/>
      <c r="G1848" s="185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  <c r="T1848" s="69"/>
      <c r="U1848" s="69"/>
      <c r="V1848" s="69"/>
      <c r="W1848" s="69"/>
      <c r="X1848" s="69"/>
      <c r="Y1848" s="69"/>
      <c r="Z1848" s="69"/>
      <c r="AA1848" s="69"/>
      <c r="AB1848" s="69"/>
      <c r="AC1848" s="69"/>
      <c r="AD1848" s="69"/>
      <c r="AE1848" s="69"/>
    </row>
    <row r="1849" spans="1:31" ht="22.5" customHeight="1">
      <c r="A1849" s="69"/>
      <c r="B1849" s="69"/>
      <c r="C1849" s="69"/>
      <c r="D1849" s="69"/>
      <c r="E1849" s="185"/>
      <c r="F1849" s="69"/>
      <c r="G1849" s="185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69"/>
      <c r="T1849" s="69"/>
      <c r="U1849" s="69"/>
      <c r="V1849" s="69"/>
      <c r="W1849" s="69"/>
      <c r="X1849" s="69"/>
      <c r="Y1849" s="69"/>
      <c r="Z1849" s="69"/>
      <c r="AA1849" s="69"/>
      <c r="AB1849" s="69"/>
      <c r="AC1849" s="69"/>
      <c r="AD1849" s="69"/>
      <c r="AE1849" s="69"/>
    </row>
    <row r="1850" spans="1:31" ht="22.5" customHeight="1">
      <c r="A1850" s="69"/>
      <c r="B1850" s="69"/>
      <c r="C1850" s="69"/>
      <c r="D1850" s="69"/>
      <c r="E1850" s="185"/>
      <c r="F1850" s="69"/>
      <c r="G1850" s="185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69"/>
      <c r="X1850" s="69"/>
      <c r="Y1850" s="69"/>
      <c r="Z1850" s="69"/>
      <c r="AA1850" s="69"/>
      <c r="AB1850" s="69"/>
      <c r="AC1850" s="69"/>
      <c r="AD1850" s="69"/>
      <c r="AE1850" s="69"/>
    </row>
    <row r="1851" spans="1:31" ht="22.5" customHeight="1">
      <c r="A1851" s="69"/>
      <c r="B1851" s="69"/>
      <c r="C1851" s="69"/>
      <c r="D1851" s="69"/>
      <c r="E1851" s="185"/>
      <c r="F1851" s="69"/>
      <c r="G1851" s="185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69"/>
      <c r="T1851" s="69"/>
      <c r="U1851" s="69"/>
      <c r="V1851" s="69"/>
      <c r="W1851" s="69"/>
      <c r="X1851" s="69"/>
      <c r="Y1851" s="69"/>
      <c r="Z1851" s="69"/>
      <c r="AA1851" s="69"/>
      <c r="AB1851" s="69"/>
      <c r="AC1851" s="69"/>
      <c r="AD1851" s="69"/>
      <c r="AE1851" s="69"/>
    </row>
    <row r="1852" spans="1:31" ht="22.5" customHeight="1">
      <c r="A1852" s="69"/>
      <c r="B1852" s="69"/>
      <c r="C1852" s="69"/>
      <c r="D1852" s="69"/>
      <c r="E1852" s="185"/>
      <c r="F1852" s="69"/>
      <c r="G1852" s="185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  <c r="T1852" s="69"/>
      <c r="U1852" s="69"/>
      <c r="V1852" s="69"/>
      <c r="W1852" s="69"/>
      <c r="X1852" s="69"/>
      <c r="Y1852" s="69"/>
      <c r="Z1852" s="69"/>
      <c r="AA1852" s="69"/>
      <c r="AB1852" s="69"/>
      <c r="AC1852" s="69"/>
      <c r="AD1852" s="69"/>
      <c r="AE1852" s="69"/>
    </row>
    <row r="1853" spans="1:31" ht="22.5" customHeight="1">
      <c r="A1853" s="69"/>
      <c r="B1853" s="69"/>
      <c r="C1853" s="69"/>
      <c r="D1853" s="69"/>
      <c r="E1853" s="185"/>
      <c r="F1853" s="69"/>
      <c r="G1853" s="185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69"/>
      <c r="T1853" s="69"/>
      <c r="U1853" s="69"/>
      <c r="V1853" s="69"/>
      <c r="W1853" s="69"/>
      <c r="X1853" s="69"/>
      <c r="Y1853" s="69"/>
      <c r="Z1853" s="69"/>
      <c r="AA1853" s="69"/>
      <c r="AB1853" s="69"/>
      <c r="AC1853" s="69"/>
      <c r="AD1853" s="69"/>
      <c r="AE1853" s="69"/>
    </row>
    <row r="1854" spans="1:31" ht="22.5" customHeight="1">
      <c r="A1854" s="69"/>
      <c r="B1854" s="69"/>
      <c r="C1854" s="69"/>
      <c r="D1854" s="69"/>
      <c r="E1854" s="185"/>
      <c r="F1854" s="69"/>
      <c r="G1854" s="185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  <c r="T1854" s="69"/>
      <c r="U1854" s="69"/>
      <c r="V1854" s="69"/>
      <c r="W1854" s="69"/>
      <c r="X1854" s="69"/>
      <c r="Y1854" s="69"/>
      <c r="Z1854" s="69"/>
      <c r="AA1854" s="69"/>
      <c r="AB1854" s="69"/>
      <c r="AC1854" s="69"/>
      <c r="AD1854" s="69"/>
      <c r="AE1854" s="69"/>
    </row>
    <row r="1855" spans="1:31" ht="22.5" customHeight="1">
      <c r="A1855" s="69"/>
      <c r="B1855" s="69"/>
      <c r="C1855" s="69"/>
      <c r="D1855" s="69"/>
      <c r="E1855" s="185"/>
      <c r="F1855" s="69"/>
      <c r="G1855" s="185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69"/>
      <c r="T1855" s="69"/>
      <c r="U1855" s="69"/>
      <c r="V1855" s="69"/>
      <c r="W1855" s="69"/>
      <c r="X1855" s="69"/>
      <c r="Y1855" s="69"/>
      <c r="Z1855" s="69"/>
      <c r="AA1855" s="69"/>
      <c r="AB1855" s="69"/>
      <c r="AC1855" s="69"/>
      <c r="AD1855" s="69"/>
      <c r="AE1855" s="69"/>
    </row>
    <row r="1856" spans="1:31" ht="22.5" customHeight="1">
      <c r="A1856" s="69"/>
      <c r="B1856" s="69"/>
      <c r="C1856" s="69"/>
      <c r="D1856" s="69"/>
      <c r="E1856" s="185"/>
      <c r="F1856" s="69"/>
      <c r="G1856" s="185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  <c r="T1856" s="69"/>
      <c r="U1856" s="69"/>
      <c r="V1856" s="69"/>
      <c r="W1856" s="69"/>
      <c r="X1856" s="69"/>
      <c r="Y1856" s="69"/>
      <c r="Z1856" s="69"/>
      <c r="AA1856" s="69"/>
      <c r="AB1856" s="69"/>
      <c r="AC1856" s="69"/>
      <c r="AD1856" s="69"/>
      <c r="AE1856" s="69"/>
    </row>
    <row r="1857" spans="1:31" ht="22.5" customHeight="1">
      <c r="A1857" s="69"/>
      <c r="B1857" s="69"/>
      <c r="C1857" s="69"/>
      <c r="D1857" s="69"/>
      <c r="E1857" s="185"/>
      <c r="F1857" s="69"/>
      <c r="G1857" s="185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69"/>
      <c r="T1857" s="69"/>
      <c r="U1857" s="69"/>
      <c r="V1857" s="69"/>
      <c r="W1857" s="69"/>
      <c r="X1857" s="69"/>
      <c r="Y1857" s="69"/>
      <c r="Z1857" s="69"/>
      <c r="AA1857" s="69"/>
      <c r="AB1857" s="69"/>
      <c r="AC1857" s="69"/>
      <c r="AD1857" s="69"/>
      <c r="AE1857" s="69"/>
    </row>
    <row r="1858" spans="1:31" ht="22.5" customHeight="1">
      <c r="A1858" s="69"/>
      <c r="B1858" s="69"/>
      <c r="C1858" s="69"/>
      <c r="D1858" s="69"/>
      <c r="E1858" s="185"/>
      <c r="F1858" s="69"/>
      <c r="G1858" s="185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  <c r="T1858" s="69"/>
      <c r="U1858" s="69"/>
      <c r="V1858" s="69"/>
      <c r="W1858" s="69"/>
      <c r="X1858" s="69"/>
      <c r="Y1858" s="69"/>
      <c r="Z1858" s="69"/>
      <c r="AA1858" s="69"/>
      <c r="AB1858" s="69"/>
      <c r="AC1858" s="69"/>
      <c r="AD1858" s="69"/>
      <c r="AE1858" s="69"/>
    </row>
    <row r="1859" spans="1:31" ht="22.5" customHeight="1">
      <c r="A1859" s="69"/>
      <c r="B1859" s="69"/>
      <c r="C1859" s="69"/>
      <c r="D1859" s="69"/>
      <c r="E1859" s="185"/>
      <c r="F1859" s="69"/>
      <c r="G1859" s="185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69"/>
      <c r="T1859" s="69"/>
      <c r="U1859" s="69"/>
      <c r="V1859" s="69"/>
      <c r="W1859" s="69"/>
      <c r="X1859" s="69"/>
      <c r="Y1859" s="69"/>
      <c r="Z1859" s="69"/>
      <c r="AA1859" s="69"/>
      <c r="AB1859" s="69"/>
      <c r="AC1859" s="69"/>
      <c r="AD1859" s="69"/>
      <c r="AE1859" s="69"/>
    </row>
    <row r="1860" spans="1:31" ht="22.5" customHeight="1">
      <c r="A1860" s="69"/>
      <c r="B1860" s="69"/>
      <c r="C1860" s="69"/>
      <c r="D1860" s="69"/>
      <c r="E1860" s="185"/>
      <c r="F1860" s="69"/>
      <c r="G1860" s="185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  <c r="T1860" s="69"/>
      <c r="U1860" s="69"/>
      <c r="V1860" s="69"/>
      <c r="W1860" s="69"/>
      <c r="X1860" s="69"/>
      <c r="Y1860" s="69"/>
      <c r="Z1860" s="69"/>
      <c r="AA1860" s="69"/>
      <c r="AB1860" s="69"/>
      <c r="AC1860" s="69"/>
      <c r="AD1860" s="69"/>
      <c r="AE1860" s="69"/>
    </row>
    <row r="1861" spans="1:31" ht="22.5" customHeight="1">
      <c r="A1861" s="69"/>
      <c r="B1861" s="69"/>
      <c r="C1861" s="69"/>
      <c r="D1861" s="69"/>
      <c r="E1861" s="185"/>
      <c r="F1861" s="69"/>
      <c r="G1861" s="185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69"/>
      <c r="T1861" s="69"/>
      <c r="U1861" s="69"/>
      <c r="V1861" s="69"/>
      <c r="W1861" s="69"/>
      <c r="X1861" s="69"/>
      <c r="Y1861" s="69"/>
      <c r="Z1861" s="69"/>
      <c r="AA1861" s="69"/>
      <c r="AB1861" s="69"/>
      <c r="AC1861" s="69"/>
      <c r="AD1861" s="69"/>
      <c r="AE1861" s="69"/>
    </row>
    <row r="1862" spans="1:31" ht="22.5" customHeight="1">
      <c r="A1862" s="69"/>
      <c r="B1862" s="69"/>
      <c r="C1862" s="69"/>
      <c r="D1862" s="69"/>
      <c r="E1862" s="185"/>
      <c r="F1862" s="69"/>
      <c r="G1862" s="185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  <c r="T1862" s="69"/>
      <c r="U1862" s="69"/>
      <c r="V1862" s="69"/>
      <c r="W1862" s="69"/>
      <c r="X1862" s="69"/>
      <c r="Y1862" s="69"/>
      <c r="Z1862" s="69"/>
      <c r="AA1862" s="69"/>
      <c r="AB1862" s="69"/>
      <c r="AC1862" s="69"/>
      <c r="AD1862" s="69"/>
      <c r="AE1862" s="69"/>
    </row>
    <row r="1863" spans="1:31" ht="22.5" customHeight="1">
      <c r="A1863" s="69"/>
      <c r="B1863" s="69"/>
      <c r="C1863" s="69"/>
      <c r="D1863" s="69"/>
      <c r="E1863" s="185"/>
      <c r="F1863" s="69"/>
      <c r="G1863" s="185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69"/>
      <c r="T1863" s="69"/>
      <c r="U1863" s="69"/>
      <c r="V1863" s="69"/>
      <c r="W1863" s="69"/>
      <c r="X1863" s="69"/>
      <c r="Y1863" s="69"/>
      <c r="Z1863" s="69"/>
      <c r="AA1863" s="69"/>
      <c r="AB1863" s="69"/>
      <c r="AC1863" s="69"/>
      <c r="AD1863" s="69"/>
      <c r="AE1863" s="69"/>
    </row>
    <row r="1864" spans="1:31" ht="22.5" customHeight="1">
      <c r="A1864" s="69"/>
      <c r="B1864" s="69"/>
      <c r="C1864" s="69"/>
      <c r="D1864" s="69"/>
      <c r="E1864" s="185"/>
      <c r="F1864" s="69"/>
      <c r="G1864" s="185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  <c r="T1864" s="69"/>
      <c r="U1864" s="69"/>
      <c r="V1864" s="69"/>
      <c r="W1864" s="69"/>
      <c r="X1864" s="69"/>
      <c r="Y1864" s="69"/>
      <c r="Z1864" s="69"/>
      <c r="AA1864" s="69"/>
      <c r="AB1864" s="69"/>
      <c r="AC1864" s="69"/>
      <c r="AD1864" s="69"/>
      <c r="AE1864" s="69"/>
    </row>
    <row r="1865" spans="1:31" ht="22.5" customHeight="1">
      <c r="A1865" s="69"/>
      <c r="B1865" s="69"/>
      <c r="C1865" s="69"/>
      <c r="D1865" s="69"/>
      <c r="E1865" s="185"/>
      <c r="F1865" s="69"/>
      <c r="G1865" s="185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69"/>
      <c r="T1865" s="69"/>
      <c r="U1865" s="69"/>
      <c r="V1865" s="69"/>
      <c r="W1865" s="69"/>
      <c r="X1865" s="69"/>
      <c r="Y1865" s="69"/>
      <c r="Z1865" s="69"/>
      <c r="AA1865" s="69"/>
      <c r="AB1865" s="69"/>
      <c r="AC1865" s="69"/>
      <c r="AD1865" s="69"/>
      <c r="AE1865" s="69"/>
    </row>
    <row r="1866" spans="1:31" ht="22.5" customHeight="1">
      <c r="A1866" s="69"/>
      <c r="B1866" s="69"/>
      <c r="C1866" s="69"/>
      <c r="D1866" s="69"/>
      <c r="E1866" s="185"/>
      <c r="F1866" s="69"/>
      <c r="G1866" s="185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  <c r="T1866" s="69"/>
      <c r="U1866" s="69"/>
      <c r="V1866" s="69"/>
      <c r="W1866" s="69"/>
      <c r="X1866" s="69"/>
      <c r="Y1866" s="69"/>
      <c r="Z1866" s="69"/>
      <c r="AA1866" s="69"/>
      <c r="AB1866" s="69"/>
      <c r="AC1866" s="69"/>
      <c r="AD1866" s="69"/>
      <c r="AE1866" s="69"/>
    </row>
    <row r="1867" spans="1:31" ht="22.5" customHeight="1">
      <c r="A1867" s="69"/>
      <c r="B1867" s="69"/>
      <c r="C1867" s="69"/>
      <c r="D1867" s="69"/>
      <c r="E1867" s="185"/>
      <c r="F1867" s="69"/>
      <c r="G1867" s="185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69"/>
      <c r="T1867" s="69"/>
      <c r="U1867" s="69"/>
      <c r="V1867" s="69"/>
      <c r="W1867" s="69"/>
      <c r="X1867" s="69"/>
      <c r="Y1867" s="69"/>
      <c r="Z1867" s="69"/>
      <c r="AA1867" s="69"/>
      <c r="AB1867" s="69"/>
      <c r="AC1867" s="69"/>
      <c r="AD1867" s="69"/>
      <c r="AE1867" s="69"/>
    </row>
    <row r="1868" spans="1:31" ht="22.5" customHeight="1">
      <c r="A1868" s="69"/>
      <c r="B1868" s="69"/>
      <c r="C1868" s="69"/>
      <c r="D1868" s="69"/>
      <c r="E1868" s="185"/>
      <c r="F1868" s="69"/>
      <c r="G1868" s="185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69"/>
      <c r="X1868" s="69"/>
      <c r="Y1868" s="69"/>
      <c r="Z1868" s="69"/>
      <c r="AA1868" s="69"/>
      <c r="AB1868" s="69"/>
      <c r="AC1868" s="69"/>
      <c r="AD1868" s="69"/>
      <c r="AE1868" s="69"/>
    </row>
    <row r="1869" spans="1:31" ht="22.5" customHeight="1">
      <c r="A1869" s="69"/>
      <c r="B1869" s="69"/>
      <c r="C1869" s="69"/>
      <c r="D1869" s="69"/>
      <c r="E1869" s="185"/>
      <c r="F1869" s="69"/>
      <c r="G1869" s="185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69"/>
      <c r="T1869" s="69"/>
      <c r="U1869" s="69"/>
      <c r="V1869" s="69"/>
      <c r="W1869" s="69"/>
      <c r="X1869" s="69"/>
      <c r="Y1869" s="69"/>
      <c r="Z1869" s="69"/>
      <c r="AA1869" s="69"/>
      <c r="AB1869" s="69"/>
      <c r="AC1869" s="69"/>
      <c r="AD1869" s="69"/>
      <c r="AE1869" s="69"/>
    </row>
    <row r="1870" spans="1:31" ht="22.5" customHeight="1">
      <c r="A1870" s="69"/>
      <c r="B1870" s="69"/>
      <c r="C1870" s="69"/>
      <c r="D1870" s="69"/>
      <c r="E1870" s="185"/>
      <c r="F1870" s="69"/>
      <c r="G1870" s="185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  <c r="T1870" s="69"/>
      <c r="U1870" s="69"/>
      <c r="V1870" s="69"/>
      <c r="W1870" s="69"/>
      <c r="X1870" s="69"/>
      <c r="Y1870" s="69"/>
      <c r="Z1870" s="69"/>
      <c r="AA1870" s="69"/>
      <c r="AB1870" s="69"/>
      <c r="AC1870" s="69"/>
      <c r="AD1870" s="69"/>
      <c r="AE1870" s="69"/>
    </row>
    <row r="1871" spans="1:31" ht="22.5" customHeight="1">
      <c r="A1871" s="69"/>
      <c r="B1871" s="69"/>
      <c r="C1871" s="69"/>
      <c r="D1871" s="69"/>
      <c r="E1871" s="185"/>
      <c r="F1871" s="69"/>
      <c r="G1871" s="185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69"/>
      <c r="T1871" s="69"/>
      <c r="U1871" s="69"/>
      <c r="V1871" s="69"/>
      <c r="W1871" s="69"/>
      <c r="X1871" s="69"/>
      <c r="Y1871" s="69"/>
      <c r="Z1871" s="69"/>
      <c r="AA1871" s="69"/>
      <c r="AB1871" s="69"/>
      <c r="AC1871" s="69"/>
      <c r="AD1871" s="69"/>
      <c r="AE1871" s="69"/>
    </row>
    <row r="1872" spans="1:31" ht="22.5" customHeight="1">
      <c r="A1872" s="69"/>
      <c r="B1872" s="69"/>
      <c r="C1872" s="69"/>
      <c r="D1872" s="69"/>
      <c r="E1872" s="185"/>
      <c r="F1872" s="69"/>
      <c r="G1872" s="185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  <c r="T1872" s="69"/>
      <c r="U1872" s="69"/>
      <c r="V1872" s="69"/>
      <c r="W1872" s="69"/>
      <c r="X1872" s="69"/>
      <c r="Y1872" s="69"/>
      <c r="Z1872" s="69"/>
      <c r="AA1872" s="69"/>
      <c r="AB1872" s="69"/>
      <c r="AC1872" s="69"/>
      <c r="AD1872" s="69"/>
      <c r="AE1872" s="69"/>
    </row>
    <row r="1873" spans="1:31" ht="22.5" customHeight="1">
      <c r="A1873" s="69"/>
      <c r="B1873" s="69"/>
      <c r="C1873" s="69"/>
      <c r="D1873" s="69"/>
      <c r="E1873" s="185"/>
      <c r="F1873" s="69"/>
      <c r="G1873" s="185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69"/>
      <c r="T1873" s="69"/>
      <c r="U1873" s="69"/>
      <c r="V1873" s="69"/>
      <c r="W1873" s="69"/>
      <c r="X1873" s="69"/>
      <c r="Y1873" s="69"/>
      <c r="Z1873" s="69"/>
      <c r="AA1873" s="69"/>
      <c r="AB1873" s="69"/>
      <c r="AC1873" s="69"/>
      <c r="AD1873" s="69"/>
      <c r="AE1873" s="69"/>
    </row>
    <row r="1874" spans="1:31" ht="22.5" customHeight="1">
      <c r="A1874" s="69"/>
      <c r="B1874" s="69"/>
      <c r="C1874" s="69"/>
      <c r="D1874" s="69"/>
      <c r="E1874" s="185"/>
      <c r="F1874" s="69"/>
      <c r="G1874" s="185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  <c r="T1874" s="69"/>
      <c r="U1874" s="69"/>
      <c r="V1874" s="69"/>
      <c r="W1874" s="69"/>
      <c r="X1874" s="69"/>
      <c r="Y1874" s="69"/>
      <c r="Z1874" s="69"/>
      <c r="AA1874" s="69"/>
      <c r="AB1874" s="69"/>
      <c r="AC1874" s="69"/>
      <c r="AD1874" s="69"/>
      <c r="AE1874" s="69"/>
    </row>
    <row r="1875" spans="1:31" ht="22.5" customHeight="1">
      <c r="A1875" s="69"/>
      <c r="B1875" s="69"/>
      <c r="C1875" s="69"/>
      <c r="D1875" s="69"/>
      <c r="E1875" s="185"/>
      <c r="F1875" s="69"/>
      <c r="G1875" s="185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69"/>
      <c r="T1875" s="69"/>
      <c r="U1875" s="69"/>
      <c r="V1875" s="69"/>
      <c r="W1875" s="69"/>
      <c r="X1875" s="69"/>
      <c r="Y1875" s="69"/>
      <c r="Z1875" s="69"/>
      <c r="AA1875" s="69"/>
      <c r="AB1875" s="69"/>
      <c r="AC1875" s="69"/>
      <c r="AD1875" s="69"/>
      <c r="AE1875" s="69"/>
    </row>
    <row r="1876" spans="1:31" ht="22.5" customHeight="1">
      <c r="A1876" s="69"/>
      <c r="B1876" s="69"/>
      <c r="C1876" s="69"/>
      <c r="D1876" s="69"/>
      <c r="E1876" s="185"/>
      <c r="F1876" s="69"/>
      <c r="G1876" s="185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  <c r="T1876" s="69"/>
      <c r="U1876" s="69"/>
      <c r="V1876" s="69"/>
      <c r="W1876" s="69"/>
      <c r="X1876" s="69"/>
      <c r="Y1876" s="69"/>
      <c r="Z1876" s="69"/>
      <c r="AA1876" s="69"/>
      <c r="AB1876" s="69"/>
      <c r="AC1876" s="69"/>
      <c r="AD1876" s="69"/>
      <c r="AE1876" s="69"/>
    </row>
    <row r="1877" spans="1:31" ht="22.5" customHeight="1">
      <c r="A1877" s="69"/>
      <c r="B1877" s="69"/>
      <c r="C1877" s="69"/>
      <c r="D1877" s="69"/>
      <c r="E1877" s="185"/>
      <c r="F1877" s="69"/>
      <c r="G1877" s="185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69"/>
      <c r="T1877" s="69"/>
      <c r="U1877" s="69"/>
      <c r="V1877" s="69"/>
      <c r="W1877" s="69"/>
      <c r="X1877" s="69"/>
      <c r="Y1877" s="69"/>
      <c r="Z1877" s="69"/>
      <c r="AA1877" s="69"/>
      <c r="AB1877" s="69"/>
      <c r="AC1877" s="69"/>
      <c r="AD1877" s="69"/>
      <c r="AE1877" s="69"/>
    </row>
    <row r="1878" spans="1:31" ht="22.5" customHeight="1">
      <c r="A1878" s="69"/>
      <c r="B1878" s="69"/>
      <c r="C1878" s="69"/>
      <c r="D1878" s="69"/>
      <c r="E1878" s="185"/>
      <c r="F1878" s="69"/>
      <c r="G1878" s="185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  <c r="T1878" s="69"/>
      <c r="U1878" s="69"/>
      <c r="V1878" s="69"/>
      <c r="W1878" s="69"/>
      <c r="X1878" s="69"/>
      <c r="Y1878" s="69"/>
      <c r="Z1878" s="69"/>
      <c r="AA1878" s="69"/>
      <c r="AB1878" s="69"/>
      <c r="AC1878" s="69"/>
      <c r="AD1878" s="69"/>
      <c r="AE1878" s="69"/>
    </row>
    <row r="1879" spans="1:31" ht="22.5" customHeight="1">
      <c r="A1879" s="69"/>
      <c r="B1879" s="69"/>
      <c r="C1879" s="69"/>
      <c r="D1879" s="69"/>
      <c r="E1879" s="185"/>
      <c r="F1879" s="69"/>
      <c r="G1879" s="185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69"/>
      <c r="T1879" s="69"/>
      <c r="U1879" s="69"/>
      <c r="V1879" s="69"/>
      <c r="W1879" s="69"/>
      <c r="X1879" s="69"/>
      <c r="Y1879" s="69"/>
      <c r="Z1879" s="69"/>
      <c r="AA1879" s="69"/>
      <c r="AB1879" s="69"/>
      <c r="AC1879" s="69"/>
      <c r="AD1879" s="69"/>
      <c r="AE1879" s="69"/>
    </row>
    <row r="1880" spans="1:31" ht="22.5" customHeight="1">
      <c r="A1880" s="69"/>
      <c r="B1880" s="69"/>
      <c r="C1880" s="69"/>
      <c r="D1880" s="69"/>
      <c r="E1880" s="185"/>
      <c r="F1880" s="69"/>
      <c r="G1880" s="185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  <c r="T1880" s="69"/>
      <c r="U1880" s="69"/>
      <c r="V1880" s="69"/>
      <c r="W1880" s="69"/>
      <c r="X1880" s="69"/>
      <c r="Y1880" s="69"/>
      <c r="Z1880" s="69"/>
      <c r="AA1880" s="69"/>
      <c r="AB1880" s="69"/>
      <c r="AC1880" s="69"/>
      <c r="AD1880" s="69"/>
      <c r="AE1880" s="69"/>
    </row>
    <row r="1881" spans="1:31" ht="22.5" customHeight="1">
      <c r="A1881" s="69"/>
      <c r="B1881" s="69"/>
      <c r="C1881" s="69"/>
      <c r="D1881" s="69"/>
      <c r="E1881" s="185"/>
      <c r="F1881" s="69"/>
      <c r="G1881" s="185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69"/>
      <c r="T1881" s="69"/>
      <c r="U1881" s="69"/>
      <c r="V1881" s="69"/>
      <c r="W1881" s="69"/>
      <c r="X1881" s="69"/>
      <c r="Y1881" s="69"/>
      <c r="Z1881" s="69"/>
      <c r="AA1881" s="69"/>
      <c r="AB1881" s="69"/>
      <c r="AC1881" s="69"/>
      <c r="AD1881" s="69"/>
      <c r="AE1881" s="69"/>
    </row>
    <row r="1882" spans="1:31" ht="22.5" customHeight="1">
      <c r="A1882" s="69"/>
      <c r="B1882" s="69"/>
      <c r="C1882" s="69"/>
      <c r="D1882" s="69"/>
      <c r="E1882" s="185"/>
      <c r="F1882" s="69"/>
      <c r="G1882" s="185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  <c r="T1882" s="69"/>
      <c r="U1882" s="69"/>
      <c r="V1882" s="69"/>
      <c r="W1882" s="69"/>
      <c r="X1882" s="69"/>
      <c r="Y1882" s="69"/>
      <c r="Z1882" s="69"/>
      <c r="AA1882" s="69"/>
      <c r="AB1882" s="69"/>
      <c r="AC1882" s="69"/>
      <c r="AD1882" s="69"/>
      <c r="AE1882" s="69"/>
    </row>
    <row r="1883" spans="1:31" ht="22.5" customHeight="1">
      <c r="A1883" s="69"/>
      <c r="B1883" s="69"/>
      <c r="C1883" s="69"/>
      <c r="D1883" s="69"/>
      <c r="E1883" s="185"/>
      <c r="F1883" s="69"/>
      <c r="G1883" s="185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  <c r="AA1883" s="69"/>
      <c r="AB1883" s="69"/>
      <c r="AC1883" s="69"/>
      <c r="AD1883" s="69"/>
      <c r="AE1883" s="69"/>
    </row>
    <row r="1884" spans="1:31" ht="22.5" customHeight="1">
      <c r="A1884" s="69"/>
      <c r="B1884" s="69"/>
      <c r="C1884" s="69"/>
      <c r="D1884" s="69"/>
      <c r="E1884" s="185"/>
      <c r="F1884" s="69"/>
      <c r="G1884" s="185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  <c r="T1884" s="69"/>
      <c r="U1884" s="69"/>
      <c r="V1884" s="69"/>
      <c r="W1884" s="69"/>
      <c r="X1884" s="69"/>
      <c r="Y1884" s="69"/>
      <c r="Z1884" s="69"/>
      <c r="AA1884" s="69"/>
      <c r="AB1884" s="69"/>
      <c r="AC1884" s="69"/>
      <c r="AD1884" s="69"/>
      <c r="AE1884" s="69"/>
    </row>
    <row r="1885" spans="1:31" ht="22.5" customHeight="1">
      <c r="A1885" s="69"/>
      <c r="B1885" s="69"/>
      <c r="C1885" s="69"/>
      <c r="D1885" s="69"/>
      <c r="E1885" s="185"/>
      <c r="F1885" s="69"/>
      <c r="G1885" s="185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69"/>
      <c r="T1885" s="69"/>
      <c r="U1885" s="69"/>
      <c r="V1885" s="69"/>
      <c r="W1885" s="69"/>
      <c r="X1885" s="69"/>
      <c r="Y1885" s="69"/>
      <c r="Z1885" s="69"/>
      <c r="AA1885" s="69"/>
      <c r="AB1885" s="69"/>
      <c r="AC1885" s="69"/>
      <c r="AD1885" s="69"/>
      <c r="AE1885" s="69"/>
    </row>
    <row r="1886" spans="1:31" ht="22.5" customHeight="1">
      <c r="A1886" s="69"/>
      <c r="B1886" s="69"/>
      <c r="C1886" s="69"/>
      <c r="D1886" s="69"/>
      <c r="E1886" s="185"/>
      <c r="F1886" s="69"/>
      <c r="G1886" s="185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69"/>
      <c r="X1886" s="69"/>
      <c r="Y1886" s="69"/>
      <c r="Z1886" s="69"/>
      <c r="AA1886" s="69"/>
      <c r="AB1886" s="69"/>
      <c r="AC1886" s="69"/>
      <c r="AD1886" s="69"/>
      <c r="AE1886" s="69"/>
    </row>
    <row r="1887" spans="1:31" ht="22.5" customHeight="1">
      <c r="A1887" s="69"/>
      <c r="B1887" s="69"/>
      <c r="C1887" s="69"/>
      <c r="D1887" s="69"/>
      <c r="E1887" s="185"/>
      <c r="F1887" s="69"/>
      <c r="G1887" s="185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69"/>
      <c r="T1887" s="69"/>
      <c r="U1887" s="69"/>
      <c r="V1887" s="69"/>
      <c r="W1887" s="69"/>
      <c r="X1887" s="69"/>
      <c r="Y1887" s="69"/>
      <c r="Z1887" s="69"/>
      <c r="AA1887" s="69"/>
      <c r="AB1887" s="69"/>
      <c r="AC1887" s="69"/>
      <c r="AD1887" s="69"/>
      <c r="AE1887" s="69"/>
    </row>
    <row r="1888" spans="1:31" ht="22.5" customHeight="1">
      <c r="A1888" s="69"/>
      <c r="B1888" s="69"/>
      <c r="C1888" s="69"/>
      <c r="D1888" s="69"/>
      <c r="E1888" s="185"/>
      <c r="F1888" s="69"/>
      <c r="G1888" s="185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  <c r="T1888" s="69"/>
      <c r="U1888" s="69"/>
      <c r="V1888" s="69"/>
      <c r="W1888" s="69"/>
      <c r="X1888" s="69"/>
      <c r="Y1888" s="69"/>
      <c r="Z1888" s="69"/>
      <c r="AA1888" s="69"/>
      <c r="AB1888" s="69"/>
      <c r="AC1888" s="69"/>
      <c r="AD1888" s="69"/>
      <c r="AE1888" s="69"/>
    </row>
    <row r="1889" spans="1:31" ht="22.5" customHeight="1">
      <c r="A1889" s="69"/>
      <c r="B1889" s="69"/>
      <c r="C1889" s="69"/>
      <c r="D1889" s="69"/>
      <c r="E1889" s="185"/>
      <c r="F1889" s="69"/>
      <c r="G1889" s="185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69"/>
      <c r="T1889" s="69"/>
      <c r="U1889" s="69"/>
      <c r="V1889" s="69"/>
      <c r="W1889" s="69"/>
      <c r="X1889" s="69"/>
      <c r="Y1889" s="69"/>
      <c r="Z1889" s="69"/>
      <c r="AA1889" s="69"/>
      <c r="AB1889" s="69"/>
      <c r="AC1889" s="69"/>
      <c r="AD1889" s="69"/>
      <c r="AE1889" s="69"/>
    </row>
    <row r="1890" spans="1:31" ht="22.5" customHeight="1">
      <c r="A1890" s="69"/>
      <c r="B1890" s="69"/>
      <c r="C1890" s="69"/>
      <c r="D1890" s="69"/>
      <c r="E1890" s="185"/>
      <c r="F1890" s="69"/>
      <c r="G1890" s="185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  <c r="T1890" s="69"/>
      <c r="U1890" s="69"/>
      <c r="V1890" s="69"/>
      <c r="W1890" s="69"/>
      <c r="X1890" s="69"/>
      <c r="Y1890" s="69"/>
      <c r="Z1890" s="69"/>
      <c r="AA1890" s="69"/>
      <c r="AB1890" s="69"/>
      <c r="AC1890" s="69"/>
      <c r="AD1890" s="69"/>
      <c r="AE1890" s="69"/>
    </row>
    <row r="1891" spans="1:31" ht="22.5" customHeight="1">
      <c r="A1891" s="69"/>
      <c r="B1891" s="69"/>
      <c r="C1891" s="69"/>
      <c r="D1891" s="69"/>
      <c r="E1891" s="185"/>
      <c r="F1891" s="69"/>
      <c r="G1891" s="185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69"/>
      <c r="T1891" s="69"/>
      <c r="U1891" s="69"/>
      <c r="V1891" s="69"/>
      <c r="W1891" s="69"/>
      <c r="X1891" s="69"/>
      <c r="Y1891" s="69"/>
      <c r="Z1891" s="69"/>
      <c r="AA1891" s="69"/>
      <c r="AB1891" s="69"/>
      <c r="AC1891" s="69"/>
      <c r="AD1891" s="69"/>
      <c r="AE1891" s="69"/>
    </row>
    <row r="1892" spans="1:31" ht="22.5" customHeight="1">
      <c r="A1892" s="69"/>
      <c r="B1892" s="69"/>
      <c r="C1892" s="69"/>
      <c r="D1892" s="69"/>
      <c r="E1892" s="185"/>
      <c r="F1892" s="69"/>
      <c r="G1892" s="185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  <c r="T1892" s="69"/>
      <c r="U1892" s="69"/>
      <c r="V1892" s="69"/>
      <c r="W1892" s="69"/>
      <c r="X1892" s="69"/>
      <c r="Y1892" s="69"/>
      <c r="Z1892" s="69"/>
      <c r="AA1892" s="69"/>
      <c r="AB1892" s="69"/>
      <c r="AC1892" s="69"/>
      <c r="AD1892" s="69"/>
      <c r="AE1892" s="69"/>
    </row>
    <row r="1893" spans="1:31" ht="22.5" customHeight="1">
      <c r="A1893" s="69"/>
      <c r="B1893" s="69"/>
      <c r="C1893" s="69"/>
      <c r="D1893" s="69"/>
      <c r="E1893" s="185"/>
      <c r="F1893" s="69"/>
      <c r="G1893" s="185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69"/>
      <c r="T1893" s="69"/>
      <c r="U1893" s="69"/>
      <c r="V1893" s="69"/>
      <c r="W1893" s="69"/>
      <c r="X1893" s="69"/>
      <c r="Y1893" s="69"/>
      <c r="Z1893" s="69"/>
      <c r="AA1893" s="69"/>
      <c r="AB1893" s="69"/>
      <c r="AC1893" s="69"/>
      <c r="AD1893" s="69"/>
      <c r="AE1893" s="69"/>
    </row>
    <row r="1894" spans="1:31" ht="22.5" customHeight="1">
      <c r="A1894" s="69"/>
      <c r="B1894" s="69"/>
      <c r="C1894" s="69"/>
      <c r="D1894" s="69"/>
      <c r="E1894" s="185"/>
      <c r="F1894" s="69"/>
      <c r="G1894" s="185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  <c r="T1894" s="69"/>
      <c r="U1894" s="69"/>
      <c r="V1894" s="69"/>
      <c r="W1894" s="69"/>
      <c r="X1894" s="69"/>
      <c r="Y1894" s="69"/>
      <c r="Z1894" s="69"/>
      <c r="AA1894" s="69"/>
      <c r="AB1894" s="69"/>
      <c r="AC1894" s="69"/>
      <c r="AD1894" s="69"/>
      <c r="AE1894" s="69"/>
    </row>
    <row r="1895" spans="1:31" ht="22.5" customHeight="1">
      <c r="A1895" s="69"/>
      <c r="B1895" s="69"/>
      <c r="C1895" s="69"/>
      <c r="D1895" s="69"/>
      <c r="E1895" s="185"/>
      <c r="F1895" s="69"/>
      <c r="G1895" s="185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69"/>
      <c r="T1895" s="69"/>
      <c r="U1895" s="69"/>
      <c r="V1895" s="69"/>
      <c r="W1895" s="69"/>
      <c r="X1895" s="69"/>
      <c r="Y1895" s="69"/>
      <c r="Z1895" s="69"/>
      <c r="AA1895" s="69"/>
      <c r="AB1895" s="69"/>
      <c r="AC1895" s="69"/>
      <c r="AD1895" s="69"/>
      <c r="AE1895" s="69"/>
    </row>
    <row r="1896" spans="1:31" ht="22.5" customHeight="1">
      <c r="A1896" s="69"/>
      <c r="B1896" s="69"/>
      <c r="C1896" s="69"/>
      <c r="D1896" s="69"/>
      <c r="E1896" s="185"/>
      <c r="F1896" s="69"/>
      <c r="G1896" s="185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  <c r="T1896" s="69"/>
      <c r="U1896" s="69"/>
      <c r="V1896" s="69"/>
      <c r="W1896" s="69"/>
      <c r="X1896" s="69"/>
      <c r="Y1896" s="69"/>
      <c r="Z1896" s="69"/>
      <c r="AA1896" s="69"/>
      <c r="AB1896" s="69"/>
      <c r="AC1896" s="69"/>
      <c r="AD1896" s="69"/>
      <c r="AE1896" s="69"/>
    </row>
    <row r="1897" spans="1:31" ht="22.5" customHeight="1">
      <c r="A1897" s="69"/>
      <c r="B1897" s="69"/>
      <c r="C1897" s="69"/>
      <c r="D1897" s="69"/>
      <c r="E1897" s="185"/>
      <c r="F1897" s="69"/>
      <c r="G1897" s="185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69"/>
      <c r="T1897" s="69"/>
      <c r="U1897" s="69"/>
      <c r="V1897" s="69"/>
      <c r="W1897" s="69"/>
      <c r="X1897" s="69"/>
      <c r="Y1897" s="69"/>
      <c r="Z1897" s="69"/>
      <c r="AA1897" s="69"/>
      <c r="AB1897" s="69"/>
      <c r="AC1897" s="69"/>
      <c r="AD1897" s="69"/>
      <c r="AE1897" s="69"/>
    </row>
    <row r="1898" spans="1:31" ht="22.5" customHeight="1">
      <c r="A1898" s="69"/>
      <c r="B1898" s="69"/>
      <c r="C1898" s="69"/>
      <c r="D1898" s="69"/>
      <c r="E1898" s="185"/>
      <c r="F1898" s="69"/>
      <c r="G1898" s="185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  <c r="T1898" s="69"/>
      <c r="U1898" s="69"/>
      <c r="V1898" s="69"/>
      <c r="W1898" s="69"/>
      <c r="X1898" s="69"/>
      <c r="Y1898" s="69"/>
      <c r="Z1898" s="69"/>
      <c r="AA1898" s="69"/>
      <c r="AB1898" s="69"/>
      <c r="AC1898" s="69"/>
      <c r="AD1898" s="69"/>
      <c r="AE1898" s="69"/>
    </row>
    <row r="1899" spans="1:31" ht="22.5" customHeight="1">
      <c r="A1899" s="69"/>
      <c r="B1899" s="69"/>
      <c r="C1899" s="69"/>
      <c r="D1899" s="69"/>
      <c r="E1899" s="185"/>
      <c r="F1899" s="69"/>
      <c r="G1899" s="185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69"/>
      <c r="T1899" s="69"/>
      <c r="U1899" s="69"/>
      <c r="V1899" s="69"/>
      <c r="W1899" s="69"/>
      <c r="X1899" s="69"/>
      <c r="Y1899" s="69"/>
      <c r="Z1899" s="69"/>
      <c r="AA1899" s="69"/>
      <c r="AB1899" s="69"/>
      <c r="AC1899" s="69"/>
      <c r="AD1899" s="69"/>
      <c r="AE1899" s="69"/>
    </row>
    <row r="1900" spans="1:31" ht="22.5" customHeight="1">
      <c r="A1900" s="69"/>
      <c r="B1900" s="69"/>
      <c r="C1900" s="69"/>
      <c r="D1900" s="69"/>
      <c r="E1900" s="185"/>
      <c r="F1900" s="69"/>
      <c r="G1900" s="185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  <c r="T1900" s="69"/>
      <c r="U1900" s="69"/>
      <c r="V1900" s="69"/>
      <c r="W1900" s="69"/>
      <c r="X1900" s="69"/>
      <c r="Y1900" s="69"/>
      <c r="Z1900" s="69"/>
      <c r="AA1900" s="69"/>
      <c r="AB1900" s="69"/>
      <c r="AC1900" s="69"/>
      <c r="AD1900" s="69"/>
      <c r="AE1900" s="69"/>
    </row>
    <row r="1901" spans="1:31" ht="22.5" customHeight="1">
      <c r="A1901" s="69"/>
      <c r="B1901" s="69"/>
      <c r="C1901" s="69"/>
      <c r="D1901" s="69"/>
      <c r="E1901" s="185"/>
      <c r="F1901" s="69"/>
      <c r="G1901" s="185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69"/>
      <c r="T1901" s="69"/>
      <c r="U1901" s="69"/>
      <c r="V1901" s="69"/>
      <c r="W1901" s="69"/>
      <c r="X1901" s="69"/>
      <c r="Y1901" s="69"/>
      <c r="Z1901" s="69"/>
      <c r="AA1901" s="69"/>
      <c r="AB1901" s="69"/>
      <c r="AC1901" s="69"/>
      <c r="AD1901" s="69"/>
      <c r="AE1901" s="69"/>
    </row>
    <row r="1902" spans="1:31" ht="22.5" customHeight="1">
      <c r="A1902" s="69"/>
      <c r="B1902" s="69"/>
      <c r="C1902" s="69"/>
      <c r="D1902" s="69"/>
      <c r="E1902" s="185"/>
      <c r="F1902" s="69"/>
      <c r="G1902" s="185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  <c r="T1902" s="69"/>
      <c r="U1902" s="69"/>
      <c r="V1902" s="69"/>
      <c r="W1902" s="69"/>
      <c r="X1902" s="69"/>
      <c r="Y1902" s="69"/>
      <c r="Z1902" s="69"/>
      <c r="AA1902" s="69"/>
      <c r="AB1902" s="69"/>
      <c r="AC1902" s="69"/>
      <c r="AD1902" s="69"/>
      <c r="AE1902" s="69"/>
    </row>
    <row r="1903" spans="1:31" ht="22.5" customHeight="1">
      <c r="A1903" s="69"/>
      <c r="B1903" s="69"/>
      <c r="C1903" s="69"/>
      <c r="D1903" s="69"/>
      <c r="E1903" s="185"/>
      <c r="F1903" s="69"/>
      <c r="G1903" s="185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69"/>
      <c r="T1903" s="69"/>
      <c r="U1903" s="69"/>
      <c r="V1903" s="69"/>
      <c r="W1903" s="69"/>
      <c r="X1903" s="69"/>
      <c r="Y1903" s="69"/>
      <c r="Z1903" s="69"/>
      <c r="AA1903" s="69"/>
      <c r="AB1903" s="69"/>
      <c r="AC1903" s="69"/>
      <c r="AD1903" s="69"/>
      <c r="AE1903" s="69"/>
    </row>
    <row r="1904" spans="1:31" ht="22.5" customHeight="1">
      <c r="A1904" s="69"/>
      <c r="B1904" s="69"/>
      <c r="C1904" s="69"/>
      <c r="D1904" s="69"/>
      <c r="E1904" s="185"/>
      <c r="F1904" s="69"/>
      <c r="G1904" s="185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69"/>
      <c r="X1904" s="69"/>
      <c r="Y1904" s="69"/>
      <c r="Z1904" s="69"/>
      <c r="AA1904" s="69"/>
      <c r="AB1904" s="69"/>
      <c r="AC1904" s="69"/>
      <c r="AD1904" s="69"/>
      <c r="AE1904" s="69"/>
    </row>
    <row r="1905" spans="1:31" ht="22.5" customHeight="1">
      <c r="A1905" s="69"/>
      <c r="B1905" s="69"/>
      <c r="C1905" s="69"/>
      <c r="D1905" s="69"/>
      <c r="E1905" s="185"/>
      <c r="F1905" s="69"/>
      <c r="G1905" s="185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69"/>
      <c r="T1905" s="69"/>
      <c r="U1905" s="69"/>
      <c r="V1905" s="69"/>
      <c r="W1905" s="69"/>
      <c r="X1905" s="69"/>
      <c r="Y1905" s="69"/>
      <c r="Z1905" s="69"/>
      <c r="AA1905" s="69"/>
      <c r="AB1905" s="69"/>
      <c r="AC1905" s="69"/>
      <c r="AD1905" s="69"/>
      <c r="AE1905" s="69"/>
    </row>
    <row r="1906" spans="1:31" ht="22.5" customHeight="1">
      <c r="A1906" s="69"/>
      <c r="B1906" s="69"/>
      <c r="C1906" s="69"/>
      <c r="D1906" s="69"/>
      <c r="E1906" s="185"/>
      <c r="F1906" s="69"/>
      <c r="G1906" s="185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  <c r="T1906" s="69"/>
      <c r="U1906" s="69"/>
      <c r="V1906" s="69"/>
      <c r="W1906" s="69"/>
      <c r="X1906" s="69"/>
      <c r="Y1906" s="69"/>
      <c r="Z1906" s="69"/>
      <c r="AA1906" s="69"/>
      <c r="AB1906" s="69"/>
      <c r="AC1906" s="69"/>
      <c r="AD1906" s="69"/>
      <c r="AE1906" s="69"/>
    </row>
    <row r="1907" spans="1:31" ht="22.5" customHeight="1">
      <c r="A1907" s="69"/>
      <c r="B1907" s="69"/>
      <c r="C1907" s="69"/>
      <c r="D1907" s="69"/>
      <c r="E1907" s="185"/>
      <c r="F1907" s="69"/>
      <c r="G1907" s="185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69"/>
      <c r="T1907" s="69"/>
      <c r="U1907" s="69"/>
      <c r="V1907" s="69"/>
      <c r="W1907" s="69"/>
      <c r="X1907" s="69"/>
      <c r="Y1907" s="69"/>
      <c r="Z1907" s="69"/>
      <c r="AA1907" s="69"/>
      <c r="AB1907" s="69"/>
      <c r="AC1907" s="69"/>
      <c r="AD1907" s="69"/>
      <c r="AE1907" s="69"/>
    </row>
    <row r="1908" spans="1:31" ht="22.5" customHeight="1">
      <c r="A1908" s="69"/>
      <c r="B1908" s="69"/>
      <c r="C1908" s="69"/>
      <c r="D1908" s="69"/>
      <c r="E1908" s="185"/>
      <c r="F1908" s="69"/>
      <c r="G1908" s="185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  <c r="T1908" s="69"/>
      <c r="U1908" s="69"/>
      <c r="V1908" s="69"/>
      <c r="W1908" s="69"/>
      <c r="X1908" s="69"/>
      <c r="Y1908" s="69"/>
      <c r="Z1908" s="69"/>
      <c r="AA1908" s="69"/>
      <c r="AB1908" s="69"/>
      <c r="AC1908" s="69"/>
      <c r="AD1908" s="69"/>
      <c r="AE1908" s="69"/>
    </row>
    <row r="1909" spans="1:31" ht="22.5" customHeight="1">
      <c r="A1909" s="69"/>
      <c r="B1909" s="69"/>
      <c r="C1909" s="69"/>
      <c r="D1909" s="69"/>
      <c r="E1909" s="185"/>
      <c r="F1909" s="69"/>
      <c r="G1909" s="185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69"/>
      <c r="T1909" s="69"/>
      <c r="U1909" s="69"/>
      <c r="V1909" s="69"/>
      <c r="W1909" s="69"/>
      <c r="X1909" s="69"/>
      <c r="Y1909" s="69"/>
      <c r="Z1909" s="69"/>
      <c r="AA1909" s="69"/>
      <c r="AB1909" s="69"/>
      <c r="AC1909" s="69"/>
      <c r="AD1909" s="69"/>
      <c r="AE1909" s="69"/>
    </row>
    <row r="1910" spans="1:31" ht="22.5" customHeight="1">
      <c r="A1910" s="69"/>
      <c r="B1910" s="69"/>
      <c r="C1910" s="69"/>
      <c r="D1910" s="69"/>
      <c r="E1910" s="185"/>
      <c r="F1910" s="69"/>
      <c r="G1910" s="185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  <c r="T1910" s="69"/>
      <c r="U1910" s="69"/>
      <c r="V1910" s="69"/>
      <c r="W1910" s="69"/>
      <c r="X1910" s="69"/>
      <c r="Y1910" s="69"/>
      <c r="Z1910" s="69"/>
      <c r="AA1910" s="69"/>
      <c r="AB1910" s="69"/>
      <c r="AC1910" s="69"/>
      <c r="AD1910" s="69"/>
      <c r="AE1910" s="69"/>
    </row>
    <row r="1911" spans="1:31" ht="22.5" customHeight="1">
      <c r="A1911" s="69"/>
      <c r="B1911" s="69"/>
      <c r="C1911" s="69"/>
      <c r="D1911" s="69"/>
      <c r="E1911" s="185"/>
      <c r="F1911" s="69"/>
      <c r="G1911" s="185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69"/>
      <c r="T1911" s="69"/>
      <c r="U1911" s="69"/>
      <c r="V1911" s="69"/>
      <c r="W1911" s="69"/>
      <c r="X1911" s="69"/>
      <c r="Y1911" s="69"/>
      <c r="Z1911" s="69"/>
      <c r="AA1911" s="69"/>
      <c r="AB1911" s="69"/>
      <c r="AC1911" s="69"/>
      <c r="AD1911" s="69"/>
      <c r="AE1911" s="69"/>
    </row>
    <row r="1912" spans="1:31" ht="22.5" customHeight="1">
      <c r="A1912" s="69"/>
      <c r="B1912" s="69"/>
      <c r="C1912" s="69"/>
      <c r="D1912" s="69"/>
      <c r="E1912" s="185"/>
      <c r="F1912" s="69"/>
      <c r="G1912" s="185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  <c r="T1912" s="69"/>
      <c r="U1912" s="69"/>
      <c r="V1912" s="69"/>
      <c r="W1912" s="69"/>
      <c r="X1912" s="69"/>
      <c r="Y1912" s="69"/>
      <c r="Z1912" s="69"/>
      <c r="AA1912" s="69"/>
      <c r="AB1912" s="69"/>
      <c r="AC1912" s="69"/>
      <c r="AD1912" s="69"/>
      <c r="AE1912" s="69"/>
    </row>
    <row r="1913" spans="1:31" ht="22.5" customHeight="1">
      <c r="A1913" s="69"/>
      <c r="B1913" s="69"/>
      <c r="C1913" s="69"/>
      <c r="D1913" s="69"/>
      <c r="E1913" s="185"/>
      <c r="F1913" s="69"/>
      <c r="G1913" s="185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69"/>
      <c r="T1913" s="69"/>
      <c r="U1913" s="69"/>
      <c r="V1913" s="69"/>
      <c r="W1913" s="69"/>
      <c r="X1913" s="69"/>
      <c r="Y1913" s="69"/>
      <c r="Z1913" s="69"/>
      <c r="AA1913" s="69"/>
      <c r="AB1913" s="69"/>
      <c r="AC1913" s="69"/>
      <c r="AD1913" s="69"/>
      <c r="AE1913" s="69"/>
    </row>
    <row r="1914" spans="1:31" ht="22.5" customHeight="1">
      <c r="A1914" s="69"/>
      <c r="B1914" s="69"/>
      <c r="C1914" s="69"/>
      <c r="D1914" s="69"/>
      <c r="E1914" s="185"/>
      <c r="F1914" s="69"/>
      <c r="G1914" s="185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  <c r="T1914" s="69"/>
      <c r="U1914" s="69"/>
      <c r="V1914" s="69"/>
      <c r="W1914" s="69"/>
      <c r="X1914" s="69"/>
      <c r="Y1914" s="69"/>
      <c r="Z1914" s="69"/>
      <c r="AA1914" s="69"/>
      <c r="AB1914" s="69"/>
      <c r="AC1914" s="69"/>
      <c r="AD1914" s="69"/>
      <c r="AE1914" s="69"/>
    </row>
    <row r="1915" spans="1:31" ht="22.5" customHeight="1">
      <c r="A1915" s="69"/>
      <c r="B1915" s="69"/>
      <c r="C1915" s="69"/>
      <c r="D1915" s="69"/>
      <c r="E1915" s="185"/>
      <c r="F1915" s="69"/>
      <c r="G1915" s="185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69"/>
      <c r="T1915" s="69"/>
      <c r="U1915" s="69"/>
      <c r="V1915" s="69"/>
      <c r="W1915" s="69"/>
      <c r="X1915" s="69"/>
      <c r="Y1915" s="69"/>
      <c r="Z1915" s="69"/>
      <c r="AA1915" s="69"/>
      <c r="AB1915" s="69"/>
      <c r="AC1915" s="69"/>
      <c r="AD1915" s="69"/>
      <c r="AE1915" s="69"/>
    </row>
    <row r="1916" spans="1:31" ht="22.5" customHeight="1">
      <c r="A1916" s="69"/>
      <c r="B1916" s="69"/>
      <c r="C1916" s="69"/>
      <c r="D1916" s="69"/>
      <c r="E1916" s="185"/>
      <c r="F1916" s="69"/>
      <c r="G1916" s="185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  <c r="T1916" s="69"/>
      <c r="U1916" s="69"/>
      <c r="V1916" s="69"/>
      <c r="W1916" s="69"/>
      <c r="X1916" s="69"/>
      <c r="Y1916" s="69"/>
      <c r="Z1916" s="69"/>
      <c r="AA1916" s="69"/>
      <c r="AB1916" s="69"/>
      <c r="AC1916" s="69"/>
      <c r="AD1916" s="69"/>
      <c r="AE1916" s="69"/>
    </row>
    <row r="1917" spans="1:31" ht="22.5" customHeight="1">
      <c r="A1917" s="69"/>
      <c r="B1917" s="69"/>
      <c r="C1917" s="69"/>
      <c r="D1917" s="69"/>
      <c r="E1917" s="185"/>
      <c r="F1917" s="69"/>
      <c r="G1917" s="185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69"/>
      <c r="T1917" s="69"/>
      <c r="U1917" s="69"/>
      <c r="V1917" s="69"/>
      <c r="W1917" s="69"/>
      <c r="X1917" s="69"/>
      <c r="Y1917" s="69"/>
      <c r="Z1917" s="69"/>
      <c r="AA1917" s="69"/>
      <c r="AB1917" s="69"/>
      <c r="AC1917" s="69"/>
      <c r="AD1917" s="69"/>
      <c r="AE1917" s="69"/>
    </row>
    <row r="1918" spans="1:31" ht="22.5" customHeight="1">
      <c r="A1918" s="69"/>
      <c r="B1918" s="69"/>
      <c r="C1918" s="69"/>
      <c r="D1918" s="69"/>
      <c r="E1918" s="185"/>
      <c r="F1918" s="69"/>
      <c r="G1918" s="185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  <c r="T1918" s="69"/>
      <c r="U1918" s="69"/>
      <c r="V1918" s="69"/>
      <c r="W1918" s="69"/>
      <c r="X1918" s="69"/>
      <c r="Y1918" s="69"/>
      <c r="Z1918" s="69"/>
      <c r="AA1918" s="69"/>
      <c r="AB1918" s="69"/>
      <c r="AC1918" s="69"/>
      <c r="AD1918" s="69"/>
      <c r="AE1918" s="69"/>
    </row>
    <row r="1919" spans="1:31" ht="22.5" customHeight="1">
      <c r="A1919" s="69"/>
      <c r="B1919" s="69"/>
      <c r="C1919" s="69"/>
      <c r="D1919" s="69"/>
      <c r="E1919" s="185"/>
      <c r="F1919" s="69"/>
      <c r="G1919" s="185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69"/>
      <c r="T1919" s="69"/>
      <c r="U1919" s="69"/>
      <c r="V1919" s="69"/>
      <c r="W1919" s="69"/>
      <c r="X1919" s="69"/>
      <c r="Y1919" s="69"/>
      <c r="Z1919" s="69"/>
      <c r="AA1919" s="69"/>
      <c r="AB1919" s="69"/>
      <c r="AC1919" s="69"/>
      <c r="AD1919" s="69"/>
      <c r="AE1919" s="69"/>
    </row>
    <row r="1920" spans="1:31" ht="22.5" customHeight="1">
      <c r="A1920" s="69"/>
      <c r="B1920" s="69"/>
      <c r="C1920" s="69"/>
      <c r="D1920" s="69"/>
      <c r="E1920" s="185"/>
      <c r="F1920" s="69"/>
      <c r="G1920" s="185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  <c r="T1920" s="69"/>
      <c r="U1920" s="69"/>
      <c r="V1920" s="69"/>
      <c r="W1920" s="69"/>
      <c r="X1920" s="69"/>
      <c r="Y1920" s="69"/>
      <c r="Z1920" s="69"/>
      <c r="AA1920" s="69"/>
      <c r="AB1920" s="69"/>
      <c r="AC1920" s="69"/>
      <c r="AD1920" s="69"/>
      <c r="AE1920" s="69"/>
    </row>
    <row r="1921" spans="1:31" ht="22.5" customHeight="1">
      <c r="A1921" s="69"/>
      <c r="B1921" s="69"/>
      <c r="C1921" s="69"/>
      <c r="D1921" s="69"/>
      <c r="E1921" s="185"/>
      <c r="F1921" s="69"/>
      <c r="G1921" s="185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69"/>
      <c r="T1921" s="69"/>
      <c r="U1921" s="69"/>
      <c r="V1921" s="69"/>
      <c r="W1921" s="69"/>
      <c r="X1921" s="69"/>
      <c r="Y1921" s="69"/>
      <c r="Z1921" s="69"/>
      <c r="AA1921" s="69"/>
      <c r="AB1921" s="69"/>
      <c r="AC1921" s="69"/>
      <c r="AD1921" s="69"/>
      <c r="AE1921" s="69"/>
    </row>
    <row r="1922" spans="1:31" ht="22.5" customHeight="1">
      <c r="A1922" s="69"/>
      <c r="B1922" s="69"/>
      <c r="C1922" s="69"/>
      <c r="D1922" s="69"/>
      <c r="E1922" s="185"/>
      <c r="F1922" s="69"/>
      <c r="G1922" s="185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69"/>
      <c r="X1922" s="69"/>
      <c r="Y1922" s="69"/>
      <c r="Z1922" s="69"/>
      <c r="AA1922" s="69"/>
      <c r="AB1922" s="69"/>
      <c r="AC1922" s="69"/>
      <c r="AD1922" s="69"/>
      <c r="AE1922" s="69"/>
    </row>
    <row r="1923" spans="1:31" ht="22.5" customHeight="1">
      <c r="A1923" s="69"/>
      <c r="B1923" s="69"/>
      <c r="C1923" s="69"/>
      <c r="D1923" s="69"/>
      <c r="E1923" s="185"/>
      <c r="F1923" s="69"/>
      <c r="G1923" s="185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  <c r="AA1923" s="69"/>
      <c r="AB1923" s="69"/>
      <c r="AC1923" s="69"/>
      <c r="AD1923" s="69"/>
      <c r="AE1923" s="69"/>
    </row>
    <row r="1924" spans="1:31" ht="22.5" customHeight="1">
      <c r="A1924" s="69"/>
      <c r="B1924" s="69"/>
      <c r="C1924" s="69"/>
      <c r="D1924" s="69"/>
      <c r="E1924" s="185"/>
      <c r="F1924" s="69"/>
      <c r="G1924" s="185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  <c r="T1924" s="69"/>
      <c r="U1924" s="69"/>
      <c r="V1924" s="69"/>
      <c r="W1924" s="69"/>
      <c r="X1924" s="69"/>
      <c r="Y1924" s="69"/>
      <c r="Z1924" s="69"/>
      <c r="AA1924" s="69"/>
      <c r="AB1924" s="69"/>
      <c r="AC1924" s="69"/>
      <c r="AD1924" s="69"/>
      <c r="AE1924" s="69"/>
    </row>
    <row r="1925" spans="1:31" ht="22.5" customHeight="1">
      <c r="A1925" s="69"/>
      <c r="B1925" s="69"/>
      <c r="C1925" s="69"/>
      <c r="D1925" s="69"/>
      <c r="E1925" s="185"/>
      <c r="F1925" s="69"/>
      <c r="G1925" s="185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69"/>
      <c r="T1925" s="69"/>
      <c r="U1925" s="69"/>
      <c r="V1925" s="69"/>
      <c r="W1925" s="69"/>
      <c r="X1925" s="69"/>
      <c r="Y1925" s="69"/>
      <c r="Z1925" s="69"/>
      <c r="AA1925" s="69"/>
      <c r="AB1925" s="69"/>
      <c r="AC1925" s="69"/>
      <c r="AD1925" s="69"/>
      <c r="AE1925" s="69"/>
    </row>
    <row r="1926" spans="1:31" ht="22.5" customHeight="1">
      <c r="A1926" s="69"/>
      <c r="B1926" s="69"/>
      <c r="C1926" s="69"/>
      <c r="D1926" s="69"/>
      <c r="E1926" s="185"/>
      <c r="F1926" s="69"/>
      <c r="G1926" s="185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  <c r="T1926" s="69"/>
      <c r="U1926" s="69"/>
      <c r="V1926" s="69"/>
      <c r="W1926" s="69"/>
      <c r="X1926" s="69"/>
      <c r="Y1926" s="69"/>
      <c r="Z1926" s="69"/>
      <c r="AA1926" s="69"/>
      <c r="AB1926" s="69"/>
      <c r="AC1926" s="69"/>
      <c r="AD1926" s="69"/>
      <c r="AE1926" s="69"/>
    </row>
    <row r="1927" spans="1:31" ht="22.5" customHeight="1">
      <c r="A1927" s="69"/>
      <c r="B1927" s="69"/>
      <c r="C1927" s="69"/>
      <c r="D1927" s="69"/>
      <c r="E1927" s="185"/>
      <c r="F1927" s="69"/>
      <c r="G1927" s="185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  <c r="T1927" s="69"/>
      <c r="U1927" s="69"/>
      <c r="V1927" s="69"/>
      <c r="W1927" s="69"/>
      <c r="X1927" s="69"/>
      <c r="Y1927" s="69"/>
      <c r="Z1927" s="69"/>
      <c r="AA1927" s="69"/>
      <c r="AB1927" s="69"/>
      <c r="AC1927" s="69"/>
      <c r="AD1927" s="69"/>
      <c r="AE1927" s="69"/>
    </row>
    <row r="1928" spans="1:31" ht="22.5" customHeight="1">
      <c r="A1928" s="69"/>
      <c r="B1928" s="69"/>
      <c r="C1928" s="69"/>
      <c r="D1928" s="69"/>
      <c r="E1928" s="185"/>
      <c r="F1928" s="69"/>
      <c r="G1928" s="185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  <c r="T1928" s="69"/>
      <c r="U1928" s="69"/>
      <c r="V1928" s="69"/>
      <c r="W1928" s="69"/>
      <c r="X1928" s="69"/>
      <c r="Y1928" s="69"/>
      <c r="Z1928" s="69"/>
      <c r="AA1928" s="69"/>
      <c r="AB1928" s="69"/>
      <c r="AC1928" s="69"/>
      <c r="AD1928" s="69"/>
      <c r="AE1928" s="69"/>
    </row>
    <row r="1929" spans="1:31" ht="22.5" customHeight="1">
      <c r="A1929" s="69"/>
      <c r="B1929" s="69"/>
      <c r="C1929" s="69"/>
      <c r="D1929" s="69"/>
      <c r="E1929" s="185"/>
      <c r="F1929" s="69"/>
      <c r="G1929" s="185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69"/>
      <c r="T1929" s="69"/>
      <c r="U1929" s="69"/>
      <c r="V1929" s="69"/>
      <c r="W1929" s="69"/>
      <c r="X1929" s="69"/>
      <c r="Y1929" s="69"/>
      <c r="Z1929" s="69"/>
      <c r="AA1929" s="69"/>
      <c r="AB1929" s="69"/>
      <c r="AC1929" s="69"/>
      <c r="AD1929" s="69"/>
      <c r="AE1929" s="69"/>
    </row>
    <row r="1930" spans="1:31" ht="22.5" customHeight="1">
      <c r="A1930" s="69"/>
      <c r="B1930" s="69"/>
      <c r="C1930" s="69"/>
      <c r="D1930" s="69"/>
      <c r="E1930" s="185"/>
      <c r="F1930" s="69"/>
      <c r="G1930" s="185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  <c r="T1930" s="69"/>
      <c r="U1930" s="69"/>
      <c r="V1930" s="69"/>
      <c r="W1930" s="69"/>
      <c r="X1930" s="69"/>
      <c r="Y1930" s="69"/>
      <c r="Z1930" s="69"/>
      <c r="AA1930" s="69"/>
      <c r="AB1930" s="69"/>
      <c r="AC1930" s="69"/>
      <c r="AD1930" s="69"/>
      <c r="AE1930" s="69"/>
    </row>
    <row r="1931" spans="1:31" ht="22.5" customHeight="1">
      <c r="A1931" s="69"/>
      <c r="B1931" s="69"/>
      <c r="C1931" s="69"/>
      <c r="D1931" s="69"/>
      <c r="E1931" s="185"/>
      <c r="F1931" s="69"/>
      <c r="G1931" s="185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69"/>
      <c r="T1931" s="69"/>
      <c r="U1931" s="69"/>
      <c r="V1931" s="69"/>
      <c r="W1931" s="69"/>
      <c r="X1931" s="69"/>
      <c r="Y1931" s="69"/>
      <c r="Z1931" s="69"/>
      <c r="AA1931" s="69"/>
      <c r="AB1931" s="69"/>
      <c r="AC1931" s="69"/>
      <c r="AD1931" s="69"/>
      <c r="AE1931" s="69"/>
    </row>
    <row r="1932" spans="1:31" ht="22.5" customHeight="1">
      <c r="A1932" s="69"/>
      <c r="B1932" s="69"/>
      <c r="C1932" s="69"/>
      <c r="D1932" s="69"/>
      <c r="E1932" s="185"/>
      <c r="F1932" s="69"/>
      <c r="G1932" s="185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  <c r="T1932" s="69"/>
      <c r="U1932" s="69"/>
      <c r="V1932" s="69"/>
      <c r="W1932" s="69"/>
      <c r="X1932" s="69"/>
      <c r="Y1932" s="69"/>
      <c r="Z1932" s="69"/>
      <c r="AA1932" s="69"/>
      <c r="AB1932" s="69"/>
      <c r="AC1932" s="69"/>
      <c r="AD1932" s="69"/>
      <c r="AE1932" s="69"/>
    </row>
    <row r="1933" spans="1:31" ht="22.5" customHeight="1">
      <c r="A1933" s="69"/>
      <c r="B1933" s="69"/>
      <c r="C1933" s="69"/>
      <c r="D1933" s="69"/>
      <c r="E1933" s="185"/>
      <c r="F1933" s="69"/>
      <c r="G1933" s="185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69"/>
      <c r="T1933" s="69"/>
      <c r="U1933" s="69"/>
      <c r="V1933" s="69"/>
      <c r="W1933" s="69"/>
      <c r="X1933" s="69"/>
      <c r="Y1933" s="69"/>
      <c r="Z1933" s="69"/>
      <c r="AA1933" s="69"/>
      <c r="AB1933" s="69"/>
      <c r="AC1933" s="69"/>
      <c r="AD1933" s="69"/>
      <c r="AE1933" s="69"/>
    </row>
    <row r="1934" spans="1:31" ht="22.5" customHeight="1">
      <c r="A1934" s="69"/>
      <c r="B1934" s="69"/>
      <c r="C1934" s="69"/>
      <c r="D1934" s="69"/>
      <c r="E1934" s="185"/>
      <c r="F1934" s="69"/>
      <c r="G1934" s="185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  <c r="T1934" s="69"/>
      <c r="U1934" s="69"/>
      <c r="V1934" s="69"/>
      <c r="W1934" s="69"/>
      <c r="X1934" s="69"/>
      <c r="Y1934" s="69"/>
      <c r="Z1934" s="69"/>
      <c r="AA1934" s="69"/>
      <c r="AB1934" s="69"/>
      <c r="AC1934" s="69"/>
      <c r="AD1934" s="69"/>
      <c r="AE1934" s="69"/>
    </row>
    <row r="1935" spans="1:31" ht="22.5" customHeight="1">
      <c r="A1935" s="69"/>
      <c r="B1935" s="69"/>
      <c r="C1935" s="69"/>
      <c r="D1935" s="69"/>
      <c r="E1935" s="185"/>
      <c r="F1935" s="69"/>
      <c r="G1935" s="185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69"/>
      <c r="T1935" s="69"/>
      <c r="U1935" s="69"/>
      <c r="V1935" s="69"/>
      <c r="W1935" s="69"/>
      <c r="X1935" s="69"/>
      <c r="Y1935" s="69"/>
      <c r="Z1935" s="69"/>
      <c r="AA1935" s="69"/>
      <c r="AB1935" s="69"/>
      <c r="AC1935" s="69"/>
      <c r="AD1935" s="69"/>
      <c r="AE1935" s="69"/>
    </row>
    <row r="1936" spans="1:31" ht="22.5" customHeight="1">
      <c r="A1936" s="69"/>
      <c r="B1936" s="69"/>
      <c r="C1936" s="69"/>
      <c r="D1936" s="69"/>
      <c r="E1936" s="185"/>
      <c r="F1936" s="69"/>
      <c r="G1936" s="185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  <c r="T1936" s="69"/>
      <c r="U1936" s="69"/>
      <c r="V1936" s="69"/>
      <c r="W1936" s="69"/>
      <c r="X1936" s="69"/>
      <c r="Y1936" s="69"/>
      <c r="Z1936" s="69"/>
      <c r="AA1936" s="69"/>
      <c r="AB1936" s="69"/>
      <c r="AC1936" s="69"/>
      <c r="AD1936" s="69"/>
      <c r="AE1936" s="69"/>
    </row>
    <row r="1937" spans="1:31" ht="22.5" customHeight="1">
      <c r="A1937" s="69"/>
      <c r="B1937" s="69"/>
      <c r="C1937" s="69"/>
      <c r="D1937" s="69"/>
      <c r="E1937" s="185"/>
      <c r="F1937" s="69"/>
      <c r="G1937" s="185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69"/>
      <c r="T1937" s="69"/>
      <c r="U1937" s="69"/>
      <c r="V1937" s="69"/>
      <c r="W1937" s="69"/>
      <c r="X1937" s="69"/>
      <c r="Y1937" s="69"/>
      <c r="Z1937" s="69"/>
      <c r="AA1937" s="69"/>
      <c r="AB1937" s="69"/>
      <c r="AC1937" s="69"/>
      <c r="AD1937" s="69"/>
      <c r="AE1937" s="69"/>
    </row>
    <row r="1938" spans="1:31" ht="22.5" customHeight="1">
      <c r="A1938" s="69"/>
      <c r="B1938" s="69"/>
      <c r="C1938" s="69"/>
      <c r="D1938" s="69"/>
      <c r="E1938" s="185"/>
      <c r="F1938" s="69"/>
      <c r="G1938" s="185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  <c r="T1938" s="69"/>
      <c r="U1938" s="69"/>
      <c r="V1938" s="69"/>
      <c r="W1938" s="69"/>
      <c r="X1938" s="69"/>
      <c r="Y1938" s="69"/>
      <c r="Z1938" s="69"/>
      <c r="AA1938" s="69"/>
      <c r="AB1938" s="69"/>
      <c r="AC1938" s="69"/>
      <c r="AD1938" s="69"/>
      <c r="AE1938" s="69"/>
    </row>
    <row r="1939" spans="1:31" ht="22.5" customHeight="1">
      <c r="A1939" s="69"/>
      <c r="B1939" s="69"/>
      <c r="C1939" s="69"/>
      <c r="D1939" s="69"/>
      <c r="E1939" s="185"/>
      <c r="F1939" s="69"/>
      <c r="G1939" s="185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69"/>
      <c r="T1939" s="69"/>
      <c r="U1939" s="69"/>
      <c r="V1939" s="69"/>
      <c r="W1939" s="69"/>
      <c r="X1939" s="69"/>
      <c r="Y1939" s="69"/>
      <c r="Z1939" s="69"/>
      <c r="AA1939" s="69"/>
      <c r="AB1939" s="69"/>
      <c r="AC1939" s="69"/>
      <c r="AD1939" s="69"/>
      <c r="AE1939" s="69"/>
    </row>
    <row r="1940" spans="1:31" ht="22.5" customHeight="1">
      <c r="A1940" s="69"/>
      <c r="B1940" s="69"/>
      <c r="C1940" s="69"/>
      <c r="D1940" s="69"/>
      <c r="E1940" s="185"/>
      <c r="F1940" s="69"/>
      <c r="G1940" s="185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69"/>
      <c r="X1940" s="69"/>
      <c r="Y1940" s="69"/>
      <c r="Z1940" s="69"/>
      <c r="AA1940" s="69"/>
      <c r="AB1940" s="69"/>
      <c r="AC1940" s="69"/>
      <c r="AD1940" s="69"/>
      <c r="AE1940" s="69"/>
    </row>
    <row r="1941" spans="1:31" ht="22.5" customHeight="1">
      <c r="A1941" s="69"/>
      <c r="B1941" s="69"/>
      <c r="C1941" s="69"/>
      <c r="D1941" s="69"/>
      <c r="E1941" s="185"/>
      <c r="F1941" s="69"/>
      <c r="G1941" s="185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69"/>
      <c r="T1941" s="69"/>
      <c r="U1941" s="69"/>
      <c r="V1941" s="69"/>
      <c r="W1941" s="69"/>
      <c r="X1941" s="69"/>
      <c r="Y1941" s="69"/>
      <c r="Z1941" s="69"/>
      <c r="AA1941" s="69"/>
      <c r="AB1941" s="69"/>
      <c r="AC1941" s="69"/>
      <c r="AD1941" s="69"/>
      <c r="AE1941" s="69"/>
    </row>
    <row r="1942" spans="1:31" ht="22.5" customHeight="1">
      <c r="A1942" s="69"/>
      <c r="B1942" s="69"/>
      <c r="C1942" s="69"/>
      <c r="D1942" s="69"/>
      <c r="E1942" s="185"/>
      <c r="F1942" s="69"/>
      <c r="G1942" s="185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  <c r="T1942" s="69"/>
      <c r="U1942" s="69"/>
      <c r="V1942" s="69"/>
      <c r="W1942" s="69"/>
      <c r="X1942" s="69"/>
      <c r="Y1942" s="69"/>
      <c r="Z1942" s="69"/>
      <c r="AA1942" s="69"/>
      <c r="AB1942" s="69"/>
      <c r="AC1942" s="69"/>
      <c r="AD1942" s="69"/>
      <c r="AE1942" s="69"/>
    </row>
    <row r="1943" spans="1:31" ht="22.5" customHeight="1">
      <c r="A1943" s="69"/>
      <c r="B1943" s="69"/>
      <c r="C1943" s="69"/>
      <c r="D1943" s="69"/>
      <c r="E1943" s="185"/>
      <c r="F1943" s="69"/>
      <c r="G1943" s="185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69"/>
      <c r="T1943" s="69"/>
      <c r="U1943" s="69"/>
      <c r="V1943" s="69"/>
      <c r="W1943" s="69"/>
      <c r="X1943" s="69"/>
      <c r="Y1943" s="69"/>
      <c r="Z1943" s="69"/>
      <c r="AA1943" s="69"/>
      <c r="AB1943" s="69"/>
      <c r="AC1943" s="69"/>
      <c r="AD1943" s="69"/>
      <c r="AE1943" s="69"/>
    </row>
    <row r="1944" spans="1:31" ht="22.5" customHeight="1">
      <c r="A1944" s="69"/>
      <c r="B1944" s="69"/>
      <c r="C1944" s="69"/>
      <c r="D1944" s="69"/>
      <c r="E1944" s="185"/>
      <c r="F1944" s="69"/>
      <c r="G1944" s="185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  <c r="T1944" s="69"/>
      <c r="U1944" s="69"/>
      <c r="V1944" s="69"/>
      <c r="W1944" s="69"/>
      <c r="X1944" s="69"/>
      <c r="Y1944" s="69"/>
      <c r="Z1944" s="69"/>
      <c r="AA1944" s="69"/>
      <c r="AB1944" s="69"/>
      <c r="AC1944" s="69"/>
      <c r="AD1944" s="69"/>
      <c r="AE1944" s="69"/>
    </row>
    <row r="1945" spans="1:31" ht="22.5" customHeight="1">
      <c r="A1945" s="69"/>
      <c r="B1945" s="69"/>
      <c r="C1945" s="69"/>
      <c r="D1945" s="69"/>
      <c r="E1945" s="185"/>
      <c r="F1945" s="69"/>
      <c r="G1945" s="185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69"/>
      <c r="T1945" s="69"/>
      <c r="U1945" s="69"/>
      <c r="V1945" s="69"/>
      <c r="W1945" s="69"/>
      <c r="X1945" s="69"/>
      <c r="Y1945" s="69"/>
      <c r="Z1945" s="69"/>
      <c r="AA1945" s="69"/>
      <c r="AB1945" s="69"/>
      <c r="AC1945" s="69"/>
      <c r="AD1945" s="69"/>
      <c r="AE1945" s="69"/>
    </row>
    <row r="1946" spans="1:31" ht="22.5" customHeight="1">
      <c r="A1946" s="69"/>
      <c r="B1946" s="69"/>
      <c r="C1946" s="69"/>
      <c r="D1946" s="69"/>
      <c r="E1946" s="185"/>
      <c r="F1946" s="69"/>
      <c r="G1946" s="185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  <c r="T1946" s="69"/>
      <c r="U1946" s="69"/>
      <c r="V1946" s="69"/>
      <c r="W1946" s="69"/>
      <c r="X1946" s="69"/>
      <c r="Y1946" s="69"/>
      <c r="Z1946" s="69"/>
      <c r="AA1946" s="69"/>
      <c r="AB1946" s="69"/>
      <c r="AC1946" s="69"/>
      <c r="AD1946" s="69"/>
      <c r="AE1946" s="69"/>
    </row>
    <row r="1947" spans="1:31" ht="22.5" customHeight="1">
      <c r="A1947" s="69"/>
      <c r="B1947" s="69"/>
      <c r="C1947" s="69"/>
      <c r="D1947" s="69"/>
      <c r="E1947" s="185"/>
      <c r="F1947" s="69"/>
      <c r="G1947" s="185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69"/>
      <c r="T1947" s="69"/>
      <c r="U1947" s="69"/>
      <c r="V1947" s="69"/>
      <c r="W1947" s="69"/>
      <c r="X1947" s="69"/>
      <c r="Y1947" s="69"/>
      <c r="Z1947" s="69"/>
      <c r="AA1947" s="69"/>
      <c r="AB1947" s="69"/>
      <c r="AC1947" s="69"/>
      <c r="AD1947" s="69"/>
      <c r="AE1947" s="69"/>
    </row>
    <row r="1948" spans="1:31" ht="22.5" customHeight="1">
      <c r="A1948" s="69"/>
      <c r="B1948" s="69"/>
      <c r="C1948" s="69"/>
      <c r="D1948" s="69"/>
      <c r="E1948" s="185"/>
      <c r="F1948" s="69"/>
      <c r="G1948" s="185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  <c r="T1948" s="69"/>
      <c r="U1948" s="69"/>
      <c r="V1948" s="69"/>
      <c r="W1948" s="69"/>
      <c r="X1948" s="69"/>
      <c r="Y1948" s="69"/>
      <c r="Z1948" s="69"/>
      <c r="AA1948" s="69"/>
      <c r="AB1948" s="69"/>
      <c r="AC1948" s="69"/>
      <c r="AD1948" s="69"/>
      <c r="AE1948" s="69"/>
    </row>
    <row r="1949" spans="1:31" ht="22.5" customHeight="1">
      <c r="A1949" s="69"/>
      <c r="B1949" s="69"/>
      <c r="C1949" s="69"/>
      <c r="D1949" s="69"/>
      <c r="E1949" s="185"/>
      <c r="F1949" s="69"/>
      <c r="G1949" s="185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69"/>
      <c r="T1949" s="69"/>
      <c r="U1949" s="69"/>
      <c r="V1949" s="69"/>
      <c r="W1949" s="69"/>
      <c r="X1949" s="69"/>
      <c r="Y1949" s="69"/>
      <c r="Z1949" s="69"/>
      <c r="AA1949" s="69"/>
      <c r="AB1949" s="69"/>
      <c r="AC1949" s="69"/>
      <c r="AD1949" s="69"/>
      <c r="AE1949" s="69"/>
    </row>
    <row r="1950" spans="1:31" ht="22.5" customHeight="1">
      <c r="A1950" s="69"/>
      <c r="B1950" s="69"/>
      <c r="C1950" s="69"/>
      <c r="D1950" s="69"/>
      <c r="E1950" s="185"/>
      <c r="F1950" s="69"/>
      <c r="G1950" s="185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  <c r="T1950" s="69"/>
      <c r="U1950" s="69"/>
      <c r="V1950" s="69"/>
      <c r="W1950" s="69"/>
      <c r="X1950" s="69"/>
      <c r="Y1950" s="69"/>
      <c r="Z1950" s="69"/>
      <c r="AA1950" s="69"/>
      <c r="AB1950" s="69"/>
      <c r="AC1950" s="69"/>
      <c r="AD1950" s="69"/>
      <c r="AE1950" s="69"/>
    </row>
    <row r="1951" spans="1:31" ht="22.5" customHeight="1">
      <c r="A1951" s="69"/>
      <c r="B1951" s="69"/>
      <c r="C1951" s="69"/>
      <c r="D1951" s="69"/>
      <c r="E1951" s="185"/>
      <c r="F1951" s="69"/>
      <c r="G1951" s="185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69"/>
      <c r="T1951" s="69"/>
      <c r="U1951" s="69"/>
      <c r="V1951" s="69"/>
      <c r="W1951" s="69"/>
      <c r="X1951" s="69"/>
      <c r="Y1951" s="69"/>
      <c r="Z1951" s="69"/>
      <c r="AA1951" s="69"/>
      <c r="AB1951" s="69"/>
      <c r="AC1951" s="69"/>
      <c r="AD1951" s="69"/>
      <c r="AE1951" s="69"/>
    </row>
    <row r="1952" spans="1:31" ht="22.5" customHeight="1">
      <c r="A1952" s="69"/>
      <c r="B1952" s="69"/>
      <c r="C1952" s="69"/>
      <c r="D1952" s="69"/>
      <c r="E1952" s="185"/>
      <c r="F1952" s="69"/>
      <c r="G1952" s="185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  <c r="T1952" s="69"/>
      <c r="U1952" s="69"/>
      <c r="V1952" s="69"/>
      <c r="W1952" s="69"/>
      <c r="X1952" s="69"/>
      <c r="Y1952" s="69"/>
      <c r="Z1952" s="69"/>
      <c r="AA1952" s="69"/>
      <c r="AB1952" s="69"/>
      <c r="AC1952" s="69"/>
      <c r="AD1952" s="69"/>
      <c r="AE1952" s="69"/>
    </row>
    <row r="1953" spans="1:31" ht="22.5" customHeight="1">
      <c r="A1953" s="69"/>
      <c r="B1953" s="69"/>
      <c r="C1953" s="69"/>
      <c r="D1953" s="69"/>
      <c r="E1953" s="185"/>
      <c r="F1953" s="69"/>
      <c r="G1953" s="185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69"/>
      <c r="T1953" s="69"/>
      <c r="U1953" s="69"/>
      <c r="V1953" s="69"/>
      <c r="W1953" s="69"/>
      <c r="X1953" s="69"/>
      <c r="Y1953" s="69"/>
      <c r="Z1953" s="69"/>
      <c r="AA1953" s="69"/>
      <c r="AB1953" s="69"/>
      <c r="AC1953" s="69"/>
      <c r="AD1953" s="69"/>
      <c r="AE1953" s="69"/>
    </row>
    <row r="1954" spans="1:31" ht="22.5" customHeight="1">
      <c r="A1954" s="69"/>
      <c r="B1954" s="69"/>
      <c r="C1954" s="69"/>
      <c r="D1954" s="69"/>
      <c r="E1954" s="185"/>
      <c r="F1954" s="69"/>
      <c r="G1954" s="185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  <c r="T1954" s="69"/>
      <c r="U1954" s="69"/>
      <c r="V1954" s="69"/>
      <c r="W1954" s="69"/>
      <c r="X1954" s="69"/>
      <c r="Y1954" s="69"/>
      <c r="Z1954" s="69"/>
      <c r="AA1954" s="69"/>
      <c r="AB1954" s="69"/>
      <c r="AC1954" s="69"/>
      <c r="AD1954" s="69"/>
      <c r="AE1954" s="69"/>
    </row>
    <row r="1955" spans="1:31" ht="22.5" customHeight="1">
      <c r="A1955" s="69"/>
      <c r="B1955" s="69"/>
      <c r="C1955" s="69"/>
      <c r="D1955" s="69"/>
      <c r="E1955" s="185"/>
      <c r="F1955" s="69"/>
      <c r="G1955" s="185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69"/>
      <c r="T1955" s="69"/>
      <c r="U1955" s="69"/>
      <c r="V1955" s="69"/>
      <c r="W1955" s="69"/>
      <c r="X1955" s="69"/>
      <c r="Y1955" s="69"/>
      <c r="Z1955" s="69"/>
      <c r="AA1955" s="69"/>
      <c r="AB1955" s="69"/>
      <c r="AC1955" s="69"/>
      <c r="AD1955" s="69"/>
      <c r="AE1955" s="69"/>
    </row>
    <row r="1956" spans="1:31" ht="22.5" customHeight="1">
      <c r="A1956" s="69"/>
      <c r="B1956" s="69"/>
      <c r="C1956" s="69"/>
      <c r="D1956" s="69"/>
      <c r="E1956" s="185"/>
      <c r="F1956" s="69"/>
      <c r="G1956" s="185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  <c r="T1956" s="69"/>
      <c r="U1956" s="69"/>
      <c r="V1956" s="69"/>
      <c r="W1956" s="69"/>
      <c r="X1956" s="69"/>
      <c r="Y1956" s="69"/>
      <c r="Z1956" s="69"/>
      <c r="AA1956" s="69"/>
      <c r="AB1956" s="69"/>
      <c r="AC1956" s="69"/>
      <c r="AD1956" s="69"/>
      <c r="AE1956" s="69"/>
    </row>
    <row r="1957" spans="1:31" ht="22.5" customHeight="1">
      <c r="A1957" s="69"/>
      <c r="B1957" s="69"/>
      <c r="C1957" s="69"/>
      <c r="D1957" s="69"/>
      <c r="E1957" s="185"/>
      <c r="F1957" s="69"/>
      <c r="G1957" s="185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69"/>
      <c r="T1957" s="69"/>
      <c r="U1957" s="69"/>
      <c r="V1957" s="69"/>
      <c r="W1957" s="69"/>
      <c r="X1957" s="69"/>
      <c r="Y1957" s="69"/>
      <c r="Z1957" s="69"/>
      <c r="AA1957" s="69"/>
      <c r="AB1957" s="69"/>
      <c r="AC1957" s="69"/>
      <c r="AD1957" s="69"/>
      <c r="AE1957" s="69"/>
    </row>
    <row r="1958" spans="1:31" ht="22.5" customHeight="1">
      <c r="A1958" s="69"/>
      <c r="B1958" s="69"/>
      <c r="C1958" s="69"/>
      <c r="D1958" s="69"/>
      <c r="E1958" s="185"/>
      <c r="F1958" s="69"/>
      <c r="G1958" s="185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69"/>
      <c r="X1958" s="69"/>
      <c r="Y1958" s="69"/>
      <c r="Z1958" s="69"/>
      <c r="AA1958" s="69"/>
      <c r="AB1958" s="69"/>
      <c r="AC1958" s="69"/>
      <c r="AD1958" s="69"/>
      <c r="AE1958" s="69"/>
    </row>
    <row r="1959" spans="1:31" ht="22.5" customHeight="1">
      <c r="A1959" s="69"/>
      <c r="B1959" s="69"/>
      <c r="C1959" s="69"/>
      <c r="D1959" s="69"/>
      <c r="E1959" s="185"/>
      <c r="F1959" s="69"/>
      <c r="G1959" s="185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69"/>
      <c r="T1959" s="69"/>
      <c r="U1959" s="69"/>
      <c r="V1959" s="69"/>
      <c r="W1959" s="69"/>
      <c r="X1959" s="69"/>
      <c r="Y1959" s="69"/>
      <c r="Z1959" s="69"/>
      <c r="AA1959" s="69"/>
      <c r="AB1959" s="69"/>
      <c r="AC1959" s="69"/>
      <c r="AD1959" s="69"/>
      <c r="AE1959" s="69"/>
    </row>
    <row r="1960" spans="1:31" ht="22.5" customHeight="1">
      <c r="A1960" s="69"/>
      <c r="B1960" s="69"/>
      <c r="C1960" s="69"/>
      <c r="D1960" s="69"/>
      <c r="E1960" s="185"/>
      <c r="F1960" s="69"/>
      <c r="G1960" s="185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  <c r="T1960" s="69"/>
      <c r="U1960" s="69"/>
      <c r="V1960" s="69"/>
      <c r="W1960" s="69"/>
      <c r="X1960" s="69"/>
      <c r="Y1960" s="69"/>
      <c r="Z1960" s="69"/>
      <c r="AA1960" s="69"/>
      <c r="AB1960" s="69"/>
      <c r="AC1960" s="69"/>
      <c r="AD1960" s="69"/>
      <c r="AE1960" s="69"/>
    </row>
    <row r="1961" spans="1:31" ht="22.5" customHeight="1">
      <c r="A1961" s="69"/>
      <c r="B1961" s="69"/>
      <c r="C1961" s="69"/>
      <c r="D1961" s="69"/>
      <c r="E1961" s="185"/>
      <c r="F1961" s="69"/>
      <c r="G1961" s="185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69"/>
      <c r="T1961" s="69"/>
      <c r="U1961" s="69"/>
      <c r="V1961" s="69"/>
      <c r="W1961" s="69"/>
      <c r="X1961" s="69"/>
      <c r="Y1961" s="69"/>
      <c r="Z1961" s="69"/>
      <c r="AA1961" s="69"/>
      <c r="AB1961" s="69"/>
      <c r="AC1961" s="69"/>
      <c r="AD1961" s="69"/>
      <c r="AE1961" s="69"/>
    </row>
    <row r="1962" spans="1:31" ht="22.5" customHeight="1">
      <c r="A1962" s="69"/>
      <c r="B1962" s="69"/>
      <c r="C1962" s="69"/>
      <c r="D1962" s="69"/>
      <c r="E1962" s="185"/>
      <c r="F1962" s="69"/>
      <c r="G1962" s="185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  <c r="T1962" s="69"/>
      <c r="U1962" s="69"/>
      <c r="V1962" s="69"/>
      <c r="W1962" s="69"/>
      <c r="X1962" s="69"/>
      <c r="Y1962" s="69"/>
      <c r="Z1962" s="69"/>
      <c r="AA1962" s="69"/>
      <c r="AB1962" s="69"/>
      <c r="AC1962" s="69"/>
      <c r="AD1962" s="69"/>
      <c r="AE1962" s="69"/>
    </row>
    <row r="1963" spans="1:31" ht="22.5" customHeight="1">
      <c r="A1963" s="69"/>
      <c r="B1963" s="69"/>
      <c r="C1963" s="69"/>
      <c r="D1963" s="69"/>
      <c r="E1963" s="185"/>
      <c r="F1963" s="69"/>
      <c r="G1963" s="185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  <c r="AA1963" s="69"/>
      <c r="AB1963" s="69"/>
      <c r="AC1963" s="69"/>
      <c r="AD1963" s="69"/>
      <c r="AE1963" s="69"/>
    </row>
    <row r="1964" spans="1:31" ht="22.5" customHeight="1">
      <c r="A1964" s="69"/>
      <c r="B1964" s="69"/>
      <c r="C1964" s="69"/>
      <c r="D1964" s="69"/>
      <c r="E1964" s="185"/>
      <c r="F1964" s="69"/>
      <c r="G1964" s="185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  <c r="T1964" s="69"/>
      <c r="U1964" s="69"/>
      <c r="V1964" s="69"/>
      <c r="W1964" s="69"/>
      <c r="X1964" s="69"/>
      <c r="Y1964" s="69"/>
      <c r="Z1964" s="69"/>
      <c r="AA1964" s="69"/>
      <c r="AB1964" s="69"/>
      <c r="AC1964" s="69"/>
      <c r="AD1964" s="69"/>
      <c r="AE1964" s="69"/>
    </row>
    <row r="1965" spans="1:31" ht="22.5" customHeight="1">
      <c r="A1965" s="69"/>
      <c r="B1965" s="69"/>
      <c r="C1965" s="69"/>
      <c r="D1965" s="69"/>
      <c r="E1965" s="185"/>
      <c r="F1965" s="69"/>
      <c r="G1965" s="185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69"/>
      <c r="T1965" s="69"/>
      <c r="U1965" s="69"/>
      <c r="V1965" s="69"/>
      <c r="W1965" s="69"/>
      <c r="X1965" s="69"/>
      <c r="Y1965" s="69"/>
      <c r="Z1965" s="69"/>
      <c r="AA1965" s="69"/>
      <c r="AB1965" s="69"/>
      <c r="AC1965" s="69"/>
      <c r="AD1965" s="69"/>
      <c r="AE1965" s="69"/>
    </row>
    <row r="1966" spans="1:31" ht="22.5" customHeight="1">
      <c r="A1966" s="69"/>
      <c r="B1966" s="69"/>
      <c r="C1966" s="69"/>
      <c r="D1966" s="69"/>
      <c r="E1966" s="185"/>
      <c r="F1966" s="69"/>
      <c r="G1966" s="185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  <c r="T1966" s="69"/>
      <c r="U1966" s="69"/>
      <c r="V1966" s="69"/>
      <c r="W1966" s="69"/>
      <c r="X1966" s="69"/>
      <c r="Y1966" s="69"/>
      <c r="Z1966" s="69"/>
      <c r="AA1966" s="69"/>
      <c r="AB1966" s="69"/>
      <c r="AC1966" s="69"/>
      <c r="AD1966" s="69"/>
      <c r="AE1966" s="69"/>
    </row>
    <row r="1967" spans="1:31" ht="22.5" customHeight="1">
      <c r="A1967" s="69"/>
      <c r="B1967" s="69"/>
      <c r="C1967" s="69"/>
      <c r="D1967" s="69"/>
      <c r="E1967" s="185"/>
      <c r="F1967" s="69"/>
      <c r="G1967" s="185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69"/>
      <c r="T1967" s="69"/>
      <c r="U1967" s="69"/>
      <c r="V1967" s="69"/>
      <c r="W1967" s="69"/>
      <c r="X1967" s="69"/>
      <c r="Y1967" s="69"/>
      <c r="Z1967" s="69"/>
      <c r="AA1967" s="69"/>
      <c r="AB1967" s="69"/>
      <c r="AC1967" s="69"/>
      <c r="AD1967" s="69"/>
      <c r="AE1967" s="69"/>
    </row>
    <row r="1968" spans="1:31" ht="22.5" customHeight="1">
      <c r="A1968" s="69"/>
      <c r="B1968" s="69"/>
      <c r="C1968" s="69"/>
      <c r="D1968" s="69"/>
      <c r="E1968" s="185"/>
      <c r="F1968" s="69"/>
      <c r="G1968" s="185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  <c r="T1968" s="69"/>
      <c r="U1968" s="69"/>
      <c r="V1968" s="69"/>
      <c r="W1968" s="69"/>
      <c r="X1968" s="69"/>
      <c r="Y1968" s="69"/>
      <c r="Z1968" s="69"/>
      <c r="AA1968" s="69"/>
      <c r="AB1968" s="69"/>
      <c r="AC1968" s="69"/>
      <c r="AD1968" s="69"/>
      <c r="AE1968" s="69"/>
    </row>
    <row r="1969" spans="1:31" ht="22.5" customHeight="1">
      <c r="A1969" s="69"/>
      <c r="B1969" s="69"/>
      <c r="C1969" s="69"/>
      <c r="D1969" s="69"/>
      <c r="E1969" s="185"/>
      <c r="F1969" s="69"/>
      <c r="G1969" s="185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69"/>
      <c r="T1969" s="69"/>
      <c r="U1969" s="69"/>
      <c r="V1969" s="69"/>
      <c r="W1969" s="69"/>
      <c r="X1969" s="69"/>
      <c r="Y1969" s="69"/>
      <c r="Z1969" s="69"/>
      <c r="AA1969" s="69"/>
      <c r="AB1969" s="69"/>
      <c r="AC1969" s="69"/>
      <c r="AD1969" s="69"/>
      <c r="AE1969" s="69"/>
    </row>
    <row r="1970" spans="1:31" ht="22.5" customHeight="1">
      <c r="A1970" s="69"/>
      <c r="B1970" s="69"/>
      <c r="C1970" s="69"/>
      <c r="D1970" s="69"/>
      <c r="E1970" s="185"/>
      <c r="F1970" s="69"/>
      <c r="G1970" s="185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  <c r="T1970" s="69"/>
      <c r="U1970" s="69"/>
      <c r="V1970" s="69"/>
      <c r="W1970" s="69"/>
      <c r="X1970" s="69"/>
      <c r="Y1970" s="69"/>
      <c r="Z1970" s="69"/>
      <c r="AA1970" s="69"/>
      <c r="AB1970" s="69"/>
      <c r="AC1970" s="69"/>
      <c r="AD1970" s="69"/>
      <c r="AE1970" s="69"/>
    </row>
    <row r="1971" spans="1:31" ht="22.5" customHeight="1">
      <c r="A1971" s="69"/>
      <c r="B1971" s="69"/>
      <c r="C1971" s="69"/>
      <c r="D1971" s="69"/>
      <c r="E1971" s="185"/>
      <c r="F1971" s="69"/>
      <c r="G1971" s="185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69"/>
      <c r="T1971" s="69"/>
      <c r="U1971" s="69"/>
      <c r="V1971" s="69"/>
      <c r="W1971" s="69"/>
      <c r="X1971" s="69"/>
      <c r="Y1971" s="69"/>
      <c r="Z1971" s="69"/>
      <c r="AA1971" s="69"/>
      <c r="AB1971" s="69"/>
      <c r="AC1971" s="69"/>
      <c r="AD1971" s="69"/>
      <c r="AE1971" s="69"/>
    </row>
    <row r="1972" spans="1:31" ht="22.5" customHeight="1">
      <c r="A1972" s="69"/>
      <c r="B1972" s="69"/>
      <c r="C1972" s="69"/>
      <c r="D1972" s="69"/>
      <c r="E1972" s="185"/>
      <c r="F1972" s="69"/>
      <c r="G1972" s="185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  <c r="T1972" s="69"/>
      <c r="U1972" s="69"/>
      <c r="V1972" s="69"/>
      <c r="W1972" s="69"/>
      <c r="X1972" s="69"/>
      <c r="Y1972" s="69"/>
      <c r="Z1972" s="69"/>
      <c r="AA1972" s="69"/>
      <c r="AB1972" s="69"/>
      <c r="AC1972" s="69"/>
      <c r="AD1972" s="69"/>
      <c r="AE1972" s="69"/>
    </row>
    <row r="1973" spans="1:31" ht="22.5" customHeight="1">
      <c r="A1973" s="69"/>
      <c r="B1973" s="69"/>
      <c r="C1973" s="69"/>
      <c r="D1973" s="69"/>
      <c r="E1973" s="185"/>
      <c r="F1973" s="69"/>
      <c r="G1973" s="185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69"/>
      <c r="T1973" s="69"/>
      <c r="U1973" s="69"/>
      <c r="V1973" s="69"/>
      <c r="W1973" s="69"/>
      <c r="X1973" s="69"/>
      <c r="Y1973" s="69"/>
      <c r="Z1973" s="69"/>
      <c r="AA1973" s="69"/>
      <c r="AB1973" s="69"/>
      <c r="AC1973" s="69"/>
      <c r="AD1973" s="69"/>
      <c r="AE1973" s="69"/>
    </row>
    <row r="1974" spans="1:31" ht="22.5" customHeight="1">
      <c r="A1974" s="69"/>
      <c r="B1974" s="69"/>
      <c r="C1974" s="69"/>
      <c r="D1974" s="69"/>
      <c r="E1974" s="185"/>
      <c r="F1974" s="69"/>
      <c r="G1974" s="185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  <c r="T1974" s="69"/>
      <c r="U1974" s="69"/>
      <c r="V1974" s="69"/>
      <c r="W1974" s="69"/>
      <c r="X1974" s="69"/>
      <c r="Y1974" s="69"/>
      <c r="Z1974" s="69"/>
      <c r="AA1974" s="69"/>
      <c r="AB1974" s="69"/>
      <c r="AC1974" s="69"/>
      <c r="AD1974" s="69"/>
      <c r="AE1974" s="69"/>
    </row>
    <row r="1975" spans="1:31" ht="22.5" customHeight="1">
      <c r="A1975" s="69"/>
      <c r="B1975" s="69"/>
      <c r="C1975" s="69"/>
      <c r="D1975" s="69"/>
      <c r="E1975" s="185"/>
      <c r="F1975" s="69"/>
      <c r="G1975" s="185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69"/>
      <c r="T1975" s="69"/>
      <c r="U1975" s="69"/>
      <c r="V1975" s="69"/>
      <c r="W1975" s="69"/>
      <c r="X1975" s="69"/>
      <c r="Y1975" s="69"/>
      <c r="Z1975" s="69"/>
      <c r="AA1975" s="69"/>
      <c r="AB1975" s="69"/>
      <c r="AC1975" s="69"/>
      <c r="AD1975" s="69"/>
      <c r="AE1975" s="69"/>
    </row>
    <row r="1976" spans="1:31" ht="22.5" customHeight="1">
      <c r="A1976" s="69"/>
      <c r="B1976" s="69"/>
      <c r="C1976" s="69"/>
      <c r="D1976" s="69"/>
      <c r="E1976" s="185"/>
      <c r="F1976" s="69"/>
      <c r="G1976" s="185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69"/>
      <c r="X1976" s="69"/>
      <c r="Y1976" s="69"/>
      <c r="Z1976" s="69"/>
      <c r="AA1976" s="69"/>
      <c r="AB1976" s="69"/>
      <c r="AC1976" s="69"/>
      <c r="AD1976" s="69"/>
      <c r="AE1976" s="69"/>
    </row>
    <row r="1977" spans="1:31" ht="22.5" customHeight="1">
      <c r="A1977" s="69"/>
      <c r="B1977" s="69"/>
      <c r="C1977" s="69"/>
      <c r="D1977" s="69"/>
      <c r="E1977" s="185"/>
      <c r="F1977" s="69"/>
      <c r="G1977" s="185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69"/>
      <c r="T1977" s="69"/>
      <c r="U1977" s="69"/>
      <c r="V1977" s="69"/>
      <c r="W1977" s="69"/>
      <c r="X1977" s="69"/>
      <c r="Y1977" s="69"/>
      <c r="Z1977" s="69"/>
      <c r="AA1977" s="69"/>
      <c r="AB1977" s="69"/>
      <c r="AC1977" s="69"/>
      <c r="AD1977" s="69"/>
      <c r="AE1977" s="69"/>
    </row>
    <row r="1978" spans="1:31" ht="22.5" customHeight="1">
      <c r="A1978" s="69"/>
      <c r="B1978" s="69"/>
      <c r="C1978" s="69"/>
      <c r="D1978" s="69"/>
      <c r="E1978" s="185"/>
      <c r="F1978" s="69"/>
      <c r="G1978" s="185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  <c r="T1978" s="69"/>
      <c r="U1978" s="69"/>
      <c r="V1978" s="69"/>
      <c r="W1978" s="69"/>
      <c r="X1978" s="69"/>
      <c r="Y1978" s="69"/>
      <c r="Z1978" s="69"/>
      <c r="AA1978" s="69"/>
      <c r="AB1978" s="69"/>
      <c r="AC1978" s="69"/>
      <c r="AD1978" s="69"/>
      <c r="AE1978" s="69"/>
    </row>
    <row r="1979" spans="1:31" ht="22.5" customHeight="1">
      <c r="A1979" s="69"/>
      <c r="B1979" s="69"/>
      <c r="C1979" s="69"/>
      <c r="D1979" s="69"/>
      <c r="E1979" s="185"/>
      <c r="F1979" s="69"/>
      <c r="G1979" s="185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69"/>
      <c r="T1979" s="69"/>
      <c r="U1979" s="69"/>
      <c r="V1979" s="69"/>
      <c r="W1979" s="69"/>
      <c r="X1979" s="69"/>
      <c r="Y1979" s="69"/>
      <c r="Z1979" s="69"/>
      <c r="AA1979" s="69"/>
      <c r="AB1979" s="69"/>
      <c r="AC1979" s="69"/>
      <c r="AD1979" s="69"/>
      <c r="AE1979" s="69"/>
    </row>
    <row r="1980" spans="1:31" ht="22.5" customHeight="1">
      <c r="A1980" s="69"/>
      <c r="B1980" s="69"/>
      <c r="C1980" s="69"/>
      <c r="D1980" s="69"/>
      <c r="E1980" s="185"/>
      <c r="F1980" s="69"/>
      <c r="G1980" s="185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  <c r="T1980" s="69"/>
      <c r="U1980" s="69"/>
      <c r="V1980" s="69"/>
      <c r="W1980" s="69"/>
      <c r="X1980" s="69"/>
      <c r="Y1980" s="69"/>
      <c r="Z1980" s="69"/>
      <c r="AA1980" s="69"/>
      <c r="AB1980" s="69"/>
      <c r="AC1980" s="69"/>
      <c r="AD1980" s="69"/>
      <c r="AE1980" s="69"/>
    </row>
    <row r="1981" spans="1:31" ht="22.5" customHeight="1">
      <c r="A1981" s="69"/>
      <c r="B1981" s="69"/>
      <c r="C1981" s="69"/>
      <c r="D1981" s="69"/>
      <c r="E1981" s="185"/>
      <c r="F1981" s="69"/>
      <c r="G1981" s="185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69"/>
      <c r="T1981" s="69"/>
      <c r="U1981" s="69"/>
      <c r="V1981" s="69"/>
      <c r="W1981" s="69"/>
      <c r="X1981" s="69"/>
      <c r="Y1981" s="69"/>
      <c r="Z1981" s="69"/>
      <c r="AA1981" s="69"/>
      <c r="AB1981" s="69"/>
      <c r="AC1981" s="69"/>
      <c r="AD1981" s="69"/>
      <c r="AE1981" s="69"/>
    </row>
    <row r="1982" spans="1:31" ht="22.5" customHeight="1">
      <c r="A1982" s="69"/>
      <c r="B1982" s="69"/>
      <c r="C1982" s="69"/>
      <c r="D1982" s="69"/>
      <c r="E1982" s="185"/>
      <c r="F1982" s="69"/>
      <c r="G1982" s="185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  <c r="T1982" s="69"/>
      <c r="U1982" s="69"/>
      <c r="V1982" s="69"/>
      <c r="W1982" s="69"/>
      <c r="X1982" s="69"/>
      <c r="Y1982" s="69"/>
      <c r="Z1982" s="69"/>
      <c r="AA1982" s="69"/>
      <c r="AB1982" s="69"/>
      <c r="AC1982" s="69"/>
      <c r="AD1982" s="69"/>
      <c r="AE1982" s="69"/>
    </row>
    <row r="1983" spans="1:31" ht="22.5" customHeight="1">
      <c r="A1983" s="69"/>
      <c r="B1983" s="69"/>
      <c r="C1983" s="69"/>
      <c r="D1983" s="69"/>
      <c r="E1983" s="185"/>
      <c r="F1983" s="69"/>
      <c r="G1983" s="185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69"/>
      <c r="T1983" s="69"/>
      <c r="U1983" s="69"/>
      <c r="V1983" s="69"/>
      <c r="W1983" s="69"/>
      <c r="X1983" s="69"/>
      <c r="Y1983" s="69"/>
      <c r="Z1983" s="69"/>
      <c r="AA1983" s="69"/>
      <c r="AB1983" s="69"/>
      <c r="AC1983" s="69"/>
      <c r="AD1983" s="69"/>
      <c r="AE1983" s="69"/>
    </row>
    <row r="1984" spans="1:31" ht="22.5" customHeight="1">
      <c r="A1984" s="69"/>
      <c r="B1984" s="69"/>
      <c r="C1984" s="69"/>
      <c r="D1984" s="69"/>
      <c r="E1984" s="185"/>
      <c r="F1984" s="69"/>
      <c r="G1984" s="185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  <c r="T1984" s="69"/>
      <c r="U1984" s="69"/>
      <c r="V1984" s="69"/>
      <c r="W1984" s="69"/>
      <c r="X1984" s="69"/>
      <c r="Y1984" s="69"/>
      <c r="Z1984" s="69"/>
      <c r="AA1984" s="69"/>
      <c r="AB1984" s="69"/>
      <c r="AC1984" s="69"/>
      <c r="AD1984" s="69"/>
      <c r="AE1984" s="69"/>
    </row>
    <row r="1985" spans="1:31" ht="22.5" customHeight="1">
      <c r="A1985" s="69"/>
      <c r="B1985" s="69"/>
      <c r="C1985" s="69"/>
      <c r="D1985" s="69"/>
      <c r="E1985" s="185"/>
      <c r="F1985" s="69"/>
      <c r="G1985" s="185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69"/>
      <c r="T1985" s="69"/>
      <c r="U1985" s="69"/>
      <c r="V1985" s="69"/>
      <c r="W1985" s="69"/>
      <c r="X1985" s="69"/>
      <c r="Y1985" s="69"/>
      <c r="Z1985" s="69"/>
      <c r="AA1985" s="69"/>
      <c r="AB1985" s="69"/>
      <c r="AC1985" s="69"/>
      <c r="AD1985" s="69"/>
      <c r="AE1985" s="69"/>
    </row>
    <row r="1986" spans="1:31" ht="22.5" customHeight="1">
      <c r="A1986" s="69"/>
      <c r="B1986" s="69"/>
      <c r="C1986" s="69"/>
      <c r="D1986" s="69"/>
      <c r="E1986" s="185"/>
      <c r="F1986" s="69"/>
      <c r="G1986" s="185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  <c r="T1986" s="69"/>
      <c r="U1986" s="69"/>
      <c r="V1986" s="69"/>
      <c r="W1986" s="69"/>
      <c r="X1986" s="69"/>
      <c r="Y1986" s="69"/>
      <c r="Z1986" s="69"/>
      <c r="AA1986" s="69"/>
      <c r="AB1986" s="69"/>
      <c r="AC1986" s="69"/>
      <c r="AD1986" s="69"/>
      <c r="AE1986" s="69"/>
    </row>
    <row r="1987" spans="1:31" ht="22.5" customHeight="1">
      <c r="A1987" s="69"/>
      <c r="B1987" s="69"/>
      <c r="C1987" s="69"/>
      <c r="D1987" s="69"/>
      <c r="E1987" s="185"/>
      <c r="F1987" s="69"/>
      <c r="G1987" s="185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69"/>
      <c r="T1987" s="69"/>
      <c r="U1987" s="69"/>
      <c r="V1987" s="69"/>
      <c r="W1987" s="69"/>
      <c r="X1987" s="69"/>
      <c r="Y1987" s="69"/>
      <c r="Z1987" s="69"/>
      <c r="AA1987" s="69"/>
      <c r="AB1987" s="69"/>
      <c r="AC1987" s="69"/>
      <c r="AD1987" s="69"/>
      <c r="AE1987" s="69"/>
    </row>
    <row r="1988" spans="1:31" ht="22.5" customHeight="1">
      <c r="A1988" s="69"/>
      <c r="B1988" s="69"/>
      <c r="C1988" s="69"/>
      <c r="D1988" s="69"/>
      <c r="E1988" s="185"/>
      <c r="F1988" s="69"/>
      <c r="G1988" s="185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  <c r="T1988" s="69"/>
      <c r="U1988" s="69"/>
      <c r="V1988" s="69"/>
      <c r="W1988" s="69"/>
      <c r="X1988" s="69"/>
      <c r="Y1988" s="69"/>
      <c r="Z1988" s="69"/>
      <c r="AA1988" s="69"/>
      <c r="AB1988" s="69"/>
      <c r="AC1988" s="69"/>
      <c r="AD1988" s="69"/>
      <c r="AE1988" s="69"/>
    </row>
    <row r="1989" spans="1:31" ht="22.5" customHeight="1">
      <c r="A1989" s="69"/>
      <c r="B1989" s="69"/>
      <c r="C1989" s="69"/>
      <c r="D1989" s="69"/>
      <c r="E1989" s="185"/>
      <c r="F1989" s="69"/>
      <c r="G1989" s="185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69"/>
      <c r="T1989" s="69"/>
      <c r="U1989" s="69"/>
      <c r="V1989" s="69"/>
      <c r="W1989" s="69"/>
      <c r="X1989" s="69"/>
      <c r="Y1989" s="69"/>
      <c r="Z1989" s="69"/>
      <c r="AA1989" s="69"/>
      <c r="AB1989" s="69"/>
      <c r="AC1989" s="69"/>
      <c r="AD1989" s="69"/>
      <c r="AE1989" s="69"/>
    </row>
    <row r="1990" spans="1:31" ht="22.5" customHeight="1">
      <c r="A1990" s="69"/>
      <c r="B1990" s="69"/>
      <c r="C1990" s="69"/>
      <c r="D1990" s="69"/>
      <c r="E1990" s="185"/>
      <c r="F1990" s="69"/>
      <c r="G1990" s="185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  <c r="T1990" s="69"/>
      <c r="U1990" s="69"/>
      <c r="V1990" s="69"/>
      <c r="W1990" s="69"/>
      <c r="X1990" s="69"/>
      <c r="Y1990" s="69"/>
      <c r="Z1990" s="69"/>
      <c r="AA1990" s="69"/>
      <c r="AB1990" s="69"/>
      <c r="AC1990" s="69"/>
      <c r="AD1990" s="69"/>
      <c r="AE1990" s="69"/>
    </row>
    <row r="1991" spans="1:31" ht="22.5" customHeight="1">
      <c r="A1991" s="69"/>
      <c r="B1991" s="69"/>
      <c r="C1991" s="69"/>
      <c r="D1991" s="69"/>
      <c r="E1991" s="185"/>
      <c r="F1991" s="69"/>
      <c r="G1991" s="185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69"/>
      <c r="T1991" s="69"/>
      <c r="U1991" s="69"/>
      <c r="V1991" s="69"/>
      <c r="W1991" s="69"/>
      <c r="X1991" s="69"/>
      <c r="Y1991" s="69"/>
      <c r="Z1991" s="69"/>
      <c r="AA1991" s="69"/>
      <c r="AB1991" s="69"/>
      <c r="AC1991" s="69"/>
      <c r="AD1991" s="69"/>
      <c r="AE1991" s="69"/>
    </row>
    <row r="1992" spans="1:31" ht="22.5" customHeight="1">
      <c r="A1992" s="69"/>
      <c r="B1992" s="69"/>
      <c r="C1992" s="69"/>
      <c r="D1992" s="69"/>
      <c r="E1992" s="185"/>
      <c r="F1992" s="69"/>
      <c r="G1992" s="185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  <c r="T1992" s="69"/>
      <c r="U1992" s="69"/>
      <c r="V1992" s="69"/>
      <c r="W1992" s="69"/>
      <c r="X1992" s="69"/>
      <c r="Y1992" s="69"/>
      <c r="Z1992" s="69"/>
      <c r="AA1992" s="69"/>
      <c r="AB1992" s="69"/>
      <c r="AC1992" s="69"/>
      <c r="AD1992" s="69"/>
      <c r="AE1992" s="69"/>
    </row>
    <row r="1993" spans="1:31" ht="22.5" customHeight="1">
      <c r="A1993" s="69"/>
      <c r="B1993" s="69"/>
      <c r="C1993" s="69"/>
      <c r="D1993" s="69"/>
      <c r="E1993" s="185"/>
      <c r="F1993" s="69"/>
      <c r="G1993" s="185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69"/>
      <c r="T1993" s="69"/>
      <c r="U1993" s="69"/>
      <c r="V1993" s="69"/>
      <c r="W1993" s="69"/>
      <c r="X1993" s="69"/>
      <c r="Y1993" s="69"/>
      <c r="Z1993" s="69"/>
      <c r="AA1993" s="69"/>
      <c r="AB1993" s="69"/>
      <c r="AC1993" s="69"/>
      <c r="AD1993" s="69"/>
      <c r="AE1993" s="69"/>
    </row>
    <row r="1994" spans="1:31" ht="22.5" customHeight="1">
      <c r="A1994" s="69"/>
      <c r="B1994" s="69"/>
      <c r="C1994" s="69"/>
      <c r="D1994" s="69"/>
      <c r="E1994" s="185"/>
      <c r="F1994" s="69"/>
      <c r="G1994" s="185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69"/>
      <c r="X1994" s="69"/>
      <c r="Y1994" s="69"/>
      <c r="Z1994" s="69"/>
      <c r="AA1994" s="69"/>
      <c r="AB1994" s="69"/>
      <c r="AC1994" s="69"/>
      <c r="AD1994" s="69"/>
      <c r="AE1994" s="69"/>
    </row>
    <row r="1995" spans="1:31" ht="22.5" customHeight="1">
      <c r="A1995" s="69"/>
      <c r="B1995" s="69"/>
      <c r="C1995" s="69"/>
      <c r="D1995" s="69"/>
      <c r="E1995" s="185"/>
      <c r="F1995" s="69"/>
      <c r="G1995" s="185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69"/>
      <c r="T1995" s="69"/>
      <c r="U1995" s="69"/>
      <c r="V1995" s="69"/>
      <c r="W1995" s="69"/>
      <c r="X1995" s="69"/>
      <c r="Y1995" s="69"/>
      <c r="Z1995" s="69"/>
      <c r="AA1995" s="69"/>
      <c r="AB1995" s="69"/>
      <c r="AC1995" s="69"/>
      <c r="AD1995" s="69"/>
      <c r="AE1995" s="69"/>
    </row>
    <row r="1996" spans="1:31" ht="22.5" customHeight="1">
      <c r="A1996" s="69"/>
      <c r="B1996" s="69"/>
      <c r="C1996" s="69"/>
      <c r="D1996" s="69"/>
      <c r="E1996" s="185"/>
      <c r="F1996" s="69"/>
      <c r="G1996" s="185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  <c r="T1996" s="69"/>
      <c r="U1996" s="69"/>
      <c r="V1996" s="69"/>
      <c r="W1996" s="69"/>
      <c r="X1996" s="69"/>
      <c r="Y1996" s="69"/>
      <c r="Z1996" s="69"/>
      <c r="AA1996" s="69"/>
      <c r="AB1996" s="69"/>
      <c r="AC1996" s="69"/>
      <c r="AD1996" s="69"/>
      <c r="AE1996" s="69"/>
    </row>
    <row r="1997" spans="1:31" ht="22.5" customHeight="1">
      <c r="A1997" s="69"/>
      <c r="B1997" s="69"/>
      <c r="C1997" s="69"/>
      <c r="D1997" s="69"/>
      <c r="E1997" s="185"/>
      <c r="F1997" s="69"/>
      <c r="G1997" s="185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69"/>
      <c r="T1997" s="69"/>
      <c r="U1997" s="69"/>
      <c r="V1997" s="69"/>
      <c r="W1997" s="69"/>
      <c r="X1997" s="69"/>
      <c r="Y1997" s="69"/>
      <c r="Z1997" s="69"/>
      <c r="AA1997" s="69"/>
      <c r="AB1997" s="69"/>
      <c r="AC1997" s="69"/>
      <c r="AD1997" s="69"/>
      <c r="AE1997" s="69"/>
    </row>
    <row r="1998" spans="1:31" ht="22.5" customHeight="1">
      <c r="A1998" s="69"/>
      <c r="B1998" s="69"/>
      <c r="C1998" s="69"/>
      <c r="D1998" s="69"/>
      <c r="E1998" s="185"/>
      <c r="F1998" s="69"/>
      <c r="G1998" s="185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  <c r="T1998" s="69"/>
      <c r="U1998" s="69"/>
      <c r="V1998" s="69"/>
      <c r="W1998" s="69"/>
      <c r="X1998" s="69"/>
      <c r="Y1998" s="69"/>
      <c r="Z1998" s="69"/>
      <c r="AA1998" s="69"/>
      <c r="AB1998" s="69"/>
      <c r="AC1998" s="69"/>
      <c r="AD1998" s="69"/>
      <c r="AE1998" s="69"/>
    </row>
    <row r="1999" spans="1:31" ht="22.5" customHeight="1">
      <c r="A1999" s="69"/>
      <c r="B1999" s="69"/>
      <c r="C1999" s="69"/>
      <c r="D1999" s="69"/>
      <c r="E1999" s="185"/>
      <c r="F1999" s="69"/>
      <c r="G1999" s="185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69"/>
      <c r="T1999" s="69"/>
      <c r="U1999" s="69"/>
      <c r="V1999" s="69"/>
      <c r="W1999" s="69"/>
      <c r="X1999" s="69"/>
      <c r="Y1999" s="69"/>
      <c r="Z1999" s="69"/>
      <c r="AA1999" s="69"/>
      <c r="AB1999" s="69"/>
      <c r="AC1999" s="69"/>
      <c r="AD1999" s="69"/>
      <c r="AE1999" s="69"/>
    </row>
    <row r="2000" spans="1:31" ht="22.5" customHeight="1">
      <c r="A2000" s="69"/>
      <c r="B2000" s="69"/>
      <c r="C2000" s="69"/>
      <c r="D2000" s="69"/>
      <c r="E2000" s="185"/>
      <c r="F2000" s="69"/>
      <c r="G2000" s="185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  <c r="T2000" s="69"/>
      <c r="U2000" s="69"/>
      <c r="V2000" s="69"/>
      <c r="W2000" s="69"/>
      <c r="X2000" s="69"/>
      <c r="Y2000" s="69"/>
      <c r="Z2000" s="69"/>
      <c r="AA2000" s="69"/>
      <c r="AB2000" s="69"/>
      <c r="AC2000" s="69"/>
      <c r="AD2000" s="69"/>
      <c r="AE2000" s="69"/>
    </row>
    <row r="2001" spans="1:31" ht="22.5" customHeight="1">
      <c r="A2001" s="69"/>
      <c r="B2001" s="69"/>
      <c r="C2001" s="69"/>
      <c r="D2001" s="69"/>
      <c r="E2001" s="185"/>
      <c r="F2001" s="69"/>
      <c r="G2001" s="185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69"/>
      <c r="T2001" s="69"/>
      <c r="U2001" s="69"/>
      <c r="V2001" s="69"/>
      <c r="W2001" s="69"/>
      <c r="X2001" s="69"/>
      <c r="Y2001" s="69"/>
      <c r="Z2001" s="69"/>
      <c r="AA2001" s="69"/>
      <c r="AB2001" s="69"/>
      <c r="AC2001" s="69"/>
      <c r="AD2001" s="69"/>
      <c r="AE2001" s="69"/>
    </row>
    <row r="2002" spans="1:31" ht="22.5" customHeight="1">
      <c r="A2002" s="69"/>
      <c r="B2002" s="69"/>
      <c r="C2002" s="69"/>
      <c r="D2002" s="69"/>
      <c r="E2002" s="185"/>
      <c r="F2002" s="69"/>
      <c r="G2002" s="185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69"/>
      <c r="T2002" s="69"/>
      <c r="U2002" s="69"/>
      <c r="V2002" s="69"/>
      <c r="W2002" s="69"/>
      <c r="X2002" s="69"/>
      <c r="Y2002" s="69"/>
      <c r="Z2002" s="69"/>
      <c r="AA2002" s="69"/>
      <c r="AB2002" s="69"/>
      <c r="AC2002" s="69"/>
      <c r="AD2002" s="69"/>
      <c r="AE2002" s="69"/>
    </row>
    <row r="2003" spans="1:31" ht="22.5" customHeight="1">
      <c r="A2003" s="69"/>
      <c r="B2003" s="69"/>
      <c r="C2003" s="69"/>
      <c r="D2003" s="69"/>
      <c r="E2003" s="185"/>
      <c r="F2003" s="69"/>
      <c r="G2003" s="185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  <c r="AA2003" s="69"/>
      <c r="AB2003" s="69"/>
      <c r="AC2003" s="69"/>
      <c r="AD2003" s="69"/>
      <c r="AE2003" s="69"/>
    </row>
    <row r="2004" spans="1:31" ht="22.5" customHeight="1">
      <c r="A2004" s="69"/>
      <c r="B2004" s="69"/>
      <c r="C2004" s="69"/>
      <c r="D2004" s="69"/>
      <c r="E2004" s="185"/>
      <c r="F2004" s="69"/>
      <c r="G2004" s="185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69"/>
      <c r="T2004" s="69"/>
      <c r="U2004" s="69"/>
      <c r="V2004" s="69"/>
      <c r="W2004" s="69"/>
      <c r="X2004" s="69"/>
      <c r="Y2004" s="69"/>
      <c r="Z2004" s="69"/>
      <c r="AA2004" s="69"/>
      <c r="AB2004" s="69"/>
      <c r="AC2004" s="69"/>
      <c r="AD2004" s="69"/>
      <c r="AE2004" s="69"/>
    </row>
    <row r="2005" spans="1:31" ht="22.5" customHeight="1">
      <c r="A2005" s="69"/>
      <c r="B2005" s="69"/>
      <c r="C2005" s="69"/>
      <c r="D2005" s="69"/>
      <c r="E2005" s="185"/>
      <c r="F2005" s="69"/>
      <c r="G2005" s="185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69"/>
      <c r="T2005" s="69"/>
      <c r="U2005" s="69"/>
      <c r="V2005" s="69"/>
      <c r="W2005" s="69"/>
      <c r="X2005" s="69"/>
      <c r="Y2005" s="69"/>
      <c r="Z2005" s="69"/>
      <c r="AA2005" s="69"/>
      <c r="AB2005" s="69"/>
      <c r="AC2005" s="69"/>
      <c r="AD2005" s="69"/>
      <c r="AE2005" s="69"/>
    </row>
    <row r="2006" spans="1:31" ht="22.5" customHeight="1">
      <c r="A2006" s="69"/>
      <c r="B2006" s="69"/>
      <c r="C2006" s="69"/>
      <c r="D2006" s="69"/>
      <c r="E2006" s="185"/>
      <c r="F2006" s="69"/>
      <c r="G2006" s="185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69"/>
      <c r="T2006" s="69"/>
      <c r="U2006" s="69"/>
      <c r="V2006" s="69"/>
      <c r="W2006" s="69"/>
      <c r="X2006" s="69"/>
      <c r="Y2006" s="69"/>
      <c r="Z2006" s="69"/>
      <c r="AA2006" s="69"/>
      <c r="AB2006" s="69"/>
      <c r="AC2006" s="69"/>
      <c r="AD2006" s="69"/>
      <c r="AE2006" s="69"/>
    </row>
    <row r="2007" spans="1:31" ht="22.5" customHeight="1">
      <c r="A2007" s="69"/>
      <c r="B2007" s="69"/>
      <c r="C2007" s="69"/>
      <c r="D2007" s="69"/>
      <c r="E2007" s="185"/>
      <c r="F2007" s="69"/>
      <c r="G2007" s="185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69"/>
      <c r="T2007" s="69"/>
      <c r="U2007" s="69"/>
      <c r="V2007" s="69"/>
      <c r="W2007" s="69"/>
      <c r="X2007" s="69"/>
      <c r="Y2007" s="69"/>
      <c r="Z2007" s="69"/>
      <c r="AA2007" s="69"/>
      <c r="AB2007" s="69"/>
      <c r="AC2007" s="69"/>
      <c r="AD2007" s="69"/>
      <c r="AE2007" s="69"/>
    </row>
    <row r="2008" spans="1:31" ht="22.5" customHeight="1">
      <c r="A2008" s="69"/>
      <c r="B2008" s="69"/>
      <c r="C2008" s="69"/>
      <c r="D2008" s="69"/>
      <c r="E2008" s="185"/>
      <c r="F2008" s="69"/>
      <c r="G2008" s="185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69"/>
      <c r="T2008" s="69"/>
      <c r="U2008" s="69"/>
      <c r="V2008" s="69"/>
      <c r="W2008" s="69"/>
      <c r="X2008" s="69"/>
      <c r="Y2008" s="69"/>
      <c r="Z2008" s="69"/>
      <c r="AA2008" s="69"/>
      <c r="AB2008" s="69"/>
      <c r="AC2008" s="69"/>
      <c r="AD2008" s="69"/>
      <c r="AE2008" s="69"/>
    </row>
    <row r="2009" spans="1:31" ht="22.5" customHeight="1">
      <c r="A2009" s="69"/>
      <c r="B2009" s="69"/>
      <c r="C2009" s="69"/>
      <c r="D2009" s="69"/>
      <c r="E2009" s="185"/>
      <c r="F2009" s="69"/>
      <c r="G2009" s="185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69"/>
      <c r="T2009" s="69"/>
      <c r="U2009" s="69"/>
      <c r="V2009" s="69"/>
      <c r="W2009" s="69"/>
      <c r="X2009" s="69"/>
      <c r="Y2009" s="69"/>
      <c r="Z2009" s="69"/>
      <c r="AA2009" s="69"/>
      <c r="AB2009" s="69"/>
      <c r="AC2009" s="69"/>
      <c r="AD2009" s="69"/>
      <c r="AE2009" s="69"/>
    </row>
    <row r="2010" spans="1:31" ht="22.5" customHeight="1">
      <c r="A2010" s="69"/>
      <c r="B2010" s="69"/>
      <c r="C2010" s="69"/>
      <c r="D2010" s="69"/>
      <c r="E2010" s="185"/>
      <c r="F2010" s="69"/>
      <c r="G2010" s="185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69"/>
      <c r="T2010" s="69"/>
      <c r="U2010" s="69"/>
      <c r="V2010" s="69"/>
      <c r="W2010" s="69"/>
      <c r="X2010" s="69"/>
      <c r="Y2010" s="69"/>
      <c r="Z2010" s="69"/>
      <c r="AA2010" s="69"/>
      <c r="AB2010" s="69"/>
      <c r="AC2010" s="69"/>
      <c r="AD2010" s="69"/>
      <c r="AE2010" s="69"/>
    </row>
    <row r="2011" spans="1:31" ht="22.5" customHeight="1">
      <c r="A2011" s="69"/>
      <c r="B2011" s="69"/>
      <c r="C2011" s="69"/>
      <c r="D2011" s="69"/>
      <c r="E2011" s="185"/>
      <c r="F2011" s="69"/>
      <c r="G2011" s="185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69"/>
      <c r="T2011" s="69"/>
      <c r="U2011" s="69"/>
      <c r="V2011" s="69"/>
      <c r="W2011" s="69"/>
      <c r="X2011" s="69"/>
      <c r="Y2011" s="69"/>
      <c r="Z2011" s="69"/>
      <c r="AA2011" s="69"/>
      <c r="AB2011" s="69"/>
      <c r="AC2011" s="69"/>
      <c r="AD2011" s="69"/>
      <c r="AE2011" s="69"/>
    </row>
    <row r="2012" spans="1:31" ht="22.5" customHeight="1">
      <c r="A2012" s="69"/>
      <c r="B2012" s="69"/>
      <c r="C2012" s="69"/>
      <c r="D2012" s="69"/>
      <c r="E2012" s="185"/>
      <c r="F2012" s="69"/>
      <c r="G2012" s="185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69"/>
      <c r="X2012" s="69"/>
      <c r="Y2012" s="69"/>
      <c r="Z2012" s="69"/>
      <c r="AA2012" s="69"/>
      <c r="AB2012" s="69"/>
      <c r="AC2012" s="69"/>
      <c r="AD2012" s="69"/>
      <c r="AE2012" s="69"/>
    </row>
    <row r="2013" spans="1:31" ht="22.5" customHeight="1">
      <c r="A2013" s="69"/>
      <c r="B2013" s="69"/>
      <c r="C2013" s="69"/>
      <c r="D2013" s="69"/>
      <c r="E2013" s="185"/>
      <c r="F2013" s="69"/>
      <c r="G2013" s="185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69"/>
      <c r="T2013" s="69"/>
      <c r="U2013" s="69"/>
      <c r="V2013" s="69"/>
      <c r="W2013" s="69"/>
      <c r="X2013" s="69"/>
      <c r="Y2013" s="69"/>
      <c r="Z2013" s="69"/>
      <c r="AA2013" s="69"/>
      <c r="AB2013" s="69"/>
      <c r="AC2013" s="69"/>
      <c r="AD2013" s="69"/>
      <c r="AE2013" s="69"/>
    </row>
    <row r="2014" spans="1:31" ht="22.5" customHeight="1">
      <c r="A2014" s="69"/>
      <c r="B2014" s="69"/>
      <c r="C2014" s="69"/>
      <c r="D2014" s="69"/>
      <c r="E2014" s="185"/>
      <c r="F2014" s="69"/>
      <c r="G2014" s="185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69"/>
      <c r="T2014" s="69"/>
      <c r="U2014" s="69"/>
      <c r="V2014" s="69"/>
      <c r="W2014" s="69"/>
      <c r="X2014" s="69"/>
      <c r="Y2014" s="69"/>
      <c r="Z2014" s="69"/>
      <c r="AA2014" s="69"/>
      <c r="AB2014" s="69"/>
      <c r="AC2014" s="69"/>
      <c r="AD2014" s="69"/>
      <c r="AE2014" s="69"/>
    </row>
    <row r="2015" spans="1:31" ht="22.5" customHeight="1">
      <c r="A2015" s="69"/>
      <c r="B2015" s="69"/>
      <c r="C2015" s="69"/>
      <c r="D2015" s="69"/>
      <c r="E2015" s="185"/>
      <c r="F2015" s="69"/>
      <c r="G2015" s="185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69"/>
      <c r="T2015" s="69"/>
      <c r="U2015" s="69"/>
      <c r="V2015" s="69"/>
      <c r="W2015" s="69"/>
      <c r="X2015" s="69"/>
      <c r="Y2015" s="69"/>
      <c r="Z2015" s="69"/>
      <c r="AA2015" s="69"/>
      <c r="AB2015" s="69"/>
      <c r="AC2015" s="69"/>
      <c r="AD2015" s="69"/>
      <c r="AE2015" s="69"/>
    </row>
    <row r="2016" spans="1:31" ht="22.5" customHeight="1">
      <c r="A2016" s="69"/>
      <c r="B2016" s="69"/>
      <c r="C2016" s="69"/>
      <c r="D2016" s="69"/>
      <c r="E2016" s="185"/>
      <c r="F2016" s="69"/>
      <c r="G2016" s="185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69"/>
      <c r="T2016" s="69"/>
      <c r="U2016" s="69"/>
      <c r="V2016" s="69"/>
      <c r="W2016" s="69"/>
      <c r="X2016" s="69"/>
      <c r="Y2016" s="69"/>
      <c r="Z2016" s="69"/>
      <c r="AA2016" s="69"/>
      <c r="AB2016" s="69"/>
      <c r="AC2016" s="69"/>
      <c r="AD2016" s="69"/>
      <c r="AE2016" s="69"/>
    </row>
    <row r="2017" spans="1:31" ht="22.5" customHeight="1">
      <c r="A2017" s="69"/>
      <c r="B2017" s="69"/>
      <c r="C2017" s="69"/>
      <c r="D2017" s="69"/>
      <c r="E2017" s="185"/>
      <c r="F2017" s="69"/>
      <c r="G2017" s="185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69"/>
      <c r="T2017" s="69"/>
      <c r="U2017" s="69"/>
      <c r="V2017" s="69"/>
      <c r="W2017" s="69"/>
      <c r="X2017" s="69"/>
      <c r="Y2017" s="69"/>
      <c r="Z2017" s="69"/>
      <c r="AA2017" s="69"/>
      <c r="AB2017" s="69"/>
      <c r="AC2017" s="69"/>
      <c r="AD2017" s="69"/>
      <c r="AE2017" s="69"/>
    </row>
    <row r="2018" spans="1:31" ht="22.5" customHeight="1">
      <c r="A2018" s="69"/>
      <c r="B2018" s="69"/>
      <c r="C2018" s="69"/>
      <c r="D2018" s="69"/>
      <c r="E2018" s="185"/>
      <c r="F2018" s="69"/>
      <c r="G2018" s="185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69"/>
      <c r="T2018" s="69"/>
      <c r="U2018" s="69"/>
      <c r="V2018" s="69"/>
      <c r="W2018" s="69"/>
      <c r="X2018" s="69"/>
      <c r="Y2018" s="69"/>
      <c r="Z2018" s="69"/>
      <c r="AA2018" s="69"/>
      <c r="AB2018" s="69"/>
      <c r="AC2018" s="69"/>
      <c r="AD2018" s="69"/>
      <c r="AE2018" s="69"/>
    </row>
    <row r="2019" spans="1:31" ht="22.5" customHeight="1">
      <c r="A2019" s="69"/>
      <c r="B2019" s="69"/>
      <c r="C2019" s="69"/>
      <c r="D2019" s="69"/>
      <c r="E2019" s="185"/>
      <c r="F2019" s="69"/>
      <c r="G2019" s="185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69"/>
      <c r="T2019" s="69"/>
      <c r="U2019" s="69"/>
      <c r="V2019" s="69"/>
      <c r="W2019" s="69"/>
      <c r="X2019" s="69"/>
      <c r="Y2019" s="69"/>
      <c r="Z2019" s="69"/>
      <c r="AA2019" s="69"/>
      <c r="AB2019" s="69"/>
      <c r="AC2019" s="69"/>
      <c r="AD2019" s="69"/>
      <c r="AE2019" s="69"/>
    </row>
    <row r="2020" spans="1:31" ht="22.5" customHeight="1">
      <c r="A2020" s="69"/>
      <c r="B2020" s="69"/>
      <c r="C2020" s="69"/>
      <c r="D2020" s="69"/>
      <c r="E2020" s="185"/>
      <c r="F2020" s="69"/>
      <c r="G2020" s="185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69"/>
      <c r="T2020" s="69"/>
      <c r="U2020" s="69"/>
      <c r="V2020" s="69"/>
      <c r="W2020" s="69"/>
      <c r="X2020" s="69"/>
      <c r="Y2020" s="69"/>
      <c r="Z2020" s="69"/>
      <c r="AA2020" s="69"/>
      <c r="AB2020" s="69"/>
      <c r="AC2020" s="69"/>
      <c r="AD2020" s="69"/>
      <c r="AE2020" s="69"/>
    </row>
    <row r="2021" spans="1:31" ht="22.5" customHeight="1">
      <c r="A2021" s="69"/>
      <c r="B2021" s="69"/>
      <c r="C2021" s="69"/>
      <c r="D2021" s="69"/>
      <c r="E2021" s="185"/>
      <c r="F2021" s="69"/>
      <c r="G2021" s="185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69"/>
      <c r="T2021" s="69"/>
      <c r="U2021" s="69"/>
      <c r="V2021" s="69"/>
      <c r="W2021" s="69"/>
      <c r="X2021" s="69"/>
      <c r="Y2021" s="69"/>
      <c r="Z2021" s="69"/>
      <c r="AA2021" s="69"/>
      <c r="AB2021" s="69"/>
      <c r="AC2021" s="69"/>
      <c r="AD2021" s="69"/>
      <c r="AE2021" s="69"/>
    </row>
    <row r="2022" spans="1:31" ht="22.5" customHeight="1">
      <c r="A2022" s="69"/>
      <c r="B2022" s="69"/>
      <c r="C2022" s="69"/>
      <c r="D2022" s="69"/>
      <c r="E2022" s="185"/>
      <c r="F2022" s="69"/>
      <c r="G2022" s="185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69"/>
      <c r="T2022" s="69"/>
      <c r="U2022" s="69"/>
      <c r="V2022" s="69"/>
      <c r="W2022" s="69"/>
      <c r="X2022" s="69"/>
      <c r="Y2022" s="69"/>
      <c r="Z2022" s="69"/>
      <c r="AA2022" s="69"/>
      <c r="AB2022" s="69"/>
      <c r="AC2022" s="69"/>
      <c r="AD2022" s="69"/>
      <c r="AE2022" s="69"/>
    </row>
    <row r="2023" spans="1:31" ht="22.5" customHeight="1">
      <c r="A2023" s="69"/>
      <c r="B2023" s="69"/>
      <c r="C2023" s="69"/>
      <c r="D2023" s="69"/>
      <c r="E2023" s="185"/>
      <c r="F2023" s="69"/>
      <c r="G2023" s="185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69"/>
      <c r="T2023" s="69"/>
      <c r="U2023" s="69"/>
      <c r="V2023" s="69"/>
      <c r="W2023" s="69"/>
      <c r="X2023" s="69"/>
      <c r="Y2023" s="69"/>
      <c r="Z2023" s="69"/>
      <c r="AA2023" s="69"/>
      <c r="AB2023" s="69"/>
      <c r="AC2023" s="69"/>
      <c r="AD2023" s="69"/>
      <c r="AE2023" s="69"/>
    </row>
    <row r="2024" spans="1:31" ht="22.5" customHeight="1">
      <c r="A2024" s="69"/>
      <c r="B2024" s="69"/>
      <c r="C2024" s="69"/>
      <c r="D2024" s="69"/>
      <c r="E2024" s="185"/>
      <c r="F2024" s="69"/>
      <c r="G2024" s="185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69"/>
      <c r="T2024" s="69"/>
      <c r="U2024" s="69"/>
      <c r="V2024" s="69"/>
      <c r="W2024" s="69"/>
      <c r="X2024" s="69"/>
      <c r="Y2024" s="69"/>
      <c r="Z2024" s="69"/>
      <c r="AA2024" s="69"/>
      <c r="AB2024" s="69"/>
      <c r="AC2024" s="69"/>
      <c r="AD2024" s="69"/>
      <c r="AE2024" s="69"/>
    </row>
    <row r="2025" spans="1:31" ht="22.5" customHeight="1">
      <c r="A2025" s="69"/>
      <c r="B2025" s="69"/>
      <c r="C2025" s="69"/>
      <c r="D2025" s="69"/>
      <c r="E2025" s="185"/>
      <c r="F2025" s="69"/>
      <c r="G2025" s="185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69"/>
      <c r="T2025" s="69"/>
      <c r="U2025" s="69"/>
      <c r="V2025" s="69"/>
      <c r="W2025" s="69"/>
      <c r="X2025" s="69"/>
      <c r="Y2025" s="69"/>
      <c r="Z2025" s="69"/>
      <c r="AA2025" s="69"/>
      <c r="AB2025" s="69"/>
      <c r="AC2025" s="69"/>
      <c r="AD2025" s="69"/>
      <c r="AE2025" s="69"/>
    </row>
    <row r="2026" spans="1:31" ht="22.5" customHeight="1">
      <c r="A2026" s="69"/>
      <c r="B2026" s="69"/>
      <c r="C2026" s="69"/>
      <c r="D2026" s="69"/>
      <c r="E2026" s="185"/>
      <c r="F2026" s="69"/>
      <c r="G2026" s="185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69"/>
      <c r="T2026" s="69"/>
      <c r="U2026" s="69"/>
      <c r="V2026" s="69"/>
      <c r="W2026" s="69"/>
      <c r="X2026" s="69"/>
      <c r="Y2026" s="69"/>
      <c r="Z2026" s="69"/>
      <c r="AA2026" s="69"/>
      <c r="AB2026" s="69"/>
      <c r="AC2026" s="69"/>
      <c r="AD2026" s="69"/>
      <c r="AE2026" s="69"/>
    </row>
    <row r="2027" spans="1:31" ht="22.5" customHeight="1">
      <c r="A2027" s="69"/>
      <c r="B2027" s="69"/>
      <c r="C2027" s="69"/>
      <c r="D2027" s="69"/>
      <c r="E2027" s="185"/>
      <c r="F2027" s="69"/>
      <c r="G2027" s="185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69"/>
      <c r="T2027" s="69"/>
      <c r="U2027" s="69"/>
      <c r="V2027" s="69"/>
      <c r="W2027" s="69"/>
      <c r="X2027" s="69"/>
      <c r="Y2027" s="69"/>
      <c r="Z2027" s="69"/>
      <c r="AA2027" s="69"/>
      <c r="AB2027" s="69"/>
      <c r="AC2027" s="69"/>
      <c r="AD2027" s="69"/>
      <c r="AE2027" s="69"/>
    </row>
    <row r="2028" spans="1:31" ht="22.5" customHeight="1">
      <c r="A2028" s="69"/>
      <c r="B2028" s="69"/>
      <c r="C2028" s="69"/>
      <c r="D2028" s="69"/>
      <c r="E2028" s="185"/>
      <c r="F2028" s="69"/>
      <c r="G2028" s="185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69"/>
      <c r="T2028" s="69"/>
      <c r="U2028" s="69"/>
      <c r="V2028" s="69"/>
      <c r="W2028" s="69"/>
      <c r="X2028" s="69"/>
      <c r="Y2028" s="69"/>
      <c r="Z2028" s="69"/>
      <c r="AA2028" s="69"/>
      <c r="AB2028" s="69"/>
      <c r="AC2028" s="69"/>
      <c r="AD2028" s="69"/>
      <c r="AE2028" s="69"/>
    </row>
    <row r="2029" spans="1:31" ht="22.5" customHeight="1">
      <c r="A2029" s="69"/>
      <c r="B2029" s="69"/>
      <c r="C2029" s="69"/>
      <c r="D2029" s="69"/>
      <c r="E2029" s="185"/>
      <c r="F2029" s="69"/>
      <c r="G2029" s="185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69"/>
      <c r="T2029" s="69"/>
      <c r="U2029" s="69"/>
      <c r="V2029" s="69"/>
      <c r="W2029" s="69"/>
      <c r="X2029" s="69"/>
      <c r="Y2029" s="69"/>
      <c r="Z2029" s="69"/>
      <c r="AA2029" s="69"/>
      <c r="AB2029" s="69"/>
      <c r="AC2029" s="69"/>
      <c r="AD2029" s="69"/>
      <c r="AE2029" s="69"/>
    </row>
    <row r="2030" spans="1:31" ht="22.5" customHeight="1">
      <c r="A2030" s="69"/>
      <c r="B2030" s="69"/>
      <c r="C2030" s="69"/>
      <c r="D2030" s="69"/>
      <c r="E2030" s="185"/>
      <c r="F2030" s="69"/>
      <c r="G2030" s="185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69"/>
      <c r="X2030" s="69"/>
      <c r="Y2030" s="69"/>
      <c r="Z2030" s="69"/>
      <c r="AA2030" s="69"/>
      <c r="AB2030" s="69"/>
      <c r="AC2030" s="69"/>
      <c r="AD2030" s="69"/>
      <c r="AE2030" s="69"/>
    </row>
    <row r="2031" spans="1:31" ht="22.5" customHeight="1">
      <c r="A2031" s="69"/>
      <c r="B2031" s="69"/>
      <c r="C2031" s="69"/>
      <c r="D2031" s="69"/>
      <c r="E2031" s="185"/>
      <c r="F2031" s="69"/>
      <c r="G2031" s="185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69"/>
      <c r="T2031" s="69"/>
      <c r="U2031" s="69"/>
      <c r="V2031" s="69"/>
      <c r="W2031" s="69"/>
      <c r="X2031" s="69"/>
      <c r="Y2031" s="69"/>
      <c r="Z2031" s="69"/>
      <c r="AA2031" s="69"/>
      <c r="AB2031" s="69"/>
      <c r="AC2031" s="69"/>
      <c r="AD2031" s="69"/>
      <c r="AE2031" s="69"/>
    </row>
    <row r="2032" spans="1:31" ht="22.5" customHeight="1">
      <c r="A2032" s="69"/>
      <c r="B2032" s="69"/>
      <c r="C2032" s="69"/>
      <c r="D2032" s="69"/>
      <c r="E2032" s="185"/>
      <c r="F2032" s="69"/>
      <c r="G2032" s="185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69"/>
      <c r="T2032" s="69"/>
      <c r="U2032" s="69"/>
      <c r="V2032" s="69"/>
      <c r="W2032" s="69"/>
      <c r="X2032" s="69"/>
      <c r="Y2032" s="69"/>
      <c r="Z2032" s="69"/>
      <c r="AA2032" s="69"/>
      <c r="AB2032" s="69"/>
      <c r="AC2032" s="69"/>
      <c r="AD2032" s="69"/>
      <c r="AE2032" s="69"/>
    </row>
    <row r="2033" spans="1:31" ht="22.5" customHeight="1">
      <c r="A2033" s="69"/>
      <c r="B2033" s="69"/>
      <c r="C2033" s="69"/>
      <c r="D2033" s="69"/>
      <c r="E2033" s="185"/>
      <c r="F2033" s="69"/>
      <c r="G2033" s="185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69"/>
      <c r="T2033" s="69"/>
      <c r="U2033" s="69"/>
      <c r="V2033" s="69"/>
      <c r="W2033" s="69"/>
      <c r="X2033" s="69"/>
      <c r="Y2033" s="69"/>
      <c r="Z2033" s="69"/>
      <c r="AA2033" s="69"/>
      <c r="AB2033" s="69"/>
      <c r="AC2033" s="69"/>
      <c r="AD2033" s="69"/>
      <c r="AE2033" s="69"/>
    </row>
    <row r="2034" spans="1:31" ht="22.5" customHeight="1">
      <c r="A2034" s="69"/>
      <c r="B2034" s="69"/>
      <c r="C2034" s="69"/>
      <c r="D2034" s="69"/>
      <c r="E2034" s="185"/>
      <c r="F2034" s="69"/>
      <c r="G2034" s="185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69"/>
      <c r="T2034" s="69"/>
      <c r="U2034" s="69"/>
      <c r="V2034" s="69"/>
      <c r="W2034" s="69"/>
      <c r="X2034" s="69"/>
      <c r="Y2034" s="69"/>
      <c r="Z2034" s="69"/>
      <c r="AA2034" s="69"/>
      <c r="AB2034" s="69"/>
      <c r="AC2034" s="69"/>
      <c r="AD2034" s="69"/>
      <c r="AE2034" s="69"/>
    </row>
    <row r="2035" spans="1:31" ht="22.5" customHeight="1">
      <c r="A2035" s="69"/>
      <c r="B2035" s="69"/>
      <c r="C2035" s="69"/>
      <c r="D2035" s="69"/>
      <c r="E2035" s="185"/>
      <c r="F2035" s="69"/>
      <c r="G2035" s="185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69"/>
      <c r="T2035" s="69"/>
      <c r="U2035" s="69"/>
      <c r="V2035" s="69"/>
      <c r="W2035" s="69"/>
      <c r="X2035" s="69"/>
      <c r="Y2035" s="69"/>
      <c r="Z2035" s="69"/>
      <c r="AA2035" s="69"/>
      <c r="AB2035" s="69"/>
      <c r="AC2035" s="69"/>
      <c r="AD2035" s="69"/>
      <c r="AE2035" s="69"/>
    </row>
    <row r="2036" spans="1:31" ht="22.5" customHeight="1">
      <c r="A2036" s="69"/>
      <c r="B2036" s="69"/>
      <c r="C2036" s="69"/>
      <c r="D2036" s="69"/>
      <c r="E2036" s="185"/>
      <c r="F2036" s="69"/>
      <c r="G2036" s="185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69"/>
      <c r="T2036" s="69"/>
      <c r="U2036" s="69"/>
      <c r="V2036" s="69"/>
      <c r="W2036" s="69"/>
      <c r="X2036" s="69"/>
      <c r="Y2036" s="69"/>
      <c r="Z2036" s="69"/>
      <c r="AA2036" s="69"/>
      <c r="AB2036" s="69"/>
      <c r="AC2036" s="69"/>
      <c r="AD2036" s="69"/>
      <c r="AE2036" s="69"/>
    </row>
    <row r="2037" spans="1:31" ht="22.5" customHeight="1">
      <c r="A2037" s="69"/>
      <c r="B2037" s="69"/>
      <c r="C2037" s="69"/>
      <c r="D2037" s="69"/>
      <c r="E2037" s="185"/>
      <c r="F2037" s="69"/>
      <c r="G2037" s="185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69"/>
      <c r="T2037" s="69"/>
      <c r="U2037" s="69"/>
      <c r="V2037" s="69"/>
      <c r="W2037" s="69"/>
      <c r="X2037" s="69"/>
      <c r="Y2037" s="69"/>
      <c r="Z2037" s="69"/>
      <c r="AA2037" s="69"/>
      <c r="AB2037" s="69"/>
      <c r="AC2037" s="69"/>
      <c r="AD2037" s="69"/>
      <c r="AE2037" s="69"/>
    </row>
    <row r="2038" spans="1:31" ht="22.5" customHeight="1">
      <c r="A2038" s="69"/>
      <c r="B2038" s="69"/>
      <c r="C2038" s="69"/>
      <c r="D2038" s="69"/>
      <c r="E2038" s="185"/>
      <c r="F2038" s="69"/>
      <c r="G2038" s="185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69"/>
      <c r="T2038" s="69"/>
      <c r="U2038" s="69"/>
      <c r="V2038" s="69"/>
      <c r="W2038" s="69"/>
      <c r="X2038" s="69"/>
      <c r="Y2038" s="69"/>
      <c r="Z2038" s="69"/>
      <c r="AA2038" s="69"/>
      <c r="AB2038" s="69"/>
      <c r="AC2038" s="69"/>
      <c r="AD2038" s="69"/>
      <c r="AE2038" s="69"/>
    </row>
    <row r="2039" spans="1:31" ht="22.5" customHeight="1">
      <c r="A2039" s="69"/>
      <c r="B2039" s="69"/>
      <c r="C2039" s="69"/>
      <c r="D2039" s="69"/>
      <c r="E2039" s="185"/>
      <c r="F2039" s="69"/>
      <c r="G2039" s="185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69"/>
      <c r="T2039" s="69"/>
      <c r="U2039" s="69"/>
      <c r="V2039" s="69"/>
      <c r="W2039" s="69"/>
      <c r="X2039" s="69"/>
      <c r="Y2039" s="69"/>
      <c r="Z2039" s="69"/>
      <c r="AA2039" s="69"/>
      <c r="AB2039" s="69"/>
      <c r="AC2039" s="69"/>
      <c r="AD2039" s="69"/>
      <c r="AE2039" s="69"/>
    </row>
    <row r="2040" spans="1:31" ht="22.5" customHeight="1">
      <c r="A2040" s="69"/>
      <c r="B2040" s="69"/>
      <c r="C2040" s="69"/>
      <c r="D2040" s="69"/>
      <c r="E2040" s="185"/>
      <c r="F2040" s="69"/>
      <c r="G2040" s="185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69"/>
      <c r="T2040" s="69"/>
      <c r="U2040" s="69"/>
      <c r="V2040" s="69"/>
      <c r="W2040" s="69"/>
      <c r="X2040" s="69"/>
      <c r="Y2040" s="69"/>
      <c r="Z2040" s="69"/>
      <c r="AA2040" s="69"/>
      <c r="AB2040" s="69"/>
      <c r="AC2040" s="69"/>
      <c r="AD2040" s="69"/>
      <c r="AE2040" s="69"/>
    </row>
    <row r="2041" spans="1:31" ht="22.5" customHeight="1">
      <c r="A2041" s="69"/>
      <c r="B2041" s="69"/>
      <c r="C2041" s="69"/>
      <c r="D2041" s="69"/>
      <c r="E2041" s="185"/>
      <c r="F2041" s="69"/>
      <c r="G2041" s="185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69"/>
      <c r="T2041" s="69"/>
      <c r="U2041" s="69"/>
      <c r="V2041" s="69"/>
      <c r="W2041" s="69"/>
      <c r="X2041" s="69"/>
      <c r="Y2041" s="69"/>
      <c r="Z2041" s="69"/>
      <c r="AA2041" s="69"/>
      <c r="AB2041" s="69"/>
      <c r="AC2041" s="69"/>
      <c r="AD2041" s="69"/>
      <c r="AE2041" s="69"/>
    </row>
    <row r="2042" spans="1:31" ht="22.5" customHeight="1">
      <c r="A2042" s="69"/>
      <c r="B2042" s="69"/>
      <c r="C2042" s="69"/>
      <c r="D2042" s="69"/>
      <c r="E2042" s="185"/>
      <c r="F2042" s="69"/>
      <c r="G2042" s="185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69"/>
      <c r="T2042" s="69"/>
      <c r="U2042" s="69"/>
      <c r="V2042" s="69"/>
      <c r="W2042" s="69"/>
      <c r="X2042" s="69"/>
      <c r="Y2042" s="69"/>
      <c r="Z2042" s="69"/>
      <c r="AA2042" s="69"/>
      <c r="AB2042" s="69"/>
      <c r="AC2042" s="69"/>
      <c r="AD2042" s="69"/>
      <c r="AE2042" s="69"/>
    </row>
    <row r="2043" spans="1:31" ht="22.5" customHeight="1">
      <c r="A2043" s="69"/>
      <c r="B2043" s="69"/>
      <c r="C2043" s="69"/>
      <c r="D2043" s="69"/>
      <c r="E2043" s="185"/>
      <c r="F2043" s="69"/>
      <c r="G2043" s="185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  <c r="AA2043" s="69"/>
      <c r="AB2043" s="69"/>
      <c r="AC2043" s="69"/>
      <c r="AD2043" s="69"/>
      <c r="AE2043" s="69"/>
    </row>
    <row r="2044" spans="1:31" ht="22.5" customHeight="1">
      <c r="A2044" s="69"/>
      <c r="B2044" s="69"/>
      <c r="C2044" s="69"/>
      <c r="D2044" s="69"/>
      <c r="E2044" s="185"/>
      <c r="F2044" s="69"/>
      <c r="G2044" s="185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69"/>
      <c r="T2044" s="69"/>
      <c r="U2044" s="69"/>
      <c r="V2044" s="69"/>
      <c r="W2044" s="69"/>
      <c r="X2044" s="69"/>
      <c r="Y2044" s="69"/>
      <c r="Z2044" s="69"/>
      <c r="AA2044" s="69"/>
      <c r="AB2044" s="69"/>
      <c r="AC2044" s="69"/>
      <c r="AD2044" s="69"/>
      <c r="AE2044" s="69"/>
    </row>
    <row r="2045" spans="1:31" ht="22.5" customHeight="1">
      <c r="A2045" s="69"/>
      <c r="B2045" s="69"/>
      <c r="C2045" s="69"/>
      <c r="D2045" s="69"/>
      <c r="E2045" s="185"/>
      <c r="F2045" s="69"/>
      <c r="G2045" s="185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69"/>
      <c r="T2045" s="69"/>
      <c r="U2045" s="69"/>
      <c r="V2045" s="69"/>
      <c r="W2045" s="69"/>
      <c r="X2045" s="69"/>
      <c r="Y2045" s="69"/>
      <c r="Z2045" s="69"/>
      <c r="AA2045" s="69"/>
      <c r="AB2045" s="69"/>
      <c r="AC2045" s="69"/>
      <c r="AD2045" s="69"/>
      <c r="AE2045" s="69"/>
    </row>
    <row r="2046" spans="1:31" ht="22.5" customHeight="1">
      <c r="A2046" s="69"/>
      <c r="B2046" s="69"/>
      <c r="C2046" s="69"/>
      <c r="D2046" s="69"/>
      <c r="E2046" s="185"/>
      <c r="F2046" s="69"/>
      <c r="G2046" s="185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69"/>
      <c r="T2046" s="69"/>
      <c r="U2046" s="69"/>
      <c r="V2046" s="69"/>
      <c r="W2046" s="69"/>
      <c r="X2046" s="69"/>
      <c r="Y2046" s="69"/>
      <c r="Z2046" s="69"/>
      <c r="AA2046" s="69"/>
      <c r="AB2046" s="69"/>
      <c r="AC2046" s="69"/>
      <c r="AD2046" s="69"/>
      <c r="AE2046" s="69"/>
    </row>
    <row r="2047" spans="1:31" ht="22.5" customHeight="1">
      <c r="A2047" s="69"/>
      <c r="B2047" s="69"/>
      <c r="C2047" s="69"/>
      <c r="D2047" s="69"/>
      <c r="E2047" s="185"/>
      <c r="F2047" s="69"/>
      <c r="G2047" s="185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69"/>
      <c r="T2047" s="69"/>
      <c r="U2047" s="69"/>
      <c r="V2047" s="69"/>
      <c r="W2047" s="69"/>
      <c r="X2047" s="69"/>
      <c r="Y2047" s="69"/>
      <c r="Z2047" s="69"/>
      <c r="AA2047" s="69"/>
      <c r="AB2047" s="69"/>
      <c r="AC2047" s="69"/>
      <c r="AD2047" s="69"/>
      <c r="AE2047" s="69"/>
    </row>
    <row r="2048" spans="1:31" ht="22.5" customHeight="1">
      <c r="A2048" s="69"/>
      <c r="B2048" s="69"/>
      <c r="C2048" s="69"/>
      <c r="D2048" s="69"/>
      <c r="E2048" s="185"/>
      <c r="F2048" s="69"/>
      <c r="G2048" s="185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69"/>
      <c r="X2048" s="69"/>
      <c r="Y2048" s="69"/>
      <c r="Z2048" s="69"/>
      <c r="AA2048" s="69"/>
      <c r="AB2048" s="69"/>
      <c r="AC2048" s="69"/>
      <c r="AD2048" s="69"/>
      <c r="AE2048" s="69"/>
    </row>
    <row r="2049" spans="1:31" ht="22.5" customHeight="1">
      <c r="A2049" s="69"/>
      <c r="B2049" s="69"/>
      <c r="C2049" s="69"/>
      <c r="D2049" s="69"/>
      <c r="E2049" s="185"/>
      <c r="F2049" s="69"/>
      <c r="G2049" s="185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69"/>
      <c r="T2049" s="69"/>
      <c r="U2049" s="69"/>
      <c r="V2049" s="69"/>
      <c r="W2049" s="69"/>
      <c r="X2049" s="69"/>
      <c r="Y2049" s="69"/>
      <c r="Z2049" s="69"/>
      <c r="AA2049" s="69"/>
      <c r="AB2049" s="69"/>
      <c r="AC2049" s="69"/>
      <c r="AD2049" s="69"/>
      <c r="AE2049" s="69"/>
    </row>
    <row r="2050" spans="1:31" ht="22.5" customHeight="1">
      <c r="A2050" s="69"/>
      <c r="B2050" s="69"/>
      <c r="C2050" s="69"/>
      <c r="D2050" s="69"/>
      <c r="E2050" s="185"/>
      <c r="F2050" s="69"/>
      <c r="G2050" s="185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69"/>
      <c r="T2050" s="69"/>
      <c r="U2050" s="69"/>
      <c r="V2050" s="69"/>
      <c r="W2050" s="69"/>
      <c r="X2050" s="69"/>
      <c r="Y2050" s="69"/>
      <c r="Z2050" s="69"/>
      <c r="AA2050" s="69"/>
      <c r="AB2050" s="69"/>
      <c r="AC2050" s="69"/>
      <c r="AD2050" s="69"/>
      <c r="AE2050" s="69"/>
    </row>
    <row r="2051" spans="1:31" ht="22.5" customHeight="1">
      <c r="A2051" s="69"/>
      <c r="B2051" s="69"/>
      <c r="C2051" s="69"/>
      <c r="D2051" s="69"/>
      <c r="E2051" s="185"/>
      <c r="F2051" s="69"/>
      <c r="G2051" s="185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69"/>
      <c r="T2051" s="69"/>
      <c r="U2051" s="69"/>
      <c r="V2051" s="69"/>
      <c r="W2051" s="69"/>
      <c r="X2051" s="69"/>
      <c r="Y2051" s="69"/>
      <c r="Z2051" s="69"/>
      <c r="AA2051" s="69"/>
      <c r="AB2051" s="69"/>
      <c r="AC2051" s="69"/>
      <c r="AD2051" s="69"/>
      <c r="AE2051" s="69"/>
    </row>
    <row r="2052" spans="1:31" ht="22.5" customHeight="1">
      <c r="A2052" s="69"/>
      <c r="B2052" s="69"/>
      <c r="C2052" s="69"/>
      <c r="D2052" s="69"/>
      <c r="E2052" s="185"/>
      <c r="F2052" s="69"/>
      <c r="G2052" s="185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69"/>
      <c r="T2052" s="69"/>
      <c r="U2052" s="69"/>
      <c r="V2052" s="69"/>
      <c r="W2052" s="69"/>
      <c r="X2052" s="69"/>
      <c r="Y2052" s="69"/>
      <c r="Z2052" s="69"/>
      <c r="AA2052" s="69"/>
      <c r="AB2052" s="69"/>
      <c r="AC2052" s="69"/>
      <c r="AD2052" s="69"/>
      <c r="AE2052" s="69"/>
    </row>
    <row r="2053" spans="1:31" ht="22.5" customHeight="1">
      <c r="A2053" s="69"/>
      <c r="B2053" s="69"/>
      <c r="C2053" s="69"/>
      <c r="D2053" s="69"/>
      <c r="E2053" s="185"/>
      <c r="F2053" s="69"/>
      <c r="G2053" s="185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69"/>
      <c r="T2053" s="69"/>
      <c r="U2053" s="69"/>
      <c r="V2053" s="69"/>
      <c r="W2053" s="69"/>
      <c r="X2053" s="69"/>
      <c r="Y2053" s="69"/>
      <c r="Z2053" s="69"/>
      <c r="AA2053" s="69"/>
      <c r="AB2053" s="69"/>
      <c r="AC2053" s="69"/>
      <c r="AD2053" s="69"/>
      <c r="AE2053" s="69"/>
    </row>
    <row r="2054" spans="1:31" ht="22.5" customHeight="1">
      <c r="A2054" s="69"/>
      <c r="B2054" s="69"/>
      <c r="C2054" s="69"/>
      <c r="D2054" s="69"/>
      <c r="E2054" s="185"/>
      <c r="F2054" s="69"/>
      <c r="G2054" s="185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69"/>
      <c r="T2054" s="69"/>
      <c r="U2054" s="69"/>
      <c r="V2054" s="69"/>
      <c r="W2054" s="69"/>
      <c r="X2054" s="69"/>
      <c r="Y2054" s="69"/>
      <c r="Z2054" s="69"/>
      <c r="AA2054" s="69"/>
      <c r="AB2054" s="69"/>
      <c r="AC2054" s="69"/>
      <c r="AD2054" s="69"/>
      <c r="AE2054" s="69"/>
    </row>
    <row r="2055" spans="1:31" ht="22.5" customHeight="1">
      <c r="A2055" s="69"/>
      <c r="B2055" s="69"/>
      <c r="C2055" s="69"/>
      <c r="D2055" s="69"/>
      <c r="E2055" s="185"/>
      <c r="F2055" s="69"/>
      <c r="G2055" s="185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69"/>
      <c r="T2055" s="69"/>
      <c r="U2055" s="69"/>
      <c r="V2055" s="69"/>
      <c r="W2055" s="69"/>
      <c r="X2055" s="69"/>
      <c r="Y2055" s="69"/>
      <c r="Z2055" s="69"/>
      <c r="AA2055" s="69"/>
      <c r="AB2055" s="69"/>
      <c r="AC2055" s="69"/>
      <c r="AD2055" s="69"/>
      <c r="AE2055" s="69"/>
    </row>
    <row r="2056" spans="1:31" ht="22.5" customHeight="1">
      <c r="A2056" s="69"/>
      <c r="B2056" s="69"/>
      <c r="C2056" s="69"/>
      <c r="D2056" s="69"/>
      <c r="E2056" s="185"/>
      <c r="F2056" s="69"/>
      <c r="G2056" s="185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69"/>
      <c r="T2056" s="69"/>
      <c r="U2056" s="69"/>
      <c r="V2056" s="69"/>
      <c r="W2056" s="69"/>
      <c r="X2056" s="69"/>
      <c r="Y2056" s="69"/>
      <c r="Z2056" s="69"/>
      <c r="AA2056" s="69"/>
      <c r="AB2056" s="69"/>
      <c r="AC2056" s="69"/>
      <c r="AD2056" s="69"/>
      <c r="AE2056" s="69"/>
    </row>
    <row r="2057" spans="1:31" ht="22.5" customHeight="1">
      <c r="A2057" s="69"/>
      <c r="B2057" s="69"/>
      <c r="C2057" s="69"/>
      <c r="D2057" s="69"/>
      <c r="E2057" s="185"/>
      <c r="F2057" s="69"/>
      <c r="G2057" s="185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69"/>
      <c r="T2057" s="69"/>
      <c r="U2057" s="69"/>
      <c r="V2057" s="69"/>
      <c r="W2057" s="69"/>
      <c r="X2057" s="69"/>
      <c r="Y2057" s="69"/>
      <c r="Z2057" s="69"/>
      <c r="AA2057" s="69"/>
      <c r="AB2057" s="69"/>
      <c r="AC2057" s="69"/>
      <c r="AD2057" s="69"/>
      <c r="AE2057" s="69"/>
    </row>
    <row r="2058" spans="1:31" ht="22.5" customHeight="1">
      <c r="A2058" s="69"/>
      <c r="B2058" s="69"/>
      <c r="C2058" s="69"/>
      <c r="D2058" s="69"/>
      <c r="E2058" s="185"/>
      <c r="F2058" s="69"/>
      <c r="G2058" s="185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69"/>
      <c r="T2058" s="69"/>
      <c r="U2058" s="69"/>
      <c r="V2058" s="69"/>
      <c r="W2058" s="69"/>
      <c r="X2058" s="69"/>
      <c r="Y2058" s="69"/>
      <c r="Z2058" s="69"/>
      <c r="AA2058" s="69"/>
      <c r="AB2058" s="69"/>
      <c r="AC2058" s="69"/>
      <c r="AD2058" s="69"/>
      <c r="AE2058" s="69"/>
    </row>
    <row r="2059" spans="1:31" ht="22.5" customHeight="1">
      <c r="A2059" s="69"/>
      <c r="B2059" s="69"/>
      <c r="C2059" s="69"/>
      <c r="D2059" s="69"/>
      <c r="E2059" s="185"/>
      <c r="F2059" s="69"/>
      <c r="G2059" s="185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69"/>
      <c r="T2059" s="69"/>
      <c r="U2059" s="69"/>
      <c r="V2059" s="69"/>
      <c r="W2059" s="69"/>
      <c r="X2059" s="69"/>
      <c r="Y2059" s="69"/>
      <c r="Z2059" s="69"/>
      <c r="AA2059" s="69"/>
      <c r="AB2059" s="69"/>
      <c r="AC2059" s="69"/>
      <c r="AD2059" s="69"/>
      <c r="AE2059" s="69"/>
    </row>
    <row r="2060" spans="1:31" ht="22.5" customHeight="1">
      <c r="A2060" s="69"/>
      <c r="B2060" s="69"/>
      <c r="C2060" s="69"/>
      <c r="D2060" s="69"/>
      <c r="E2060" s="185"/>
      <c r="F2060" s="69"/>
      <c r="G2060" s="185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69"/>
      <c r="T2060" s="69"/>
      <c r="U2060" s="69"/>
      <c r="V2060" s="69"/>
      <c r="W2060" s="69"/>
      <c r="X2060" s="69"/>
      <c r="Y2060" s="69"/>
      <c r="Z2060" s="69"/>
      <c r="AA2060" s="69"/>
      <c r="AB2060" s="69"/>
      <c r="AC2060" s="69"/>
      <c r="AD2060" s="69"/>
      <c r="AE2060" s="69"/>
    </row>
    <row r="2061" spans="1:31" ht="22.5" customHeight="1">
      <c r="A2061" s="69"/>
      <c r="B2061" s="69"/>
      <c r="C2061" s="69"/>
      <c r="D2061" s="69"/>
      <c r="E2061" s="185"/>
      <c r="F2061" s="69"/>
      <c r="G2061" s="185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69"/>
      <c r="T2061" s="69"/>
      <c r="U2061" s="69"/>
      <c r="V2061" s="69"/>
      <c r="W2061" s="69"/>
      <c r="X2061" s="69"/>
      <c r="Y2061" s="69"/>
      <c r="Z2061" s="69"/>
      <c r="AA2061" s="69"/>
      <c r="AB2061" s="69"/>
      <c r="AC2061" s="69"/>
      <c r="AD2061" s="69"/>
      <c r="AE2061" s="69"/>
    </row>
    <row r="2062" spans="1:31" ht="22.5" customHeight="1">
      <c r="A2062" s="69"/>
      <c r="B2062" s="69"/>
      <c r="C2062" s="69"/>
      <c r="D2062" s="69"/>
      <c r="E2062" s="185"/>
      <c r="F2062" s="69"/>
      <c r="G2062" s="185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69"/>
      <c r="T2062" s="69"/>
      <c r="U2062" s="69"/>
      <c r="V2062" s="69"/>
      <c r="W2062" s="69"/>
      <c r="X2062" s="69"/>
      <c r="Y2062" s="69"/>
      <c r="Z2062" s="69"/>
      <c r="AA2062" s="69"/>
      <c r="AB2062" s="69"/>
      <c r="AC2062" s="69"/>
      <c r="AD2062" s="69"/>
      <c r="AE2062" s="69"/>
    </row>
    <row r="2063" spans="1:31" ht="22.5" customHeight="1">
      <c r="A2063" s="69"/>
      <c r="B2063" s="69"/>
      <c r="C2063" s="69"/>
      <c r="D2063" s="69"/>
      <c r="E2063" s="185"/>
      <c r="F2063" s="69"/>
      <c r="G2063" s="185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69"/>
      <c r="T2063" s="69"/>
      <c r="U2063" s="69"/>
      <c r="V2063" s="69"/>
      <c r="W2063" s="69"/>
      <c r="X2063" s="69"/>
      <c r="Y2063" s="69"/>
      <c r="Z2063" s="69"/>
      <c r="AA2063" s="69"/>
      <c r="AB2063" s="69"/>
      <c r="AC2063" s="69"/>
      <c r="AD2063" s="69"/>
      <c r="AE2063" s="69"/>
    </row>
    <row r="2064" spans="1:31" ht="22.5" customHeight="1">
      <c r="A2064" s="69"/>
      <c r="B2064" s="69"/>
      <c r="C2064" s="69"/>
      <c r="D2064" s="69"/>
      <c r="E2064" s="185"/>
      <c r="F2064" s="69"/>
      <c r="G2064" s="185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69"/>
      <c r="T2064" s="69"/>
      <c r="U2064" s="69"/>
      <c r="V2064" s="69"/>
      <c r="W2064" s="69"/>
      <c r="X2064" s="69"/>
      <c r="Y2064" s="69"/>
      <c r="Z2064" s="69"/>
      <c r="AA2064" s="69"/>
      <c r="AB2064" s="69"/>
      <c r="AC2064" s="69"/>
      <c r="AD2064" s="69"/>
      <c r="AE2064" s="69"/>
    </row>
    <row r="2065" spans="1:31" ht="22.5" customHeight="1">
      <c r="A2065" s="69"/>
      <c r="B2065" s="69"/>
      <c r="C2065" s="69"/>
      <c r="D2065" s="69"/>
      <c r="E2065" s="185"/>
      <c r="F2065" s="69"/>
      <c r="G2065" s="185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69"/>
      <c r="T2065" s="69"/>
      <c r="U2065" s="69"/>
      <c r="V2065" s="69"/>
      <c r="W2065" s="69"/>
      <c r="X2065" s="69"/>
      <c r="Y2065" s="69"/>
      <c r="Z2065" s="69"/>
      <c r="AA2065" s="69"/>
      <c r="AB2065" s="69"/>
      <c r="AC2065" s="69"/>
      <c r="AD2065" s="69"/>
      <c r="AE2065" s="69"/>
    </row>
    <row r="2066" spans="1:31" ht="22.5" customHeight="1">
      <c r="A2066" s="69"/>
      <c r="B2066" s="69"/>
      <c r="C2066" s="69"/>
      <c r="D2066" s="69"/>
      <c r="E2066" s="185"/>
      <c r="F2066" s="69"/>
      <c r="G2066" s="185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69"/>
      <c r="X2066" s="69"/>
      <c r="Y2066" s="69"/>
      <c r="Z2066" s="69"/>
      <c r="AA2066" s="69"/>
      <c r="AB2066" s="69"/>
      <c r="AC2066" s="69"/>
      <c r="AD2066" s="69"/>
      <c r="AE2066" s="69"/>
    </row>
    <row r="2067" spans="1:31" ht="22.5" customHeight="1">
      <c r="A2067" s="69"/>
      <c r="B2067" s="69"/>
      <c r="C2067" s="69"/>
      <c r="D2067" s="69"/>
      <c r="E2067" s="185"/>
      <c r="F2067" s="69"/>
      <c r="G2067" s="185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69"/>
      <c r="T2067" s="69"/>
      <c r="U2067" s="69"/>
      <c r="V2067" s="69"/>
      <c r="W2067" s="69"/>
      <c r="X2067" s="69"/>
      <c r="Y2067" s="69"/>
      <c r="Z2067" s="69"/>
      <c r="AA2067" s="69"/>
      <c r="AB2067" s="69"/>
      <c r="AC2067" s="69"/>
      <c r="AD2067" s="69"/>
      <c r="AE2067" s="69"/>
    </row>
    <row r="2068" spans="1:31" ht="22.5" customHeight="1">
      <c r="A2068" s="69"/>
      <c r="B2068" s="69"/>
      <c r="C2068" s="69"/>
      <c r="D2068" s="69"/>
      <c r="E2068" s="185"/>
      <c r="F2068" s="69"/>
      <c r="G2068" s="185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69"/>
      <c r="T2068" s="69"/>
      <c r="U2068" s="69"/>
      <c r="V2068" s="69"/>
      <c r="W2068" s="69"/>
      <c r="X2068" s="69"/>
      <c r="Y2068" s="69"/>
      <c r="Z2068" s="69"/>
      <c r="AA2068" s="69"/>
      <c r="AB2068" s="69"/>
      <c r="AC2068" s="69"/>
      <c r="AD2068" s="69"/>
      <c r="AE2068" s="69"/>
    </row>
    <row r="2069" spans="1:31" ht="22.5" customHeight="1">
      <c r="A2069" s="69"/>
      <c r="B2069" s="69"/>
      <c r="C2069" s="69"/>
      <c r="D2069" s="69"/>
      <c r="E2069" s="185"/>
      <c r="F2069" s="69"/>
      <c r="G2069" s="185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69"/>
      <c r="T2069" s="69"/>
      <c r="U2069" s="69"/>
      <c r="V2069" s="69"/>
      <c r="W2069" s="69"/>
      <c r="X2069" s="69"/>
      <c r="Y2069" s="69"/>
      <c r="Z2069" s="69"/>
      <c r="AA2069" s="69"/>
      <c r="AB2069" s="69"/>
      <c r="AC2069" s="69"/>
      <c r="AD2069" s="69"/>
      <c r="AE2069" s="69"/>
    </row>
    <row r="2070" spans="1:31" ht="22.5" customHeight="1">
      <c r="A2070" s="69"/>
      <c r="B2070" s="69"/>
      <c r="C2070" s="69"/>
      <c r="D2070" s="69"/>
      <c r="E2070" s="185"/>
      <c r="F2070" s="69"/>
      <c r="G2070" s="185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69"/>
      <c r="T2070" s="69"/>
      <c r="U2070" s="69"/>
      <c r="V2070" s="69"/>
      <c r="W2070" s="69"/>
      <c r="X2070" s="69"/>
      <c r="Y2070" s="69"/>
      <c r="Z2070" s="69"/>
      <c r="AA2070" s="69"/>
      <c r="AB2070" s="69"/>
      <c r="AC2070" s="69"/>
      <c r="AD2070" s="69"/>
      <c r="AE2070" s="69"/>
    </row>
    <row r="2071" spans="1:31" ht="22.5" customHeight="1">
      <c r="A2071" s="69"/>
      <c r="B2071" s="69"/>
      <c r="C2071" s="69"/>
      <c r="D2071" s="69"/>
      <c r="E2071" s="185"/>
      <c r="F2071" s="69"/>
      <c r="G2071" s="185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69"/>
      <c r="T2071" s="69"/>
      <c r="U2071" s="69"/>
      <c r="V2071" s="69"/>
      <c r="W2071" s="69"/>
      <c r="X2071" s="69"/>
      <c r="Y2071" s="69"/>
      <c r="Z2071" s="69"/>
      <c r="AA2071" s="69"/>
      <c r="AB2071" s="69"/>
      <c r="AC2071" s="69"/>
      <c r="AD2071" s="69"/>
      <c r="AE2071" s="69"/>
    </row>
    <row r="2072" spans="1:31" ht="22.5" customHeight="1">
      <c r="A2072" s="69"/>
      <c r="B2072" s="69"/>
      <c r="C2072" s="69"/>
      <c r="D2072" s="69"/>
      <c r="E2072" s="185"/>
      <c r="F2072" s="69"/>
      <c r="G2072" s="185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69"/>
      <c r="T2072" s="69"/>
      <c r="U2072" s="69"/>
      <c r="V2072" s="69"/>
      <c r="W2072" s="69"/>
      <c r="X2072" s="69"/>
      <c r="Y2072" s="69"/>
      <c r="Z2072" s="69"/>
      <c r="AA2072" s="69"/>
      <c r="AB2072" s="69"/>
      <c r="AC2072" s="69"/>
      <c r="AD2072" s="69"/>
      <c r="AE2072" s="69"/>
    </row>
    <row r="2073" spans="1:31" ht="22.5" customHeight="1">
      <c r="A2073" s="69"/>
      <c r="B2073" s="69"/>
      <c r="C2073" s="69"/>
      <c r="D2073" s="69"/>
      <c r="E2073" s="185"/>
      <c r="F2073" s="69"/>
      <c r="G2073" s="185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69"/>
      <c r="T2073" s="69"/>
      <c r="U2073" s="69"/>
      <c r="V2073" s="69"/>
      <c r="W2073" s="69"/>
      <c r="X2073" s="69"/>
      <c r="Y2073" s="69"/>
      <c r="Z2073" s="69"/>
      <c r="AA2073" s="69"/>
      <c r="AB2073" s="69"/>
      <c r="AC2073" s="69"/>
      <c r="AD2073" s="69"/>
      <c r="AE2073" s="69"/>
    </row>
    <row r="2074" spans="1:31" ht="22.5" customHeight="1">
      <c r="A2074" s="69"/>
      <c r="B2074" s="69"/>
      <c r="C2074" s="69"/>
      <c r="D2074" s="69"/>
      <c r="E2074" s="185"/>
      <c r="F2074" s="69"/>
      <c r="G2074" s="185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69"/>
      <c r="T2074" s="69"/>
      <c r="U2074" s="69"/>
      <c r="V2074" s="69"/>
      <c r="W2074" s="69"/>
      <c r="X2074" s="69"/>
      <c r="Y2074" s="69"/>
      <c r="Z2074" s="69"/>
      <c r="AA2074" s="69"/>
      <c r="AB2074" s="69"/>
      <c r="AC2074" s="69"/>
      <c r="AD2074" s="69"/>
      <c r="AE2074" s="69"/>
    </row>
    <row r="2075" spans="1:31" ht="22.5" customHeight="1">
      <c r="A2075" s="69"/>
      <c r="B2075" s="69"/>
      <c r="C2075" s="69"/>
      <c r="D2075" s="69"/>
      <c r="E2075" s="185"/>
      <c r="F2075" s="69"/>
      <c r="G2075" s="185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69"/>
      <c r="T2075" s="69"/>
      <c r="U2075" s="69"/>
      <c r="V2075" s="69"/>
      <c r="W2075" s="69"/>
      <c r="X2075" s="69"/>
      <c r="Y2075" s="69"/>
      <c r="Z2075" s="69"/>
      <c r="AA2075" s="69"/>
      <c r="AB2075" s="69"/>
      <c r="AC2075" s="69"/>
      <c r="AD2075" s="69"/>
      <c r="AE2075" s="69"/>
    </row>
    <row r="2076" spans="1:31" ht="22.5" customHeight="1">
      <c r="A2076" s="69"/>
      <c r="B2076" s="69"/>
      <c r="C2076" s="69"/>
      <c r="D2076" s="69"/>
      <c r="E2076" s="185"/>
      <c r="F2076" s="69"/>
      <c r="G2076" s="185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69"/>
      <c r="T2076" s="69"/>
      <c r="U2076" s="69"/>
      <c r="V2076" s="69"/>
      <c r="W2076" s="69"/>
      <c r="X2076" s="69"/>
      <c r="Y2076" s="69"/>
      <c r="Z2076" s="69"/>
      <c r="AA2076" s="69"/>
      <c r="AB2076" s="69"/>
      <c r="AC2076" s="69"/>
      <c r="AD2076" s="69"/>
      <c r="AE2076" s="69"/>
    </row>
    <row r="2077" spans="1:31" ht="22.5" customHeight="1">
      <c r="A2077" s="69"/>
      <c r="B2077" s="69"/>
      <c r="C2077" s="69"/>
      <c r="D2077" s="69"/>
      <c r="E2077" s="185"/>
      <c r="F2077" s="69"/>
      <c r="G2077" s="185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69"/>
      <c r="T2077" s="69"/>
      <c r="U2077" s="69"/>
      <c r="V2077" s="69"/>
      <c r="W2077" s="69"/>
      <c r="X2077" s="69"/>
      <c r="Y2077" s="69"/>
      <c r="Z2077" s="69"/>
      <c r="AA2077" s="69"/>
      <c r="AB2077" s="69"/>
      <c r="AC2077" s="69"/>
      <c r="AD2077" s="69"/>
      <c r="AE2077" s="69"/>
    </row>
    <row r="2078" spans="1:31" ht="22.5" customHeight="1">
      <c r="A2078" s="69"/>
      <c r="B2078" s="69"/>
      <c r="C2078" s="69"/>
      <c r="D2078" s="69"/>
      <c r="E2078" s="185"/>
      <c r="F2078" s="69"/>
      <c r="G2078" s="185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69"/>
      <c r="T2078" s="69"/>
      <c r="U2078" s="69"/>
      <c r="V2078" s="69"/>
      <c r="W2078" s="69"/>
      <c r="X2078" s="69"/>
      <c r="Y2078" s="69"/>
      <c r="Z2078" s="69"/>
      <c r="AA2078" s="69"/>
      <c r="AB2078" s="69"/>
      <c r="AC2078" s="69"/>
      <c r="AD2078" s="69"/>
      <c r="AE2078" s="69"/>
    </row>
    <row r="2079" spans="1:31" ht="22.5" customHeight="1">
      <c r="A2079" s="69"/>
      <c r="B2079" s="69"/>
      <c r="C2079" s="69"/>
      <c r="D2079" s="69"/>
      <c r="E2079" s="185"/>
      <c r="F2079" s="69"/>
      <c r="G2079" s="185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69"/>
      <c r="T2079" s="69"/>
      <c r="U2079" s="69"/>
      <c r="V2079" s="69"/>
      <c r="W2079" s="69"/>
      <c r="X2079" s="69"/>
      <c r="Y2079" s="69"/>
      <c r="Z2079" s="69"/>
      <c r="AA2079" s="69"/>
      <c r="AB2079" s="69"/>
      <c r="AC2079" s="69"/>
      <c r="AD2079" s="69"/>
      <c r="AE2079" s="69"/>
    </row>
    <row r="2080" spans="1:31" ht="22.5" customHeight="1">
      <c r="A2080" s="69"/>
      <c r="B2080" s="69"/>
      <c r="C2080" s="69"/>
      <c r="D2080" s="69"/>
      <c r="E2080" s="185"/>
      <c r="F2080" s="69"/>
      <c r="G2080" s="185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69"/>
      <c r="T2080" s="69"/>
      <c r="U2080" s="69"/>
      <c r="V2080" s="69"/>
      <c r="W2080" s="69"/>
      <c r="X2080" s="69"/>
      <c r="Y2080" s="69"/>
      <c r="Z2080" s="69"/>
      <c r="AA2080" s="69"/>
      <c r="AB2080" s="69"/>
      <c r="AC2080" s="69"/>
      <c r="AD2080" s="69"/>
      <c r="AE2080" s="69"/>
    </row>
    <row r="2081" spans="1:31" ht="22.5" customHeight="1">
      <c r="A2081" s="69"/>
      <c r="B2081" s="69"/>
      <c r="C2081" s="69"/>
      <c r="D2081" s="69"/>
      <c r="E2081" s="185"/>
      <c r="F2081" s="69"/>
      <c r="G2081" s="185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69"/>
      <c r="T2081" s="69"/>
      <c r="U2081" s="69"/>
      <c r="V2081" s="69"/>
      <c r="W2081" s="69"/>
      <c r="X2081" s="69"/>
      <c r="Y2081" s="69"/>
      <c r="Z2081" s="69"/>
      <c r="AA2081" s="69"/>
      <c r="AB2081" s="69"/>
      <c r="AC2081" s="69"/>
      <c r="AD2081" s="69"/>
      <c r="AE2081" s="69"/>
    </row>
    <row r="2082" spans="1:31" ht="22.5" customHeight="1">
      <c r="A2082" s="69"/>
      <c r="B2082" s="69"/>
      <c r="C2082" s="69"/>
      <c r="D2082" s="69"/>
      <c r="E2082" s="185"/>
      <c r="F2082" s="69"/>
      <c r="G2082" s="185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69"/>
      <c r="T2082" s="69"/>
      <c r="U2082" s="69"/>
      <c r="V2082" s="69"/>
      <c r="W2082" s="69"/>
      <c r="X2082" s="69"/>
      <c r="Y2082" s="69"/>
      <c r="Z2082" s="69"/>
      <c r="AA2082" s="69"/>
      <c r="AB2082" s="69"/>
      <c r="AC2082" s="69"/>
      <c r="AD2082" s="69"/>
      <c r="AE2082" s="69"/>
    </row>
    <row r="2083" spans="1:31" ht="22.5" customHeight="1">
      <c r="A2083" s="69"/>
      <c r="B2083" s="69"/>
      <c r="C2083" s="69"/>
      <c r="D2083" s="69"/>
      <c r="E2083" s="185"/>
      <c r="F2083" s="69"/>
      <c r="G2083" s="185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  <c r="AA2083" s="69"/>
      <c r="AB2083" s="69"/>
      <c r="AC2083" s="69"/>
      <c r="AD2083" s="69"/>
      <c r="AE2083" s="69"/>
    </row>
    <row r="2084" spans="1:31" ht="22.5" customHeight="1">
      <c r="A2084" s="69"/>
      <c r="B2084" s="69"/>
      <c r="C2084" s="69"/>
      <c r="D2084" s="69"/>
      <c r="E2084" s="185"/>
      <c r="F2084" s="69"/>
      <c r="G2084" s="185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69"/>
      <c r="X2084" s="69"/>
      <c r="Y2084" s="69"/>
      <c r="Z2084" s="69"/>
      <c r="AA2084" s="69"/>
      <c r="AB2084" s="69"/>
      <c r="AC2084" s="69"/>
      <c r="AD2084" s="69"/>
      <c r="AE2084" s="69"/>
    </row>
    <row r="2085" spans="1:31" ht="22.5" customHeight="1">
      <c r="A2085" s="69"/>
      <c r="B2085" s="69"/>
      <c r="C2085" s="69"/>
      <c r="D2085" s="69"/>
      <c r="E2085" s="185"/>
      <c r="F2085" s="69"/>
      <c r="G2085" s="185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69"/>
      <c r="T2085" s="69"/>
      <c r="U2085" s="69"/>
      <c r="V2085" s="69"/>
      <c r="W2085" s="69"/>
      <c r="X2085" s="69"/>
      <c r="Y2085" s="69"/>
      <c r="Z2085" s="69"/>
      <c r="AA2085" s="69"/>
      <c r="AB2085" s="69"/>
      <c r="AC2085" s="69"/>
      <c r="AD2085" s="69"/>
      <c r="AE2085" s="69"/>
    </row>
    <row r="2086" spans="1:31" ht="22.5" customHeight="1">
      <c r="A2086" s="69"/>
      <c r="B2086" s="69"/>
      <c r="C2086" s="69"/>
      <c r="D2086" s="69"/>
      <c r="E2086" s="185"/>
      <c r="F2086" s="69"/>
      <c r="G2086" s="185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69"/>
      <c r="T2086" s="69"/>
      <c r="U2086" s="69"/>
      <c r="V2086" s="69"/>
      <c r="W2086" s="69"/>
      <c r="X2086" s="69"/>
      <c r="Y2086" s="69"/>
      <c r="Z2086" s="69"/>
      <c r="AA2086" s="69"/>
      <c r="AB2086" s="69"/>
      <c r="AC2086" s="69"/>
      <c r="AD2086" s="69"/>
      <c r="AE2086" s="69"/>
    </row>
    <row r="2087" spans="1:31" ht="22.5" customHeight="1">
      <c r="A2087" s="69"/>
      <c r="B2087" s="69"/>
      <c r="C2087" s="69"/>
      <c r="D2087" s="69"/>
      <c r="E2087" s="185"/>
      <c r="F2087" s="69"/>
      <c r="G2087" s="185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69"/>
      <c r="T2087" s="69"/>
      <c r="U2087" s="69"/>
      <c r="V2087" s="69"/>
      <c r="W2087" s="69"/>
      <c r="X2087" s="69"/>
      <c r="Y2087" s="69"/>
      <c r="Z2087" s="69"/>
      <c r="AA2087" s="69"/>
      <c r="AB2087" s="69"/>
      <c r="AC2087" s="69"/>
      <c r="AD2087" s="69"/>
      <c r="AE2087" s="69"/>
    </row>
    <row r="2088" spans="1:31" ht="22.5" customHeight="1">
      <c r="A2088" s="69"/>
      <c r="B2088" s="69"/>
      <c r="C2088" s="69"/>
      <c r="D2088" s="69"/>
      <c r="E2088" s="185"/>
      <c r="F2088" s="69"/>
      <c r="G2088" s="185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69"/>
      <c r="T2088" s="69"/>
      <c r="U2088" s="69"/>
      <c r="V2088" s="69"/>
      <c r="W2088" s="69"/>
      <c r="X2088" s="69"/>
      <c r="Y2088" s="69"/>
      <c r="Z2088" s="69"/>
      <c r="AA2088" s="69"/>
      <c r="AB2088" s="69"/>
      <c r="AC2088" s="69"/>
      <c r="AD2088" s="69"/>
      <c r="AE2088" s="69"/>
    </row>
    <row r="2089" spans="1:31" ht="22.5" customHeight="1">
      <c r="A2089" s="69"/>
      <c r="B2089" s="69"/>
      <c r="C2089" s="69"/>
      <c r="D2089" s="69"/>
      <c r="E2089" s="185"/>
      <c r="F2089" s="69"/>
      <c r="G2089" s="185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69"/>
      <c r="T2089" s="69"/>
      <c r="U2089" s="69"/>
      <c r="V2089" s="69"/>
      <c r="W2089" s="69"/>
      <c r="X2089" s="69"/>
      <c r="Y2089" s="69"/>
      <c r="Z2089" s="69"/>
      <c r="AA2089" s="69"/>
      <c r="AB2089" s="69"/>
      <c r="AC2089" s="69"/>
      <c r="AD2089" s="69"/>
      <c r="AE2089" s="69"/>
    </row>
    <row r="2090" spans="1:31" ht="22.5" customHeight="1">
      <c r="A2090" s="69"/>
      <c r="B2090" s="69"/>
      <c r="C2090" s="69"/>
      <c r="D2090" s="69"/>
      <c r="E2090" s="185"/>
      <c r="F2090" s="69"/>
      <c r="G2090" s="185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69"/>
      <c r="T2090" s="69"/>
      <c r="U2090" s="69"/>
      <c r="V2090" s="69"/>
      <c r="W2090" s="69"/>
      <c r="X2090" s="69"/>
      <c r="Y2090" s="69"/>
      <c r="Z2090" s="69"/>
      <c r="AA2090" s="69"/>
      <c r="AB2090" s="69"/>
      <c r="AC2090" s="69"/>
      <c r="AD2090" s="69"/>
      <c r="AE2090" s="69"/>
    </row>
    <row r="2091" spans="1:31" ht="22.5" customHeight="1">
      <c r="A2091" s="69"/>
      <c r="B2091" s="69"/>
      <c r="C2091" s="69"/>
      <c r="D2091" s="69"/>
      <c r="E2091" s="185"/>
      <c r="F2091" s="69"/>
      <c r="G2091" s="185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69"/>
      <c r="T2091" s="69"/>
      <c r="U2091" s="69"/>
      <c r="V2091" s="69"/>
      <c r="W2091" s="69"/>
      <c r="X2091" s="69"/>
      <c r="Y2091" s="69"/>
      <c r="Z2091" s="69"/>
      <c r="AA2091" s="69"/>
      <c r="AB2091" s="69"/>
      <c r="AC2091" s="69"/>
      <c r="AD2091" s="69"/>
      <c r="AE2091" s="69"/>
    </row>
    <row r="2092" spans="1:31" ht="22.5" customHeight="1">
      <c r="A2092" s="69"/>
      <c r="B2092" s="69"/>
      <c r="C2092" s="69"/>
      <c r="D2092" s="69"/>
      <c r="E2092" s="185"/>
      <c r="F2092" s="69"/>
      <c r="G2092" s="185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69"/>
      <c r="T2092" s="69"/>
      <c r="U2092" s="69"/>
      <c r="V2092" s="69"/>
      <c r="W2092" s="69"/>
      <c r="X2092" s="69"/>
      <c r="Y2092" s="69"/>
      <c r="Z2092" s="69"/>
      <c r="AA2092" s="69"/>
      <c r="AB2092" s="69"/>
      <c r="AC2092" s="69"/>
      <c r="AD2092" s="69"/>
      <c r="AE2092" s="69"/>
    </row>
    <row r="2093" spans="1:31" ht="22.5" customHeight="1">
      <c r="A2093" s="69"/>
      <c r="B2093" s="69"/>
      <c r="C2093" s="69"/>
      <c r="D2093" s="69"/>
      <c r="E2093" s="185"/>
      <c r="F2093" s="69"/>
      <c r="G2093" s="185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69"/>
      <c r="T2093" s="69"/>
      <c r="U2093" s="69"/>
      <c r="V2093" s="69"/>
      <c r="W2093" s="69"/>
      <c r="X2093" s="69"/>
      <c r="Y2093" s="69"/>
      <c r="Z2093" s="69"/>
      <c r="AA2093" s="69"/>
      <c r="AB2093" s="69"/>
      <c r="AC2093" s="69"/>
      <c r="AD2093" s="69"/>
      <c r="AE2093" s="69"/>
    </row>
    <row r="2094" spans="1:31" ht="22.5" customHeight="1">
      <c r="A2094" s="69"/>
      <c r="B2094" s="69"/>
      <c r="C2094" s="69"/>
      <c r="D2094" s="69"/>
      <c r="E2094" s="185"/>
      <c r="F2094" s="69"/>
      <c r="G2094" s="185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69"/>
      <c r="T2094" s="69"/>
      <c r="U2094" s="69"/>
      <c r="V2094" s="69"/>
      <c r="W2094" s="69"/>
      <c r="X2094" s="69"/>
      <c r="Y2094" s="69"/>
      <c r="Z2094" s="69"/>
      <c r="AA2094" s="69"/>
      <c r="AB2094" s="69"/>
      <c r="AC2094" s="69"/>
      <c r="AD2094" s="69"/>
      <c r="AE2094" s="69"/>
    </row>
    <row r="2095" spans="1:31" ht="22.5" customHeight="1">
      <c r="A2095" s="69"/>
      <c r="B2095" s="69"/>
      <c r="C2095" s="69"/>
      <c r="D2095" s="69"/>
      <c r="E2095" s="185"/>
      <c r="F2095" s="69"/>
      <c r="G2095" s="185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69"/>
      <c r="T2095" s="69"/>
      <c r="U2095" s="69"/>
      <c r="V2095" s="69"/>
      <c r="W2095" s="69"/>
      <c r="X2095" s="69"/>
      <c r="Y2095" s="69"/>
      <c r="Z2095" s="69"/>
      <c r="AA2095" s="69"/>
      <c r="AB2095" s="69"/>
      <c r="AC2095" s="69"/>
      <c r="AD2095" s="69"/>
      <c r="AE2095" s="69"/>
    </row>
    <row r="2096" spans="1:31" ht="22.5" customHeight="1">
      <c r="A2096" s="69"/>
      <c r="B2096" s="69"/>
      <c r="C2096" s="69"/>
      <c r="D2096" s="69"/>
      <c r="E2096" s="185"/>
      <c r="F2096" s="69"/>
      <c r="G2096" s="185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69"/>
      <c r="T2096" s="69"/>
      <c r="U2096" s="69"/>
      <c r="V2096" s="69"/>
      <c r="W2096" s="69"/>
      <c r="X2096" s="69"/>
      <c r="Y2096" s="69"/>
      <c r="Z2096" s="69"/>
      <c r="AA2096" s="69"/>
      <c r="AB2096" s="69"/>
      <c r="AC2096" s="69"/>
      <c r="AD2096" s="69"/>
      <c r="AE2096" s="69"/>
    </row>
    <row r="2097" spans="1:31" ht="22.5" customHeight="1">
      <c r="A2097" s="69"/>
      <c r="B2097" s="69"/>
      <c r="C2097" s="69"/>
      <c r="D2097" s="69"/>
      <c r="E2097" s="185"/>
      <c r="F2097" s="69"/>
      <c r="G2097" s="185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69"/>
      <c r="T2097" s="69"/>
      <c r="U2097" s="69"/>
      <c r="V2097" s="69"/>
      <c r="W2097" s="69"/>
      <c r="X2097" s="69"/>
      <c r="Y2097" s="69"/>
      <c r="Z2097" s="69"/>
      <c r="AA2097" s="69"/>
      <c r="AB2097" s="69"/>
      <c r="AC2097" s="69"/>
      <c r="AD2097" s="69"/>
      <c r="AE2097" s="69"/>
    </row>
    <row r="2098" spans="1:31" ht="22.5" customHeight="1">
      <c r="A2098" s="69"/>
      <c r="B2098" s="69"/>
      <c r="C2098" s="69"/>
      <c r="D2098" s="69"/>
      <c r="E2098" s="185"/>
      <c r="F2098" s="69"/>
      <c r="G2098" s="185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69"/>
      <c r="T2098" s="69"/>
      <c r="U2098" s="69"/>
      <c r="V2098" s="69"/>
      <c r="W2098" s="69"/>
      <c r="X2098" s="69"/>
      <c r="Y2098" s="69"/>
      <c r="Z2098" s="69"/>
      <c r="AA2098" s="69"/>
      <c r="AB2098" s="69"/>
      <c r="AC2098" s="69"/>
      <c r="AD2098" s="69"/>
      <c r="AE2098" s="69"/>
    </row>
    <row r="2099" spans="1:31" ht="22.5" customHeight="1">
      <c r="A2099" s="69"/>
      <c r="B2099" s="69"/>
      <c r="C2099" s="69"/>
      <c r="D2099" s="69"/>
      <c r="E2099" s="185"/>
      <c r="F2099" s="69"/>
      <c r="G2099" s="185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69"/>
      <c r="T2099" s="69"/>
      <c r="U2099" s="69"/>
      <c r="V2099" s="69"/>
      <c r="W2099" s="69"/>
      <c r="X2099" s="69"/>
      <c r="Y2099" s="69"/>
      <c r="Z2099" s="69"/>
      <c r="AA2099" s="69"/>
      <c r="AB2099" s="69"/>
      <c r="AC2099" s="69"/>
      <c r="AD2099" s="69"/>
      <c r="AE2099" s="69"/>
    </row>
    <row r="2100" spans="1:31" ht="22.5" customHeight="1">
      <c r="A2100" s="69"/>
      <c r="B2100" s="69"/>
      <c r="C2100" s="69"/>
      <c r="D2100" s="69"/>
      <c r="E2100" s="185"/>
      <c r="F2100" s="69"/>
      <c r="G2100" s="185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69"/>
      <c r="T2100" s="69"/>
      <c r="U2100" s="69"/>
      <c r="V2100" s="69"/>
      <c r="W2100" s="69"/>
      <c r="X2100" s="69"/>
      <c r="Y2100" s="69"/>
      <c r="Z2100" s="69"/>
      <c r="AA2100" s="69"/>
      <c r="AB2100" s="69"/>
      <c r="AC2100" s="69"/>
      <c r="AD2100" s="69"/>
      <c r="AE2100" s="69"/>
    </row>
    <row r="2101" spans="1:31" ht="22.5" customHeight="1">
      <c r="A2101" s="69"/>
      <c r="B2101" s="69"/>
      <c r="C2101" s="69"/>
      <c r="D2101" s="69"/>
      <c r="E2101" s="185"/>
      <c r="F2101" s="69"/>
      <c r="G2101" s="185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69"/>
      <c r="T2101" s="69"/>
      <c r="U2101" s="69"/>
      <c r="V2101" s="69"/>
      <c r="W2101" s="69"/>
      <c r="X2101" s="69"/>
      <c r="Y2101" s="69"/>
      <c r="Z2101" s="69"/>
      <c r="AA2101" s="69"/>
      <c r="AB2101" s="69"/>
      <c r="AC2101" s="69"/>
      <c r="AD2101" s="69"/>
      <c r="AE2101" s="69"/>
    </row>
    <row r="2102" spans="1:31" ht="22.5" customHeight="1">
      <c r="A2102" s="69"/>
      <c r="B2102" s="69"/>
      <c r="C2102" s="69"/>
      <c r="D2102" s="69"/>
      <c r="E2102" s="185"/>
      <c r="F2102" s="69"/>
      <c r="G2102" s="185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69"/>
      <c r="X2102" s="69"/>
      <c r="Y2102" s="69"/>
      <c r="Z2102" s="69"/>
      <c r="AA2102" s="69"/>
      <c r="AB2102" s="69"/>
      <c r="AC2102" s="69"/>
      <c r="AD2102" s="69"/>
      <c r="AE2102" s="69"/>
    </row>
    <row r="2103" spans="1:31" ht="22.5" customHeight="1">
      <c r="A2103" s="69"/>
      <c r="B2103" s="69"/>
      <c r="C2103" s="69"/>
      <c r="D2103" s="69"/>
      <c r="E2103" s="185"/>
      <c r="F2103" s="69"/>
      <c r="G2103" s="185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69"/>
      <c r="T2103" s="69"/>
      <c r="U2103" s="69"/>
      <c r="V2103" s="69"/>
      <c r="W2103" s="69"/>
      <c r="X2103" s="69"/>
      <c r="Y2103" s="69"/>
      <c r="Z2103" s="69"/>
      <c r="AA2103" s="69"/>
      <c r="AB2103" s="69"/>
      <c r="AC2103" s="69"/>
      <c r="AD2103" s="69"/>
      <c r="AE2103" s="69"/>
    </row>
    <row r="2104" spans="1:31" ht="22.5" customHeight="1">
      <c r="A2104" s="69"/>
      <c r="B2104" s="69"/>
      <c r="C2104" s="69"/>
      <c r="D2104" s="69"/>
      <c r="E2104" s="185"/>
      <c r="F2104" s="69"/>
      <c r="G2104" s="185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69"/>
      <c r="T2104" s="69"/>
      <c r="U2104" s="69"/>
      <c r="V2104" s="69"/>
      <c r="W2104" s="69"/>
      <c r="X2104" s="69"/>
      <c r="Y2104" s="69"/>
      <c r="Z2104" s="69"/>
      <c r="AA2104" s="69"/>
      <c r="AB2104" s="69"/>
      <c r="AC2104" s="69"/>
      <c r="AD2104" s="69"/>
      <c r="AE2104" s="69"/>
    </row>
    <row r="2105" spans="1:31" ht="22.5" customHeight="1">
      <c r="A2105" s="69"/>
      <c r="B2105" s="69"/>
      <c r="C2105" s="69"/>
      <c r="D2105" s="69"/>
      <c r="E2105" s="185"/>
      <c r="F2105" s="69"/>
      <c r="G2105" s="185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69"/>
      <c r="T2105" s="69"/>
      <c r="U2105" s="69"/>
      <c r="V2105" s="69"/>
      <c r="W2105" s="69"/>
      <c r="X2105" s="69"/>
      <c r="Y2105" s="69"/>
      <c r="Z2105" s="69"/>
      <c r="AA2105" s="69"/>
      <c r="AB2105" s="69"/>
      <c r="AC2105" s="69"/>
      <c r="AD2105" s="69"/>
      <c r="AE2105" s="69"/>
    </row>
    <row r="2106" spans="1:31" ht="22.5" customHeight="1">
      <c r="A2106" s="69"/>
      <c r="B2106" s="69"/>
      <c r="C2106" s="69"/>
      <c r="D2106" s="69"/>
      <c r="E2106" s="185"/>
      <c r="F2106" s="69"/>
      <c r="G2106" s="185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69"/>
      <c r="T2106" s="69"/>
      <c r="U2106" s="69"/>
      <c r="V2106" s="69"/>
      <c r="W2106" s="69"/>
      <c r="X2106" s="69"/>
      <c r="Y2106" s="69"/>
      <c r="Z2106" s="69"/>
      <c r="AA2106" s="69"/>
      <c r="AB2106" s="69"/>
      <c r="AC2106" s="69"/>
      <c r="AD2106" s="69"/>
      <c r="AE2106" s="69"/>
    </row>
    <row r="2107" spans="1:31" ht="22.5" customHeight="1">
      <c r="A2107" s="69"/>
      <c r="B2107" s="69"/>
      <c r="C2107" s="69"/>
      <c r="D2107" s="69"/>
      <c r="E2107" s="185"/>
      <c r="F2107" s="69"/>
      <c r="G2107" s="185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69"/>
      <c r="T2107" s="69"/>
      <c r="U2107" s="69"/>
      <c r="V2107" s="69"/>
      <c r="W2107" s="69"/>
      <c r="X2107" s="69"/>
      <c r="Y2107" s="69"/>
      <c r="Z2107" s="69"/>
      <c r="AA2107" s="69"/>
      <c r="AB2107" s="69"/>
      <c r="AC2107" s="69"/>
      <c r="AD2107" s="69"/>
      <c r="AE2107" s="69"/>
    </row>
    <row r="2108" spans="1:31" ht="22.5" customHeight="1">
      <c r="A2108" s="69"/>
      <c r="B2108" s="69"/>
      <c r="C2108" s="69"/>
      <c r="D2108" s="69"/>
      <c r="E2108" s="185"/>
      <c r="F2108" s="69"/>
      <c r="G2108" s="185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69"/>
      <c r="T2108" s="69"/>
      <c r="U2108" s="69"/>
      <c r="V2108" s="69"/>
      <c r="W2108" s="69"/>
      <c r="X2108" s="69"/>
      <c r="Y2108" s="69"/>
      <c r="Z2108" s="69"/>
      <c r="AA2108" s="69"/>
      <c r="AB2108" s="69"/>
      <c r="AC2108" s="69"/>
      <c r="AD2108" s="69"/>
      <c r="AE2108" s="69"/>
    </row>
    <row r="2109" spans="1:31" ht="22.5" customHeight="1">
      <c r="A2109" s="69"/>
      <c r="B2109" s="69"/>
      <c r="C2109" s="69"/>
      <c r="D2109" s="69"/>
      <c r="E2109" s="185"/>
      <c r="F2109" s="69"/>
      <c r="G2109" s="185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69"/>
      <c r="T2109" s="69"/>
      <c r="U2109" s="69"/>
      <c r="V2109" s="69"/>
      <c r="W2109" s="69"/>
      <c r="X2109" s="69"/>
      <c r="Y2109" s="69"/>
      <c r="Z2109" s="69"/>
      <c r="AA2109" s="69"/>
      <c r="AB2109" s="69"/>
      <c r="AC2109" s="69"/>
      <c r="AD2109" s="69"/>
      <c r="AE2109" s="69"/>
    </row>
    <row r="2110" spans="1:31" ht="22.5" customHeight="1">
      <c r="A2110" s="69"/>
      <c r="B2110" s="69"/>
      <c r="C2110" s="69"/>
      <c r="D2110" s="69"/>
      <c r="E2110" s="185"/>
      <c r="F2110" s="69"/>
      <c r="G2110" s="185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69"/>
      <c r="T2110" s="69"/>
      <c r="U2110" s="69"/>
      <c r="V2110" s="69"/>
      <c r="W2110" s="69"/>
      <c r="X2110" s="69"/>
      <c r="Y2110" s="69"/>
      <c r="Z2110" s="69"/>
      <c r="AA2110" s="69"/>
      <c r="AB2110" s="69"/>
      <c r="AC2110" s="69"/>
      <c r="AD2110" s="69"/>
      <c r="AE2110" s="69"/>
    </row>
    <row r="2111" spans="1:31" ht="22.5" customHeight="1">
      <c r="A2111" s="69"/>
      <c r="B2111" s="69"/>
      <c r="C2111" s="69"/>
      <c r="D2111" s="69"/>
      <c r="E2111" s="185"/>
      <c r="F2111" s="69"/>
      <c r="G2111" s="185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69"/>
      <c r="T2111" s="69"/>
      <c r="U2111" s="69"/>
      <c r="V2111" s="69"/>
      <c r="W2111" s="69"/>
      <c r="X2111" s="69"/>
      <c r="Y2111" s="69"/>
      <c r="Z2111" s="69"/>
      <c r="AA2111" s="69"/>
      <c r="AB2111" s="69"/>
      <c r="AC2111" s="69"/>
      <c r="AD2111" s="69"/>
      <c r="AE2111" s="69"/>
    </row>
    <row r="2112" spans="1:31" ht="22.5" customHeight="1">
      <c r="A2112" s="69"/>
      <c r="B2112" s="69"/>
      <c r="C2112" s="69"/>
      <c r="D2112" s="69"/>
      <c r="E2112" s="185"/>
      <c r="F2112" s="69"/>
      <c r="G2112" s="185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69"/>
      <c r="T2112" s="69"/>
      <c r="U2112" s="69"/>
      <c r="V2112" s="69"/>
      <c r="W2112" s="69"/>
      <c r="X2112" s="69"/>
      <c r="Y2112" s="69"/>
      <c r="Z2112" s="69"/>
      <c r="AA2112" s="69"/>
      <c r="AB2112" s="69"/>
      <c r="AC2112" s="69"/>
      <c r="AD2112" s="69"/>
      <c r="AE2112" s="69"/>
    </row>
    <row r="2113" spans="1:31" ht="22.5" customHeight="1">
      <c r="A2113" s="69"/>
      <c r="B2113" s="69"/>
      <c r="C2113" s="69"/>
      <c r="D2113" s="69"/>
      <c r="E2113" s="185"/>
      <c r="F2113" s="69"/>
      <c r="G2113" s="185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69"/>
      <c r="T2113" s="69"/>
      <c r="U2113" s="69"/>
      <c r="V2113" s="69"/>
      <c r="W2113" s="69"/>
      <c r="X2113" s="69"/>
      <c r="Y2113" s="69"/>
      <c r="Z2113" s="69"/>
      <c r="AA2113" s="69"/>
      <c r="AB2113" s="69"/>
      <c r="AC2113" s="69"/>
      <c r="AD2113" s="69"/>
      <c r="AE2113" s="69"/>
    </row>
    <row r="2114" spans="1:31" ht="22.5" customHeight="1">
      <c r="A2114" s="69"/>
      <c r="B2114" s="69"/>
      <c r="C2114" s="69"/>
      <c r="D2114" s="69"/>
      <c r="E2114" s="185"/>
      <c r="F2114" s="69"/>
      <c r="G2114" s="185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69"/>
      <c r="T2114" s="69"/>
      <c r="U2114" s="69"/>
      <c r="V2114" s="69"/>
      <c r="W2114" s="69"/>
      <c r="X2114" s="69"/>
      <c r="Y2114" s="69"/>
      <c r="Z2114" s="69"/>
      <c r="AA2114" s="69"/>
      <c r="AB2114" s="69"/>
      <c r="AC2114" s="69"/>
      <c r="AD2114" s="69"/>
      <c r="AE2114" s="69"/>
    </row>
    <row r="2115" spans="1:31" ht="22.5" customHeight="1">
      <c r="A2115" s="69"/>
      <c r="B2115" s="69"/>
      <c r="C2115" s="69"/>
      <c r="D2115" s="69"/>
      <c r="E2115" s="185"/>
      <c r="F2115" s="69"/>
      <c r="G2115" s="185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69"/>
      <c r="T2115" s="69"/>
      <c r="U2115" s="69"/>
      <c r="V2115" s="69"/>
      <c r="W2115" s="69"/>
      <c r="X2115" s="69"/>
      <c r="Y2115" s="69"/>
      <c r="Z2115" s="69"/>
      <c r="AA2115" s="69"/>
      <c r="AB2115" s="69"/>
      <c r="AC2115" s="69"/>
      <c r="AD2115" s="69"/>
      <c r="AE2115" s="69"/>
    </row>
    <row r="2116" spans="1:31" ht="22.5" customHeight="1">
      <c r="A2116" s="69"/>
      <c r="B2116" s="69"/>
      <c r="C2116" s="69"/>
      <c r="D2116" s="69"/>
      <c r="E2116" s="185"/>
      <c r="F2116" s="69"/>
      <c r="G2116" s="185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69"/>
      <c r="T2116" s="69"/>
      <c r="U2116" s="69"/>
      <c r="V2116" s="69"/>
      <c r="W2116" s="69"/>
      <c r="X2116" s="69"/>
      <c r="Y2116" s="69"/>
      <c r="Z2116" s="69"/>
      <c r="AA2116" s="69"/>
      <c r="AB2116" s="69"/>
      <c r="AC2116" s="69"/>
      <c r="AD2116" s="69"/>
      <c r="AE2116" s="69"/>
    </row>
    <row r="2117" spans="1:31" ht="22.5" customHeight="1">
      <c r="A2117" s="69"/>
      <c r="B2117" s="69"/>
      <c r="C2117" s="69"/>
      <c r="D2117" s="69"/>
      <c r="E2117" s="185"/>
      <c r="F2117" s="69"/>
      <c r="G2117" s="185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69"/>
      <c r="T2117" s="69"/>
      <c r="U2117" s="69"/>
      <c r="V2117" s="69"/>
      <c r="W2117" s="69"/>
      <c r="X2117" s="69"/>
      <c r="Y2117" s="69"/>
      <c r="Z2117" s="69"/>
      <c r="AA2117" s="69"/>
      <c r="AB2117" s="69"/>
      <c r="AC2117" s="69"/>
      <c r="AD2117" s="69"/>
      <c r="AE2117" s="69"/>
    </row>
    <row r="2118" spans="1:31" ht="22.5" customHeight="1">
      <c r="A2118" s="69"/>
      <c r="B2118" s="69"/>
      <c r="C2118" s="69"/>
      <c r="D2118" s="69"/>
      <c r="E2118" s="185"/>
      <c r="F2118" s="69"/>
      <c r="G2118" s="185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69"/>
      <c r="T2118" s="69"/>
      <c r="U2118" s="69"/>
      <c r="V2118" s="69"/>
      <c r="W2118" s="69"/>
      <c r="X2118" s="69"/>
      <c r="Y2118" s="69"/>
      <c r="Z2118" s="69"/>
      <c r="AA2118" s="69"/>
      <c r="AB2118" s="69"/>
      <c r="AC2118" s="69"/>
      <c r="AD2118" s="69"/>
      <c r="AE2118" s="69"/>
    </row>
    <row r="2119" spans="1:31" ht="22.5" customHeight="1">
      <c r="A2119" s="69"/>
      <c r="B2119" s="69"/>
      <c r="C2119" s="69"/>
      <c r="D2119" s="69"/>
      <c r="E2119" s="185"/>
      <c r="F2119" s="69"/>
      <c r="G2119" s="185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69"/>
      <c r="T2119" s="69"/>
      <c r="U2119" s="69"/>
      <c r="V2119" s="69"/>
      <c r="W2119" s="69"/>
      <c r="X2119" s="69"/>
      <c r="Y2119" s="69"/>
      <c r="Z2119" s="69"/>
      <c r="AA2119" s="69"/>
      <c r="AB2119" s="69"/>
      <c r="AC2119" s="69"/>
      <c r="AD2119" s="69"/>
      <c r="AE2119" s="69"/>
    </row>
    <row r="2120" spans="1:31" ht="22.5" customHeight="1">
      <c r="A2120" s="69"/>
      <c r="B2120" s="69"/>
      <c r="C2120" s="69"/>
      <c r="D2120" s="69"/>
      <c r="E2120" s="185"/>
      <c r="F2120" s="69"/>
      <c r="G2120" s="185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69"/>
      <c r="X2120" s="69"/>
      <c r="Y2120" s="69"/>
      <c r="Z2120" s="69"/>
      <c r="AA2120" s="69"/>
      <c r="AB2120" s="69"/>
      <c r="AC2120" s="69"/>
      <c r="AD2120" s="69"/>
      <c r="AE2120" s="69"/>
    </row>
    <row r="2121" spans="1:31" ht="22.5" customHeight="1">
      <c r="A2121" s="69"/>
      <c r="B2121" s="69"/>
      <c r="C2121" s="69"/>
      <c r="D2121" s="69"/>
      <c r="E2121" s="185"/>
      <c r="F2121" s="69"/>
      <c r="G2121" s="185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69"/>
      <c r="T2121" s="69"/>
      <c r="U2121" s="69"/>
      <c r="V2121" s="69"/>
      <c r="W2121" s="69"/>
      <c r="X2121" s="69"/>
      <c r="Y2121" s="69"/>
      <c r="Z2121" s="69"/>
      <c r="AA2121" s="69"/>
      <c r="AB2121" s="69"/>
      <c r="AC2121" s="69"/>
      <c r="AD2121" s="69"/>
      <c r="AE2121" s="69"/>
    </row>
    <row r="2122" spans="1:31" ht="22.5" customHeight="1">
      <c r="A2122" s="69"/>
      <c r="B2122" s="69"/>
      <c r="C2122" s="69"/>
      <c r="D2122" s="69"/>
      <c r="E2122" s="185"/>
      <c r="F2122" s="69"/>
      <c r="G2122" s="185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69"/>
      <c r="T2122" s="69"/>
      <c r="U2122" s="69"/>
      <c r="V2122" s="69"/>
      <c r="W2122" s="69"/>
      <c r="X2122" s="69"/>
      <c r="Y2122" s="69"/>
      <c r="Z2122" s="69"/>
      <c r="AA2122" s="69"/>
      <c r="AB2122" s="69"/>
      <c r="AC2122" s="69"/>
      <c r="AD2122" s="69"/>
      <c r="AE2122" s="69"/>
    </row>
    <row r="2123" spans="1:31" ht="22.5" customHeight="1">
      <c r="A2123" s="69"/>
      <c r="B2123" s="69"/>
      <c r="C2123" s="69"/>
      <c r="D2123" s="69"/>
      <c r="E2123" s="185"/>
      <c r="F2123" s="69"/>
      <c r="G2123" s="185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  <c r="AA2123" s="69"/>
      <c r="AB2123" s="69"/>
      <c r="AC2123" s="69"/>
      <c r="AD2123" s="69"/>
      <c r="AE2123" s="69"/>
    </row>
    <row r="2124" spans="1:31" ht="22.5" customHeight="1">
      <c r="A2124" s="69"/>
      <c r="B2124" s="69"/>
      <c r="C2124" s="69"/>
      <c r="D2124" s="69"/>
      <c r="E2124" s="185"/>
      <c r="F2124" s="69"/>
      <c r="G2124" s="185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69"/>
      <c r="T2124" s="69"/>
      <c r="U2124" s="69"/>
      <c r="V2124" s="69"/>
      <c r="W2124" s="69"/>
      <c r="X2124" s="69"/>
      <c r="Y2124" s="69"/>
      <c r="Z2124" s="69"/>
      <c r="AA2124" s="69"/>
      <c r="AB2124" s="69"/>
      <c r="AC2124" s="69"/>
      <c r="AD2124" s="69"/>
      <c r="AE2124" s="69"/>
    </row>
    <row r="2125" spans="1:31" ht="22.5" customHeight="1">
      <c r="A2125" s="69"/>
      <c r="B2125" s="69"/>
      <c r="C2125" s="69"/>
      <c r="D2125" s="69"/>
      <c r="E2125" s="185"/>
      <c r="F2125" s="69"/>
      <c r="G2125" s="185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69"/>
      <c r="T2125" s="69"/>
      <c r="U2125" s="69"/>
      <c r="V2125" s="69"/>
      <c r="W2125" s="69"/>
      <c r="X2125" s="69"/>
      <c r="Y2125" s="69"/>
      <c r="Z2125" s="69"/>
      <c r="AA2125" s="69"/>
      <c r="AB2125" s="69"/>
      <c r="AC2125" s="69"/>
      <c r="AD2125" s="69"/>
      <c r="AE2125" s="69"/>
    </row>
    <row r="2126" spans="1:31" ht="22.5" customHeight="1">
      <c r="A2126" s="69"/>
      <c r="B2126" s="69"/>
      <c r="C2126" s="69"/>
      <c r="D2126" s="69"/>
      <c r="E2126" s="185"/>
      <c r="F2126" s="69"/>
      <c r="G2126" s="185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69"/>
      <c r="T2126" s="69"/>
      <c r="U2126" s="69"/>
      <c r="V2126" s="69"/>
      <c r="W2126" s="69"/>
      <c r="X2126" s="69"/>
      <c r="Y2126" s="69"/>
      <c r="Z2126" s="69"/>
      <c r="AA2126" s="69"/>
      <c r="AB2126" s="69"/>
      <c r="AC2126" s="69"/>
      <c r="AD2126" s="69"/>
      <c r="AE2126" s="69"/>
    </row>
    <row r="2127" spans="1:31" ht="22.5" customHeight="1">
      <c r="A2127" s="69"/>
      <c r="B2127" s="69"/>
      <c r="C2127" s="69"/>
      <c r="D2127" s="69"/>
      <c r="E2127" s="185"/>
      <c r="F2127" s="69"/>
      <c r="G2127" s="185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69"/>
      <c r="T2127" s="69"/>
      <c r="U2127" s="69"/>
      <c r="V2127" s="69"/>
      <c r="W2127" s="69"/>
      <c r="X2127" s="69"/>
      <c r="Y2127" s="69"/>
      <c r="Z2127" s="69"/>
      <c r="AA2127" s="69"/>
      <c r="AB2127" s="69"/>
      <c r="AC2127" s="69"/>
      <c r="AD2127" s="69"/>
      <c r="AE2127" s="69"/>
    </row>
    <row r="2128" spans="1:31" ht="22.5" customHeight="1">
      <c r="A2128" s="69"/>
      <c r="B2128" s="69"/>
      <c r="C2128" s="69"/>
      <c r="D2128" s="69"/>
      <c r="E2128" s="185"/>
      <c r="F2128" s="69"/>
      <c r="G2128" s="185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69"/>
      <c r="T2128" s="69"/>
      <c r="U2128" s="69"/>
      <c r="V2128" s="69"/>
      <c r="W2128" s="69"/>
      <c r="X2128" s="69"/>
      <c r="Y2128" s="69"/>
      <c r="Z2128" s="69"/>
      <c r="AA2128" s="69"/>
      <c r="AB2128" s="69"/>
      <c r="AC2128" s="69"/>
      <c r="AD2128" s="69"/>
      <c r="AE2128" s="69"/>
    </row>
    <row r="2129" spans="1:31" ht="22.5" customHeight="1">
      <c r="A2129" s="69"/>
      <c r="B2129" s="69"/>
      <c r="C2129" s="69"/>
      <c r="D2129" s="69"/>
      <c r="E2129" s="185"/>
      <c r="F2129" s="69"/>
      <c r="G2129" s="185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69"/>
      <c r="T2129" s="69"/>
      <c r="U2129" s="69"/>
      <c r="V2129" s="69"/>
      <c r="W2129" s="69"/>
      <c r="X2129" s="69"/>
      <c r="Y2129" s="69"/>
      <c r="Z2129" s="69"/>
      <c r="AA2129" s="69"/>
      <c r="AB2129" s="69"/>
      <c r="AC2129" s="69"/>
      <c r="AD2129" s="69"/>
      <c r="AE2129" s="69"/>
    </row>
    <row r="2130" spans="1:31" ht="22.5" customHeight="1">
      <c r="A2130" s="69"/>
      <c r="B2130" s="69"/>
      <c r="C2130" s="69"/>
      <c r="D2130" s="69"/>
      <c r="E2130" s="185"/>
      <c r="F2130" s="69"/>
      <c r="G2130" s="185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69"/>
      <c r="T2130" s="69"/>
      <c r="U2130" s="69"/>
      <c r="V2130" s="69"/>
      <c r="W2130" s="69"/>
      <c r="X2130" s="69"/>
      <c r="Y2130" s="69"/>
      <c r="Z2130" s="69"/>
      <c r="AA2130" s="69"/>
      <c r="AB2130" s="69"/>
      <c r="AC2130" s="69"/>
      <c r="AD2130" s="69"/>
      <c r="AE2130" s="69"/>
    </row>
    <row r="2131" spans="1:31" ht="22.5" customHeight="1">
      <c r="A2131" s="69"/>
      <c r="B2131" s="69"/>
      <c r="C2131" s="69"/>
      <c r="D2131" s="69"/>
      <c r="E2131" s="185"/>
      <c r="F2131" s="69"/>
      <c r="G2131" s="185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69"/>
      <c r="T2131" s="69"/>
      <c r="U2131" s="69"/>
      <c r="V2131" s="69"/>
      <c r="W2131" s="69"/>
      <c r="X2131" s="69"/>
      <c r="Y2131" s="69"/>
      <c r="Z2131" s="69"/>
      <c r="AA2131" s="69"/>
      <c r="AB2131" s="69"/>
      <c r="AC2131" s="69"/>
      <c r="AD2131" s="69"/>
      <c r="AE2131" s="69"/>
    </row>
    <row r="2132" spans="1:31" ht="22.5" customHeight="1">
      <c r="A2132" s="69"/>
      <c r="B2132" s="69"/>
      <c r="C2132" s="69"/>
      <c r="D2132" s="69"/>
      <c r="E2132" s="185"/>
      <c r="F2132" s="69"/>
      <c r="G2132" s="185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69"/>
      <c r="T2132" s="69"/>
      <c r="U2132" s="69"/>
      <c r="V2132" s="69"/>
      <c r="W2132" s="69"/>
      <c r="X2132" s="69"/>
      <c r="Y2132" s="69"/>
      <c r="Z2132" s="69"/>
      <c r="AA2132" s="69"/>
      <c r="AB2132" s="69"/>
      <c r="AC2132" s="69"/>
      <c r="AD2132" s="69"/>
      <c r="AE2132" s="69"/>
    </row>
    <row r="2133" spans="1:31" ht="22.5" customHeight="1">
      <c r="A2133" s="69"/>
      <c r="B2133" s="69"/>
      <c r="C2133" s="69"/>
      <c r="D2133" s="69"/>
      <c r="E2133" s="185"/>
      <c r="F2133" s="69"/>
      <c r="G2133" s="185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69"/>
      <c r="T2133" s="69"/>
      <c r="U2133" s="69"/>
      <c r="V2133" s="69"/>
      <c r="W2133" s="69"/>
      <c r="X2133" s="69"/>
      <c r="Y2133" s="69"/>
      <c r="Z2133" s="69"/>
      <c r="AA2133" s="69"/>
      <c r="AB2133" s="69"/>
      <c r="AC2133" s="69"/>
      <c r="AD2133" s="69"/>
      <c r="AE2133" s="69"/>
    </row>
    <row r="2134" spans="1:31" ht="22.5" customHeight="1">
      <c r="A2134" s="69"/>
      <c r="B2134" s="69"/>
      <c r="C2134" s="69"/>
      <c r="D2134" s="69"/>
      <c r="E2134" s="185"/>
      <c r="F2134" s="69"/>
      <c r="G2134" s="185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69"/>
      <c r="T2134" s="69"/>
      <c r="U2134" s="69"/>
      <c r="V2134" s="69"/>
      <c r="W2134" s="69"/>
      <c r="X2134" s="69"/>
      <c r="Y2134" s="69"/>
      <c r="Z2134" s="69"/>
      <c r="AA2134" s="69"/>
      <c r="AB2134" s="69"/>
      <c r="AC2134" s="69"/>
      <c r="AD2134" s="69"/>
      <c r="AE2134" s="69"/>
    </row>
    <row r="2135" spans="1:31" ht="22.5" customHeight="1">
      <c r="A2135" s="69"/>
      <c r="B2135" s="69"/>
      <c r="C2135" s="69"/>
      <c r="D2135" s="69"/>
      <c r="E2135" s="185"/>
      <c r="F2135" s="69"/>
      <c r="G2135" s="185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69"/>
      <c r="T2135" s="69"/>
      <c r="U2135" s="69"/>
      <c r="V2135" s="69"/>
      <c r="W2135" s="69"/>
      <c r="X2135" s="69"/>
      <c r="Y2135" s="69"/>
      <c r="Z2135" s="69"/>
      <c r="AA2135" s="69"/>
      <c r="AB2135" s="69"/>
      <c r="AC2135" s="69"/>
      <c r="AD2135" s="69"/>
      <c r="AE2135" s="69"/>
    </row>
    <row r="2136" spans="1:31" ht="22.5" customHeight="1">
      <c r="A2136" s="69"/>
      <c r="B2136" s="69"/>
      <c r="C2136" s="69"/>
      <c r="D2136" s="69"/>
      <c r="E2136" s="185"/>
      <c r="F2136" s="69"/>
      <c r="G2136" s="185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69"/>
      <c r="T2136" s="69"/>
      <c r="U2136" s="69"/>
      <c r="V2136" s="69"/>
      <c r="W2136" s="69"/>
      <c r="X2136" s="69"/>
      <c r="Y2136" s="69"/>
      <c r="Z2136" s="69"/>
      <c r="AA2136" s="69"/>
      <c r="AB2136" s="69"/>
      <c r="AC2136" s="69"/>
      <c r="AD2136" s="69"/>
      <c r="AE2136" s="69"/>
    </row>
    <row r="2137" spans="1:31" ht="22.5" customHeight="1">
      <c r="A2137" s="69"/>
      <c r="B2137" s="69"/>
      <c r="C2137" s="69"/>
      <c r="D2137" s="69"/>
      <c r="E2137" s="185"/>
      <c r="F2137" s="69"/>
      <c r="G2137" s="185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69"/>
      <c r="T2137" s="69"/>
      <c r="U2137" s="69"/>
      <c r="V2137" s="69"/>
      <c r="W2137" s="69"/>
      <c r="X2137" s="69"/>
      <c r="Y2137" s="69"/>
      <c r="Z2137" s="69"/>
      <c r="AA2137" s="69"/>
      <c r="AB2137" s="69"/>
      <c r="AC2137" s="69"/>
      <c r="AD2137" s="69"/>
      <c r="AE2137" s="69"/>
    </row>
    <row r="2138" spans="1:31" ht="22.5" customHeight="1">
      <c r="A2138" s="69"/>
      <c r="B2138" s="69"/>
      <c r="C2138" s="69"/>
      <c r="D2138" s="69"/>
      <c r="E2138" s="185"/>
      <c r="F2138" s="69"/>
      <c r="G2138" s="185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69"/>
      <c r="X2138" s="69"/>
      <c r="Y2138" s="69"/>
      <c r="Z2138" s="69"/>
      <c r="AA2138" s="69"/>
      <c r="AB2138" s="69"/>
      <c r="AC2138" s="69"/>
      <c r="AD2138" s="69"/>
      <c r="AE2138" s="69"/>
    </row>
    <row r="2139" spans="1:31" ht="22.5" customHeight="1">
      <c r="A2139" s="69"/>
      <c r="B2139" s="69"/>
      <c r="C2139" s="69"/>
      <c r="D2139" s="69"/>
      <c r="E2139" s="185"/>
      <c r="F2139" s="69"/>
      <c r="G2139" s="185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69"/>
      <c r="T2139" s="69"/>
      <c r="U2139" s="69"/>
      <c r="V2139" s="69"/>
      <c r="W2139" s="69"/>
      <c r="X2139" s="69"/>
      <c r="Y2139" s="69"/>
      <c r="Z2139" s="69"/>
      <c r="AA2139" s="69"/>
      <c r="AB2139" s="69"/>
      <c r="AC2139" s="69"/>
      <c r="AD2139" s="69"/>
      <c r="AE2139" s="69"/>
    </row>
    <row r="2140" spans="1:31" ht="22.5" customHeight="1">
      <c r="A2140" s="69"/>
      <c r="B2140" s="69"/>
      <c r="C2140" s="69"/>
      <c r="D2140" s="69"/>
      <c r="E2140" s="185"/>
      <c r="F2140" s="69"/>
      <c r="G2140" s="185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69"/>
      <c r="T2140" s="69"/>
      <c r="U2140" s="69"/>
      <c r="V2140" s="69"/>
      <c r="W2140" s="69"/>
      <c r="X2140" s="69"/>
      <c r="Y2140" s="69"/>
      <c r="Z2140" s="69"/>
      <c r="AA2140" s="69"/>
      <c r="AB2140" s="69"/>
      <c r="AC2140" s="69"/>
      <c r="AD2140" s="69"/>
      <c r="AE2140" s="69"/>
    </row>
    <row r="2141" spans="1:31" ht="22.5" customHeight="1">
      <c r="A2141" s="69"/>
      <c r="B2141" s="69"/>
      <c r="C2141" s="69"/>
      <c r="D2141" s="69"/>
      <c r="E2141" s="185"/>
      <c r="F2141" s="69"/>
      <c r="G2141" s="185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69"/>
      <c r="T2141" s="69"/>
      <c r="U2141" s="69"/>
      <c r="V2141" s="69"/>
      <c r="W2141" s="69"/>
      <c r="X2141" s="69"/>
      <c r="Y2141" s="69"/>
      <c r="Z2141" s="69"/>
      <c r="AA2141" s="69"/>
      <c r="AB2141" s="69"/>
      <c r="AC2141" s="69"/>
      <c r="AD2141" s="69"/>
      <c r="AE2141" s="69"/>
    </row>
    <row r="2142" spans="1:31" ht="22.5" customHeight="1">
      <c r="A2142" s="69"/>
      <c r="B2142" s="69"/>
      <c r="C2142" s="69"/>
      <c r="D2142" s="69"/>
      <c r="E2142" s="185"/>
      <c r="F2142" s="69"/>
      <c r="G2142" s="185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69"/>
      <c r="T2142" s="69"/>
      <c r="U2142" s="69"/>
      <c r="V2142" s="69"/>
      <c r="W2142" s="69"/>
      <c r="X2142" s="69"/>
      <c r="Y2142" s="69"/>
      <c r="Z2142" s="69"/>
      <c r="AA2142" s="69"/>
      <c r="AB2142" s="69"/>
      <c r="AC2142" s="69"/>
      <c r="AD2142" s="69"/>
      <c r="AE2142" s="69"/>
    </row>
    <row r="2143" spans="1:31" ht="22.5" customHeight="1">
      <c r="A2143" s="69"/>
      <c r="B2143" s="69"/>
      <c r="C2143" s="69"/>
      <c r="D2143" s="69"/>
      <c r="E2143" s="185"/>
      <c r="F2143" s="69"/>
      <c r="G2143" s="185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69"/>
      <c r="T2143" s="69"/>
      <c r="U2143" s="69"/>
      <c r="V2143" s="69"/>
      <c r="W2143" s="69"/>
      <c r="X2143" s="69"/>
      <c r="Y2143" s="69"/>
      <c r="Z2143" s="69"/>
      <c r="AA2143" s="69"/>
      <c r="AB2143" s="69"/>
      <c r="AC2143" s="69"/>
      <c r="AD2143" s="69"/>
      <c r="AE2143" s="69"/>
    </row>
    <row r="2144" spans="1:31" ht="22.5" customHeight="1">
      <c r="A2144" s="69"/>
      <c r="B2144" s="69"/>
      <c r="C2144" s="69"/>
      <c r="D2144" s="69"/>
      <c r="E2144" s="185"/>
      <c r="F2144" s="69"/>
      <c r="G2144" s="185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69"/>
      <c r="T2144" s="69"/>
      <c r="U2144" s="69"/>
      <c r="V2144" s="69"/>
      <c r="W2144" s="69"/>
      <c r="X2144" s="69"/>
      <c r="Y2144" s="69"/>
      <c r="Z2144" s="69"/>
      <c r="AA2144" s="69"/>
      <c r="AB2144" s="69"/>
      <c r="AC2144" s="69"/>
      <c r="AD2144" s="69"/>
      <c r="AE2144" s="69"/>
    </row>
    <row r="2145" spans="1:31" ht="22.5" customHeight="1">
      <c r="A2145" s="69"/>
      <c r="B2145" s="69"/>
      <c r="C2145" s="69"/>
      <c r="D2145" s="69"/>
      <c r="E2145" s="185"/>
      <c r="F2145" s="69"/>
      <c r="G2145" s="185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69"/>
      <c r="T2145" s="69"/>
      <c r="U2145" s="69"/>
      <c r="V2145" s="69"/>
      <c r="W2145" s="69"/>
      <c r="X2145" s="69"/>
      <c r="Y2145" s="69"/>
      <c r="Z2145" s="69"/>
      <c r="AA2145" s="69"/>
      <c r="AB2145" s="69"/>
      <c r="AC2145" s="69"/>
      <c r="AD2145" s="69"/>
      <c r="AE2145" s="69"/>
    </row>
    <row r="2146" spans="1:31" ht="22.5" customHeight="1">
      <c r="A2146" s="69"/>
      <c r="B2146" s="69"/>
      <c r="C2146" s="69"/>
      <c r="D2146" s="69"/>
      <c r="E2146" s="185"/>
      <c r="F2146" s="69"/>
      <c r="G2146" s="185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69"/>
      <c r="T2146" s="69"/>
      <c r="U2146" s="69"/>
      <c r="V2146" s="69"/>
      <c r="W2146" s="69"/>
      <c r="X2146" s="69"/>
      <c r="Y2146" s="69"/>
      <c r="Z2146" s="69"/>
      <c r="AA2146" s="69"/>
      <c r="AB2146" s="69"/>
      <c r="AC2146" s="69"/>
      <c r="AD2146" s="69"/>
      <c r="AE2146" s="69"/>
    </row>
    <row r="2147" spans="1:31" ht="22.5" customHeight="1">
      <c r="A2147" s="69"/>
      <c r="B2147" s="69"/>
      <c r="C2147" s="69"/>
      <c r="D2147" s="69"/>
      <c r="E2147" s="185"/>
      <c r="F2147" s="69"/>
      <c r="G2147" s="185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69"/>
      <c r="T2147" s="69"/>
      <c r="U2147" s="69"/>
      <c r="V2147" s="69"/>
      <c r="W2147" s="69"/>
      <c r="X2147" s="69"/>
      <c r="Y2147" s="69"/>
      <c r="Z2147" s="69"/>
      <c r="AA2147" s="69"/>
      <c r="AB2147" s="69"/>
      <c r="AC2147" s="69"/>
      <c r="AD2147" s="69"/>
      <c r="AE2147" s="69"/>
    </row>
    <row r="2148" spans="1:31" ht="22.5" customHeight="1">
      <c r="A2148" s="69"/>
      <c r="B2148" s="69"/>
      <c r="C2148" s="69"/>
      <c r="D2148" s="69"/>
      <c r="E2148" s="185"/>
      <c r="F2148" s="69"/>
      <c r="G2148" s="185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69"/>
      <c r="T2148" s="69"/>
      <c r="U2148" s="69"/>
      <c r="V2148" s="69"/>
      <c r="W2148" s="69"/>
      <c r="X2148" s="69"/>
      <c r="Y2148" s="69"/>
      <c r="Z2148" s="69"/>
      <c r="AA2148" s="69"/>
      <c r="AB2148" s="69"/>
      <c r="AC2148" s="69"/>
      <c r="AD2148" s="69"/>
      <c r="AE2148" s="69"/>
    </row>
    <row r="2149" spans="1:31" ht="22.5" customHeight="1">
      <c r="A2149" s="69"/>
      <c r="B2149" s="69"/>
      <c r="C2149" s="69"/>
      <c r="D2149" s="69"/>
      <c r="E2149" s="185"/>
      <c r="F2149" s="69"/>
      <c r="G2149" s="185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69"/>
      <c r="T2149" s="69"/>
      <c r="U2149" s="69"/>
      <c r="V2149" s="69"/>
      <c r="W2149" s="69"/>
      <c r="X2149" s="69"/>
      <c r="Y2149" s="69"/>
      <c r="Z2149" s="69"/>
      <c r="AA2149" s="69"/>
      <c r="AB2149" s="69"/>
      <c r="AC2149" s="69"/>
      <c r="AD2149" s="69"/>
      <c r="AE2149" s="69"/>
    </row>
    <row r="2150" spans="1:31" ht="22.5" customHeight="1">
      <c r="A2150" s="69"/>
      <c r="B2150" s="69"/>
      <c r="C2150" s="69"/>
      <c r="D2150" s="69"/>
      <c r="E2150" s="185"/>
      <c r="F2150" s="69"/>
      <c r="G2150" s="185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69"/>
      <c r="T2150" s="69"/>
      <c r="U2150" s="69"/>
      <c r="V2150" s="69"/>
      <c r="W2150" s="69"/>
      <c r="X2150" s="69"/>
      <c r="Y2150" s="69"/>
      <c r="Z2150" s="69"/>
      <c r="AA2150" s="69"/>
      <c r="AB2150" s="69"/>
      <c r="AC2150" s="69"/>
      <c r="AD2150" s="69"/>
      <c r="AE2150" s="69"/>
    </row>
    <row r="2151" spans="1:31" ht="22.5" customHeight="1">
      <c r="A2151" s="69"/>
      <c r="B2151" s="69"/>
      <c r="C2151" s="69"/>
      <c r="D2151" s="69"/>
      <c r="E2151" s="185"/>
      <c r="F2151" s="69"/>
      <c r="G2151" s="185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69"/>
      <c r="T2151" s="69"/>
      <c r="U2151" s="69"/>
      <c r="V2151" s="69"/>
      <c r="W2151" s="69"/>
      <c r="X2151" s="69"/>
      <c r="Y2151" s="69"/>
      <c r="Z2151" s="69"/>
      <c r="AA2151" s="69"/>
      <c r="AB2151" s="69"/>
      <c r="AC2151" s="69"/>
      <c r="AD2151" s="69"/>
      <c r="AE2151" s="69"/>
    </row>
    <row r="2152" spans="1:31" ht="22.5" customHeight="1">
      <c r="A2152" s="69"/>
      <c r="B2152" s="69"/>
      <c r="C2152" s="69"/>
      <c r="D2152" s="69"/>
      <c r="E2152" s="185"/>
      <c r="F2152" s="69"/>
      <c r="G2152" s="185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69"/>
      <c r="T2152" s="69"/>
      <c r="U2152" s="69"/>
      <c r="V2152" s="69"/>
      <c r="W2152" s="69"/>
      <c r="X2152" s="69"/>
      <c r="Y2152" s="69"/>
      <c r="Z2152" s="69"/>
      <c r="AA2152" s="69"/>
      <c r="AB2152" s="69"/>
      <c r="AC2152" s="69"/>
      <c r="AD2152" s="69"/>
      <c r="AE2152" s="69"/>
    </row>
    <row r="2153" spans="1:31" ht="22.5" customHeight="1">
      <c r="A2153" s="69"/>
      <c r="B2153" s="69"/>
      <c r="C2153" s="69"/>
      <c r="D2153" s="69"/>
      <c r="E2153" s="185"/>
      <c r="F2153" s="69"/>
      <c r="G2153" s="185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69"/>
      <c r="T2153" s="69"/>
      <c r="U2153" s="69"/>
      <c r="V2153" s="69"/>
      <c r="W2153" s="69"/>
      <c r="X2153" s="69"/>
      <c r="Y2153" s="69"/>
      <c r="Z2153" s="69"/>
      <c r="AA2153" s="69"/>
      <c r="AB2153" s="69"/>
      <c r="AC2153" s="69"/>
      <c r="AD2153" s="69"/>
      <c r="AE2153" s="69"/>
    </row>
    <row r="2154" spans="1:31" ht="22.5" customHeight="1">
      <c r="A2154" s="69"/>
      <c r="B2154" s="69"/>
      <c r="C2154" s="69"/>
      <c r="D2154" s="69"/>
      <c r="E2154" s="185"/>
      <c r="F2154" s="69"/>
      <c r="G2154" s="185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69"/>
      <c r="T2154" s="69"/>
      <c r="U2154" s="69"/>
      <c r="V2154" s="69"/>
      <c r="W2154" s="69"/>
      <c r="X2154" s="69"/>
      <c r="Y2154" s="69"/>
      <c r="Z2154" s="69"/>
      <c r="AA2154" s="69"/>
      <c r="AB2154" s="69"/>
      <c r="AC2154" s="69"/>
      <c r="AD2154" s="69"/>
      <c r="AE2154" s="69"/>
    </row>
    <row r="2155" spans="1:31" ht="22.5" customHeight="1">
      <c r="A2155" s="69"/>
      <c r="B2155" s="69"/>
      <c r="C2155" s="69"/>
      <c r="D2155" s="69"/>
      <c r="E2155" s="185"/>
      <c r="F2155" s="69"/>
      <c r="G2155" s="185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69"/>
      <c r="T2155" s="69"/>
      <c r="U2155" s="69"/>
      <c r="V2155" s="69"/>
      <c r="W2155" s="69"/>
      <c r="X2155" s="69"/>
      <c r="Y2155" s="69"/>
      <c r="Z2155" s="69"/>
      <c r="AA2155" s="69"/>
      <c r="AB2155" s="69"/>
      <c r="AC2155" s="69"/>
      <c r="AD2155" s="69"/>
      <c r="AE2155" s="69"/>
    </row>
    <row r="2156" spans="1:31" ht="22.5" customHeight="1">
      <c r="A2156" s="69"/>
      <c r="B2156" s="69"/>
      <c r="C2156" s="69"/>
      <c r="D2156" s="69"/>
      <c r="E2156" s="185"/>
      <c r="F2156" s="69"/>
      <c r="G2156" s="185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69"/>
      <c r="X2156" s="69"/>
      <c r="Y2156" s="69"/>
      <c r="Z2156" s="69"/>
      <c r="AA2156" s="69"/>
      <c r="AB2156" s="69"/>
      <c r="AC2156" s="69"/>
      <c r="AD2156" s="69"/>
      <c r="AE2156" s="69"/>
    </row>
    <row r="2157" spans="1:31" ht="22.5" customHeight="1">
      <c r="A2157" s="69"/>
      <c r="B2157" s="69"/>
      <c r="C2157" s="69"/>
      <c r="D2157" s="69"/>
      <c r="E2157" s="185"/>
      <c r="F2157" s="69"/>
      <c r="G2157" s="185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69"/>
      <c r="T2157" s="69"/>
      <c r="U2157" s="69"/>
      <c r="V2157" s="69"/>
      <c r="W2157" s="69"/>
      <c r="X2157" s="69"/>
      <c r="Y2157" s="69"/>
      <c r="Z2157" s="69"/>
      <c r="AA2157" s="69"/>
      <c r="AB2157" s="69"/>
      <c r="AC2157" s="69"/>
      <c r="AD2157" s="69"/>
      <c r="AE2157" s="69"/>
    </row>
    <row r="2158" spans="1:31" ht="22.5" customHeight="1">
      <c r="A2158" s="69"/>
      <c r="B2158" s="69"/>
      <c r="C2158" s="69"/>
      <c r="D2158" s="69"/>
      <c r="E2158" s="185"/>
      <c r="F2158" s="69"/>
      <c r="G2158" s="185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69"/>
      <c r="T2158" s="69"/>
      <c r="U2158" s="69"/>
      <c r="V2158" s="69"/>
      <c r="W2158" s="69"/>
      <c r="X2158" s="69"/>
      <c r="Y2158" s="69"/>
      <c r="Z2158" s="69"/>
      <c r="AA2158" s="69"/>
      <c r="AB2158" s="69"/>
      <c r="AC2158" s="69"/>
      <c r="AD2158" s="69"/>
      <c r="AE2158" s="69"/>
    </row>
    <row r="2159" spans="1:31" ht="22.5" customHeight="1">
      <c r="A2159" s="69"/>
      <c r="B2159" s="69"/>
      <c r="C2159" s="69"/>
      <c r="D2159" s="69"/>
      <c r="E2159" s="185"/>
      <c r="F2159" s="69"/>
      <c r="G2159" s="185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69"/>
      <c r="T2159" s="69"/>
      <c r="U2159" s="69"/>
      <c r="V2159" s="69"/>
      <c r="W2159" s="69"/>
      <c r="X2159" s="69"/>
      <c r="Y2159" s="69"/>
      <c r="Z2159" s="69"/>
      <c r="AA2159" s="69"/>
      <c r="AB2159" s="69"/>
      <c r="AC2159" s="69"/>
      <c r="AD2159" s="69"/>
      <c r="AE2159" s="69"/>
    </row>
    <row r="2160" spans="1:31" ht="22.5" customHeight="1">
      <c r="A2160" s="69"/>
      <c r="B2160" s="69"/>
      <c r="C2160" s="69"/>
      <c r="D2160" s="69"/>
      <c r="E2160" s="185"/>
      <c r="F2160" s="69"/>
      <c r="G2160" s="185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69"/>
      <c r="T2160" s="69"/>
      <c r="U2160" s="69"/>
      <c r="V2160" s="69"/>
      <c r="W2160" s="69"/>
      <c r="X2160" s="69"/>
      <c r="Y2160" s="69"/>
      <c r="Z2160" s="69"/>
      <c r="AA2160" s="69"/>
      <c r="AB2160" s="69"/>
      <c r="AC2160" s="69"/>
      <c r="AD2160" s="69"/>
      <c r="AE2160" s="69"/>
    </row>
    <row r="2161" spans="1:31" ht="22.5" customHeight="1">
      <c r="A2161" s="69"/>
      <c r="B2161" s="69"/>
      <c r="C2161" s="69"/>
      <c r="D2161" s="69"/>
      <c r="E2161" s="185"/>
      <c r="F2161" s="69"/>
      <c r="G2161" s="185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69"/>
      <c r="T2161" s="69"/>
      <c r="U2161" s="69"/>
      <c r="V2161" s="69"/>
      <c r="W2161" s="69"/>
      <c r="X2161" s="69"/>
      <c r="Y2161" s="69"/>
      <c r="Z2161" s="69"/>
      <c r="AA2161" s="69"/>
      <c r="AB2161" s="69"/>
      <c r="AC2161" s="69"/>
      <c r="AD2161" s="69"/>
      <c r="AE2161" s="69"/>
    </row>
    <row r="2162" spans="1:31" ht="22.5" customHeight="1">
      <c r="A2162" s="69"/>
      <c r="B2162" s="69"/>
      <c r="C2162" s="69"/>
      <c r="D2162" s="69"/>
      <c r="E2162" s="185"/>
      <c r="F2162" s="69"/>
      <c r="G2162" s="185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69"/>
      <c r="T2162" s="69"/>
      <c r="U2162" s="69"/>
      <c r="V2162" s="69"/>
      <c r="W2162" s="69"/>
      <c r="X2162" s="69"/>
      <c r="Y2162" s="69"/>
      <c r="Z2162" s="69"/>
      <c r="AA2162" s="69"/>
      <c r="AB2162" s="69"/>
      <c r="AC2162" s="69"/>
      <c r="AD2162" s="69"/>
      <c r="AE2162" s="69"/>
    </row>
    <row r="2163" spans="1:31" ht="22.5" customHeight="1">
      <c r="A2163" s="69"/>
      <c r="B2163" s="69"/>
      <c r="C2163" s="69"/>
      <c r="D2163" s="69"/>
      <c r="E2163" s="185"/>
      <c r="F2163" s="69"/>
      <c r="G2163" s="185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  <c r="AA2163" s="69"/>
      <c r="AB2163" s="69"/>
      <c r="AC2163" s="69"/>
      <c r="AD2163" s="69"/>
      <c r="AE2163" s="69"/>
    </row>
    <row r="2164" spans="1:31" ht="22.5" customHeight="1">
      <c r="A2164" s="69"/>
      <c r="B2164" s="69"/>
      <c r="C2164" s="69"/>
      <c r="D2164" s="69"/>
      <c r="E2164" s="185"/>
      <c r="F2164" s="69"/>
      <c r="G2164" s="185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69"/>
      <c r="T2164" s="69"/>
      <c r="U2164" s="69"/>
      <c r="V2164" s="69"/>
      <c r="W2164" s="69"/>
      <c r="X2164" s="69"/>
      <c r="Y2164" s="69"/>
      <c r="Z2164" s="69"/>
      <c r="AA2164" s="69"/>
      <c r="AB2164" s="69"/>
      <c r="AC2164" s="69"/>
      <c r="AD2164" s="69"/>
      <c r="AE2164" s="69"/>
    </row>
    <row r="2165" spans="1:31" ht="22.5" customHeight="1">
      <c r="A2165" s="69"/>
      <c r="B2165" s="69"/>
      <c r="C2165" s="69"/>
      <c r="D2165" s="69"/>
      <c r="E2165" s="185"/>
      <c r="F2165" s="69"/>
      <c r="G2165" s="185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69"/>
      <c r="T2165" s="69"/>
      <c r="U2165" s="69"/>
      <c r="V2165" s="69"/>
      <c r="W2165" s="69"/>
      <c r="X2165" s="69"/>
      <c r="Y2165" s="69"/>
      <c r="Z2165" s="69"/>
      <c r="AA2165" s="69"/>
      <c r="AB2165" s="69"/>
      <c r="AC2165" s="69"/>
      <c r="AD2165" s="69"/>
      <c r="AE2165" s="69"/>
    </row>
    <row r="2166" spans="1:31" ht="22.5" customHeight="1">
      <c r="A2166" s="69"/>
      <c r="B2166" s="69"/>
      <c r="C2166" s="69"/>
      <c r="D2166" s="69"/>
      <c r="E2166" s="185"/>
      <c r="F2166" s="69"/>
      <c r="G2166" s="185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69"/>
      <c r="T2166" s="69"/>
      <c r="U2166" s="69"/>
      <c r="V2166" s="69"/>
      <c r="W2166" s="69"/>
      <c r="X2166" s="69"/>
      <c r="Y2166" s="69"/>
      <c r="Z2166" s="69"/>
      <c r="AA2166" s="69"/>
      <c r="AB2166" s="69"/>
      <c r="AC2166" s="69"/>
      <c r="AD2166" s="69"/>
      <c r="AE2166" s="69"/>
    </row>
    <row r="2167" spans="1:31" ht="22.5" customHeight="1">
      <c r="A2167" s="69"/>
      <c r="B2167" s="69"/>
      <c r="C2167" s="69"/>
      <c r="D2167" s="69"/>
      <c r="E2167" s="185"/>
      <c r="F2167" s="69"/>
      <c r="G2167" s="185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69"/>
      <c r="T2167" s="69"/>
      <c r="U2167" s="69"/>
      <c r="V2167" s="69"/>
      <c r="W2167" s="69"/>
      <c r="X2167" s="69"/>
      <c r="Y2167" s="69"/>
      <c r="Z2167" s="69"/>
      <c r="AA2167" s="69"/>
      <c r="AB2167" s="69"/>
      <c r="AC2167" s="69"/>
      <c r="AD2167" s="69"/>
      <c r="AE2167" s="69"/>
    </row>
    <row r="2168" spans="1:31" ht="22.5" customHeight="1">
      <c r="A2168" s="69"/>
      <c r="B2168" s="69"/>
      <c r="C2168" s="69"/>
      <c r="D2168" s="69"/>
      <c r="E2168" s="185"/>
      <c r="F2168" s="69"/>
      <c r="G2168" s="185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69"/>
      <c r="T2168" s="69"/>
      <c r="U2168" s="69"/>
      <c r="V2168" s="69"/>
      <c r="W2168" s="69"/>
      <c r="X2168" s="69"/>
      <c r="Y2168" s="69"/>
      <c r="Z2168" s="69"/>
      <c r="AA2168" s="69"/>
      <c r="AB2168" s="69"/>
      <c r="AC2168" s="69"/>
      <c r="AD2168" s="69"/>
      <c r="AE2168" s="69"/>
    </row>
    <row r="2169" spans="1:31" ht="22.5" customHeight="1">
      <c r="A2169" s="69"/>
      <c r="B2169" s="69"/>
      <c r="C2169" s="69"/>
      <c r="D2169" s="69"/>
      <c r="E2169" s="185"/>
      <c r="F2169" s="69"/>
      <c r="G2169" s="185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69"/>
      <c r="T2169" s="69"/>
      <c r="U2169" s="69"/>
      <c r="V2169" s="69"/>
      <c r="W2169" s="69"/>
      <c r="X2169" s="69"/>
      <c r="Y2169" s="69"/>
      <c r="Z2169" s="69"/>
      <c r="AA2169" s="69"/>
      <c r="AB2169" s="69"/>
      <c r="AC2169" s="69"/>
      <c r="AD2169" s="69"/>
      <c r="AE2169" s="69"/>
    </row>
    <row r="2170" spans="1:31" ht="22.5" customHeight="1">
      <c r="A2170" s="69"/>
      <c r="B2170" s="69"/>
      <c r="C2170" s="69"/>
      <c r="D2170" s="69"/>
      <c r="E2170" s="185"/>
      <c r="F2170" s="69"/>
      <c r="G2170" s="185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69"/>
      <c r="T2170" s="69"/>
      <c r="U2170" s="69"/>
      <c r="V2170" s="69"/>
      <c r="W2170" s="69"/>
      <c r="X2170" s="69"/>
      <c r="Y2170" s="69"/>
      <c r="Z2170" s="69"/>
      <c r="AA2170" s="69"/>
      <c r="AB2170" s="69"/>
      <c r="AC2170" s="69"/>
      <c r="AD2170" s="69"/>
      <c r="AE2170" s="69"/>
    </row>
    <row r="2171" spans="1:31" ht="22.5" customHeight="1">
      <c r="A2171" s="69"/>
      <c r="B2171" s="69"/>
      <c r="C2171" s="69"/>
      <c r="D2171" s="69"/>
      <c r="E2171" s="185"/>
      <c r="F2171" s="69"/>
      <c r="G2171" s="185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69"/>
      <c r="T2171" s="69"/>
      <c r="U2171" s="69"/>
      <c r="V2171" s="69"/>
      <c r="W2171" s="69"/>
      <c r="X2171" s="69"/>
      <c r="Y2171" s="69"/>
      <c r="Z2171" s="69"/>
      <c r="AA2171" s="69"/>
      <c r="AB2171" s="69"/>
      <c r="AC2171" s="69"/>
      <c r="AD2171" s="69"/>
      <c r="AE2171" s="69"/>
    </row>
    <row r="2172" spans="1:31" ht="22.5" customHeight="1">
      <c r="A2172" s="69"/>
      <c r="B2172" s="69"/>
      <c r="C2172" s="69"/>
      <c r="D2172" s="69"/>
      <c r="E2172" s="185"/>
      <c r="F2172" s="69"/>
      <c r="G2172" s="185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69"/>
      <c r="T2172" s="69"/>
      <c r="U2172" s="69"/>
      <c r="V2172" s="69"/>
      <c r="W2172" s="69"/>
      <c r="X2172" s="69"/>
      <c r="Y2172" s="69"/>
      <c r="Z2172" s="69"/>
      <c r="AA2172" s="69"/>
      <c r="AB2172" s="69"/>
      <c r="AC2172" s="69"/>
      <c r="AD2172" s="69"/>
      <c r="AE2172" s="69"/>
    </row>
    <row r="2173" spans="1:31" ht="22.5" customHeight="1">
      <c r="A2173" s="69"/>
      <c r="B2173" s="69"/>
      <c r="C2173" s="69"/>
      <c r="D2173" s="69"/>
      <c r="E2173" s="185"/>
      <c r="F2173" s="69"/>
      <c r="G2173" s="185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69"/>
      <c r="T2173" s="69"/>
      <c r="U2173" s="69"/>
      <c r="V2173" s="69"/>
      <c r="W2173" s="69"/>
      <c r="X2173" s="69"/>
      <c r="Y2173" s="69"/>
      <c r="Z2173" s="69"/>
      <c r="AA2173" s="69"/>
      <c r="AB2173" s="69"/>
      <c r="AC2173" s="69"/>
      <c r="AD2173" s="69"/>
      <c r="AE2173" s="69"/>
    </row>
    <row r="2174" spans="1:31" ht="22.5" customHeight="1">
      <c r="A2174" s="69"/>
      <c r="B2174" s="69"/>
      <c r="C2174" s="69"/>
      <c r="D2174" s="69"/>
      <c r="E2174" s="185"/>
      <c r="F2174" s="69"/>
      <c r="G2174" s="185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69"/>
      <c r="X2174" s="69"/>
      <c r="Y2174" s="69"/>
      <c r="Z2174" s="69"/>
      <c r="AA2174" s="69"/>
      <c r="AB2174" s="69"/>
      <c r="AC2174" s="69"/>
      <c r="AD2174" s="69"/>
      <c r="AE2174" s="69"/>
    </row>
    <row r="2175" spans="1:31" ht="22.5" customHeight="1">
      <c r="A2175" s="69"/>
      <c r="B2175" s="69"/>
      <c r="C2175" s="69"/>
      <c r="D2175" s="69"/>
      <c r="E2175" s="185"/>
      <c r="F2175" s="69"/>
      <c r="G2175" s="185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69"/>
      <c r="T2175" s="69"/>
      <c r="U2175" s="69"/>
      <c r="V2175" s="69"/>
      <c r="W2175" s="69"/>
      <c r="X2175" s="69"/>
      <c r="Y2175" s="69"/>
      <c r="Z2175" s="69"/>
      <c r="AA2175" s="69"/>
      <c r="AB2175" s="69"/>
      <c r="AC2175" s="69"/>
      <c r="AD2175" s="69"/>
      <c r="AE2175" s="69"/>
    </row>
    <row r="2176" spans="1:31" ht="22.5" customHeight="1">
      <c r="A2176" s="69"/>
      <c r="B2176" s="69"/>
      <c r="C2176" s="69"/>
      <c r="D2176" s="69"/>
      <c r="E2176" s="185"/>
      <c r="F2176" s="69"/>
      <c r="G2176" s="185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69"/>
      <c r="T2176" s="69"/>
      <c r="U2176" s="69"/>
      <c r="V2176" s="69"/>
      <c r="W2176" s="69"/>
      <c r="X2176" s="69"/>
      <c r="Y2176" s="69"/>
      <c r="Z2176" s="69"/>
      <c r="AA2176" s="69"/>
      <c r="AB2176" s="69"/>
      <c r="AC2176" s="69"/>
      <c r="AD2176" s="69"/>
      <c r="AE2176" s="69"/>
    </row>
    <row r="2177" spans="1:31" ht="22.5" customHeight="1">
      <c r="A2177" s="69"/>
      <c r="B2177" s="69"/>
      <c r="C2177" s="69"/>
      <c r="D2177" s="69"/>
      <c r="E2177" s="185"/>
      <c r="F2177" s="69"/>
      <c r="G2177" s="185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69"/>
      <c r="T2177" s="69"/>
      <c r="U2177" s="69"/>
      <c r="V2177" s="69"/>
      <c r="W2177" s="69"/>
      <c r="X2177" s="69"/>
      <c r="Y2177" s="69"/>
      <c r="Z2177" s="69"/>
      <c r="AA2177" s="69"/>
      <c r="AB2177" s="69"/>
      <c r="AC2177" s="69"/>
      <c r="AD2177" s="69"/>
      <c r="AE2177" s="69"/>
    </row>
    <row r="2178" spans="1:31" ht="22.5" customHeight="1">
      <c r="A2178" s="69"/>
      <c r="B2178" s="69"/>
      <c r="C2178" s="69"/>
      <c r="D2178" s="69"/>
      <c r="E2178" s="185"/>
      <c r="F2178" s="69"/>
      <c r="G2178" s="185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69"/>
      <c r="T2178" s="69"/>
      <c r="U2178" s="69"/>
      <c r="V2178" s="69"/>
      <c r="W2178" s="69"/>
      <c r="X2178" s="69"/>
      <c r="Y2178" s="69"/>
      <c r="Z2178" s="69"/>
      <c r="AA2178" s="69"/>
      <c r="AB2178" s="69"/>
      <c r="AC2178" s="69"/>
      <c r="AD2178" s="69"/>
      <c r="AE2178" s="69"/>
    </row>
    <row r="2179" spans="1:31" ht="22.5" customHeight="1">
      <c r="A2179" s="69"/>
      <c r="B2179" s="69"/>
      <c r="C2179" s="69"/>
      <c r="D2179" s="69"/>
      <c r="E2179" s="185"/>
      <c r="F2179" s="69"/>
      <c r="G2179" s="185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69"/>
      <c r="T2179" s="69"/>
      <c r="U2179" s="69"/>
      <c r="V2179" s="69"/>
      <c r="W2179" s="69"/>
      <c r="X2179" s="69"/>
      <c r="Y2179" s="69"/>
      <c r="Z2179" s="69"/>
      <c r="AA2179" s="69"/>
      <c r="AB2179" s="69"/>
      <c r="AC2179" s="69"/>
      <c r="AD2179" s="69"/>
      <c r="AE2179" s="69"/>
    </row>
    <row r="2180" spans="1:31" ht="22.5" customHeight="1">
      <c r="A2180" s="69"/>
      <c r="B2180" s="69"/>
      <c r="C2180" s="69"/>
      <c r="D2180" s="69"/>
      <c r="E2180" s="185"/>
      <c r="F2180" s="69"/>
      <c r="G2180" s="185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69"/>
      <c r="T2180" s="69"/>
      <c r="U2180" s="69"/>
      <c r="V2180" s="69"/>
      <c r="W2180" s="69"/>
      <c r="X2180" s="69"/>
      <c r="Y2180" s="69"/>
      <c r="Z2180" s="69"/>
      <c r="AA2180" s="69"/>
      <c r="AB2180" s="69"/>
      <c r="AC2180" s="69"/>
      <c r="AD2180" s="69"/>
      <c r="AE2180" s="69"/>
    </row>
    <row r="2181" spans="1:31" ht="22.5" customHeight="1">
      <c r="A2181" s="69"/>
      <c r="B2181" s="69"/>
      <c r="C2181" s="69"/>
      <c r="D2181" s="69"/>
      <c r="E2181" s="185"/>
      <c r="F2181" s="69"/>
      <c r="G2181" s="185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69"/>
      <c r="T2181" s="69"/>
      <c r="U2181" s="69"/>
      <c r="V2181" s="69"/>
      <c r="W2181" s="69"/>
      <c r="X2181" s="69"/>
      <c r="Y2181" s="69"/>
      <c r="Z2181" s="69"/>
      <c r="AA2181" s="69"/>
      <c r="AB2181" s="69"/>
      <c r="AC2181" s="69"/>
      <c r="AD2181" s="69"/>
      <c r="AE2181" s="69"/>
    </row>
    <row r="2182" spans="1:31" ht="22.5" customHeight="1">
      <c r="A2182" s="69"/>
      <c r="B2182" s="69"/>
      <c r="C2182" s="69"/>
      <c r="D2182" s="69"/>
      <c r="E2182" s="185"/>
      <c r="F2182" s="69"/>
      <c r="G2182" s="185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69"/>
      <c r="T2182" s="69"/>
      <c r="U2182" s="69"/>
      <c r="V2182" s="69"/>
      <c r="W2182" s="69"/>
      <c r="X2182" s="69"/>
      <c r="Y2182" s="69"/>
      <c r="Z2182" s="69"/>
      <c r="AA2182" s="69"/>
      <c r="AB2182" s="69"/>
      <c r="AC2182" s="69"/>
      <c r="AD2182" s="69"/>
      <c r="AE2182" s="69"/>
    </row>
    <row r="2183" spans="1:31" ht="22.5" customHeight="1">
      <c r="A2183" s="69"/>
      <c r="B2183" s="69"/>
      <c r="C2183" s="69"/>
      <c r="D2183" s="69"/>
      <c r="E2183" s="185"/>
      <c r="F2183" s="69"/>
      <c r="G2183" s="185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69"/>
      <c r="T2183" s="69"/>
      <c r="U2183" s="69"/>
      <c r="V2183" s="69"/>
      <c r="W2183" s="69"/>
      <c r="X2183" s="69"/>
      <c r="Y2183" s="69"/>
      <c r="Z2183" s="69"/>
      <c r="AA2183" s="69"/>
      <c r="AB2183" s="69"/>
      <c r="AC2183" s="69"/>
      <c r="AD2183" s="69"/>
      <c r="AE2183" s="69"/>
    </row>
    <row r="2184" spans="1:31" ht="22.5" customHeight="1">
      <c r="A2184" s="69"/>
      <c r="B2184" s="69"/>
      <c r="C2184" s="69"/>
      <c r="D2184" s="69"/>
      <c r="E2184" s="185"/>
      <c r="F2184" s="69"/>
      <c r="G2184" s="185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69"/>
      <c r="T2184" s="69"/>
      <c r="U2184" s="69"/>
      <c r="V2184" s="69"/>
      <c r="W2184" s="69"/>
      <c r="X2184" s="69"/>
      <c r="Y2184" s="69"/>
      <c r="Z2184" s="69"/>
      <c r="AA2184" s="69"/>
      <c r="AB2184" s="69"/>
      <c r="AC2184" s="69"/>
      <c r="AD2184" s="69"/>
      <c r="AE2184" s="69"/>
    </row>
    <row r="2185" spans="1:31" ht="22.5" customHeight="1">
      <c r="A2185" s="69"/>
      <c r="B2185" s="69"/>
      <c r="C2185" s="69"/>
      <c r="D2185" s="69"/>
      <c r="E2185" s="185"/>
      <c r="F2185" s="69"/>
      <c r="G2185" s="185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69"/>
      <c r="T2185" s="69"/>
      <c r="U2185" s="69"/>
      <c r="V2185" s="69"/>
      <c r="W2185" s="69"/>
      <c r="X2185" s="69"/>
      <c r="Y2185" s="69"/>
      <c r="Z2185" s="69"/>
      <c r="AA2185" s="69"/>
      <c r="AB2185" s="69"/>
      <c r="AC2185" s="69"/>
      <c r="AD2185" s="69"/>
      <c r="AE2185" s="69"/>
    </row>
    <row r="2186" spans="1:31" ht="22.5" customHeight="1">
      <c r="A2186" s="69"/>
      <c r="B2186" s="69"/>
      <c r="C2186" s="69"/>
      <c r="D2186" s="69"/>
      <c r="E2186" s="185"/>
      <c r="F2186" s="69"/>
      <c r="G2186" s="185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69"/>
      <c r="T2186" s="69"/>
      <c r="U2186" s="69"/>
      <c r="V2186" s="69"/>
      <c r="W2186" s="69"/>
      <c r="X2186" s="69"/>
      <c r="Y2186" s="69"/>
      <c r="Z2186" s="69"/>
      <c r="AA2186" s="69"/>
      <c r="AB2186" s="69"/>
      <c r="AC2186" s="69"/>
      <c r="AD2186" s="69"/>
      <c r="AE2186" s="69"/>
    </row>
    <row r="2187" spans="1:31" ht="22.5" customHeight="1">
      <c r="A2187" s="69"/>
      <c r="B2187" s="69"/>
      <c r="C2187" s="69"/>
      <c r="D2187" s="69"/>
      <c r="E2187" s="185"/>
      <c r="F2187" s="69"/>
      <c r="G2187" s="185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69"/>
      <c r="T2187" s="69"/>
      <c r="U2187" s="69"/>
      <c r="V2187" s="69"/>
      <c r="W2187" s="69"/>
      <c r="X2187" s="69"/>
      <c r="Y2187" s="69"/>
      <c r="Z2187" s="69"/>
      <c r="AA2187" s="69"/>
      <c r="AB2187" s="69"/>
      <c r="AC2187" s="69"/>
      <c r="AD2187" s="69"/>
      <c r="AE2187" s="69"/>
    </row>
    <row r="2188" spans="1:31" ht="22.5" customHeight="1">
      <c r="A2188" s="69"/>
      <c r="B2188" s="69"/>
      <c r="C2188" s="69"/>
      <c r="D2188" s="69"/>
      <c r="E2188" s="185"/>
      <c r="F2188" s="69"/>
      <c r="G2188" s="185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69"/>
      <c r="T2188" s="69"/>
      <c r="U2188" s="69"/>
      <c r="V2188" s="69"/>
      <c r="W2188" s="69"/>
      <c r="X2188" s="69"/>
      <c r="Y2188" s="69"/>
      <c r="Z2188" s="69"/>
      <c r="AA2188" s="69"/>
      <c r="AB2188" s="69"/>
      <c r="AC2188" s="69"/>
      <c r="AD2188" s="69"/>
      <c r="AE2188" s="69"/>
    </row>
    <row r="2189" spans="1:31" ht="22.5" customHeight="1">
      <c r="A2189" s="69"/>
      <c r="B2189" s="69"/>
      <c r="C2189" s="69"/>
      <c r="D2189" s="69"/>
      <c r="E2189" s="185"/>
      <c r="F2189" s="69"/>
      <c r="G2189" s="185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69"/>
      <c r="T2189" s="69"/>
      <c r="U2189" s="69"/>
      <c r="V2189" s="69"/>
      <c r="W2189" s="69"/>
      <c r="X2189" s="69"/>
      <c r="Y2189" s="69"/>
      <c r="Z2189" s="69"/>
      <c r="AA2189" s="69"/>
      <c r="AB2189" s="69"/>
      <c r="AC2189" s="69"/>
      <c r="AD2189" s="69"/>
      <c r="AE2189" s="69"/>
    </row>
    <row r="2190" spans="1:31" ht="22.5" customHeight="1">
      <c r="A2190" s="69"/>
      <c r="B2190" s="69"/>
      <c r="C2190" s="69"/>
      <c r="D2190" s="69"/>
      <c r="E2190" s="185"/>
      <c r="F2190" s="69"/>
      <c r="G2190" s="185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69"/>
      <c r="T2190" s="69"/>
      <c r="U2190" s="69"/>
      <c r="V2190" s="69"/>
      <c r="W2190" s="69"/>
      <c r="X2190" s="69"/>
      <c r="Y2190" s="69"/>
      <c r="Z2190" s="69"/>
      <c r="AA2190" s="69"/>
      <c r="AB2190" s="69"/>
      <c r="AC2190" s="69"/>
      <c r="AD2190" s="69"/>
      <c r="AE2190" s="69"/>
    </row>
    <row r="2191" spans="1:31" ht="22.5" customHeight="1">
      <c r="A2191" s="69"/>
      <c r="B2191" s="69"/>
      <c r="C2191" s="69"/>
      <c r="D2191" s="69"/>
      <c r="E2191" s="185"/>
      <c r="F2191" s="69"/>
      <c r="G2191" s="185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69"/>
      <c r="T2191" s="69"/>
      <c r="U2191" s="69"/>
      <c r="V2191" s="69"/>
      <c r="W2191" s="69"/>
      <c r="X2191" s="69"/>
      <c r="Y2191" s="69"/>
      <c r="Z2191" s="69"/>
      <c r="AA2191" s="69"/>
      <c r="AB2191" s="69"/>
      <c r="AC2191" s="69"/>
      <c r="AD2191" s="69"/>
      <c r="AE2191" s="69"/>
    </row>
    <row r="2192" spans="1:31" ht="22.5" customHeight="1">
      <c r="A2192" s="69"/>
      <c r="B2192" s="69"/>
      <c r="C2192" s="69"/>
      <c r="D2192" s="69"/>
      <c r="E2192" s="185"/>
      <c r="F2192" s="69"/>
      <c r="G2192" s="185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69"/>
      <c r="X2192" s="69"/>
      <c r="Y2192" s="69"/>
      <c r="Z2192" s="69"/>
      <c r="AA2192" s="69"/>
      <c r="AB2192" s="69"/>
      <c r="AC2192" s="69"/>
      <c r="AD2192" s="69"/>
      <c r="AE2192" s="69"/>
    </row>
    <row r="2193" spans="1:31" ht="22.5" customHeight="1">
      <c r="A2193" s="69"/>
      <c r="B2193" s="69"/>
      <c r="C2193" s="69"/>
      <c r="D2193" s="69"/>
      <c r="E2193" s="185"/>
      <c r="F2193" s="69"/>
      <c r="G2193" s="185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69"/>
      <c r="T2193" s="69"/>
      <c r="U2193" s="69"/>
      <c r="V2193" s="69"/>
      <c r="W2193" s="69"/>
      <c r="X2193" s="69"/>
      <c r="Y2193" s="69"/>
      <c r="Z2193" s="69"/>
      <c r="AA2193" s="69"/>
      <c r="AB2193" s="69"/>
      <c r="AC2193" s="69"/>
      <c r="AD2193" s="69"/>
      <c r="AE2193" s="69"/>
    </row>
    <row r="2194" spans="1:31" ht="22.5" customHeight="1">
      <c r="A2194" s="69"/>
      <c r="B2194" s="69"/>
      <c r="C2194" s="69"/>
      <c r="D2194" s="69"/>
      <c r="E2194" s="185"/>
      <c r="F2194" s="69"/>
      <c r="G2194" s="185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69"/>
      <c r="T2194" s="69"/>
      <c r="U2194" s="69"/>
      <c r="V2194" s="69"/>
      <c r="W2194" s="69"/>
      <c r="X2194" s="69"/>
      <c r="Y2194" s="69"/>
      <c r="Z2194" s="69"/>
      <c r="AA2194" s="69"/>
      <c r="AB2194" s="69"/>
      <c r="AC2194" s="69"/>
      <c r="AD2194" s="69"/>
      <c r="AE2194" s="69"/>
    </row>
    <row r="2195" spans="1:31" ht="22.5" customHeight="1">
      <c r="A2195" s="69"/>
      <c r="B2195" s="69"/>
      <c r="C2195" s="69"/>
      <c r="D2195" s="69"/>
      <c r="E2195" s="185"/>
      <c r="F2195" s="69"/>
      <c r="G2195" s="185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69"/>
      <c r="T2195" s="69"/>
      <c r="U2195" s="69"/>
      <c r="V2195" s="69"/>
      <c r="W2195" s="69"/>
      <c r="X2195" s="69"/>
      <c r="Y2195" s="69"/>
      <c r="Z2195" s="69"/>
      <c r="AA2195" s="69"/>
      <c r="AB2195" s="69"/>
      <c r="AC2195" s="69"/>
      <c r="AD2195" s="69"/>
      <c r="AE2195" s="69"/>
    </row>
    <row r="2196" spans="1:31" ht="22.5" customHeight="1">
      <c r="A2196" s="69"/>
      <c r="B2196" s="69"/>
      <c r="C2196" s="69"/>
      <c r="D2196" s="69"/>
      <c r="E2196" s="185"/>
      <c r="F2196" s="69"/>
      <c r="G2196" s="185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69"/>
      <c r="T2196" s="69"/>
      <c r="U2196" s="69"/>
      <c r="V2196" s="69"/>
      <c r="W2196" s="69"/>
      <c r="X2196" s="69"/>
      <c r="Y2196" s="69"/>
      <c r="Z2196" s="69"/>
      <c r="AA2196" s="69"/>
      <c r="AB2196" s="69"/>
      <c r="AC2196" s="69"/>
      <c r="AD2196" s="69"/>
      <c r="AE2196" s="69"/>
    </row>
    <row r="2197" spans="1:31" ht="22.5" customHeight="1">
      <c r="A2197" s="69"/>
      <c r="B2197" s="69"/>
      <c r="C2197" s="69"/>
      <c r="D2197" s="69"/>
      <c r="E2197" s="185"/>
      <c r="F2197" s="69"/>
      <c r="G2197" s="185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69"/>
      <c r="T2197" s="69"/>
      <c r="U2197" s="69"/>
      <c r="V2197" s="69"/>
      <c r="W2197" s="69"/>
      <c r="X2197" s="69"/>
      <c r="Y2197" s="69"/>
      <c r="Z2197" s="69"/>
      <c r="AA2197" s="69"/>
      <c r="AB2197" s="69"/>
      <c r="AC2197" s="69"/>
      <c r="AD2197" s="69"/>
      <c r="AE2197" s="69"/>
    </row>
    <row r="2198" spans="1:31" ht="22.5" customHeight="1">
      <c r="A2198" s="69"/>
      <c r="B2198" s="69"/>
      <c r="C2198" s="69"/>
      <c r="D2198" s="69"/>
      <c r="E2198" s="185"/>
      <c r="F2198" s="69"/>
      <c r="G2198" s="185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69"/>
      <c r="T2198" s="69"/>
      <c r="U2198" s="69"/>
      <c r="V2198" s="69"/>
      <c r="W2198" s="69"/>
      <c r="X2198" s="69"/>
      <c r="Y2198" s="69"/>
      <c r="Z2198" s="69"/>
      <c r="AA2198" s="69"/>
      <c r="AB2198" s="69"/>
      <c r="AC2198" s="69"/>
      <c r="AD2198" s="69"/>
      <c r="AE2198" s="69"/>
    </row>
    <row r="2199" spans="1:31" ht="22.5" customHeight="1">
      <c r="A2199" s="69"/>
      <c r="B2199" s="69"/>
      <c r="C2199" s="69"/>
      <c r="D2199" s="69"/>
      <c r="E2199" s="185"/>
      <c r="F2199" s="69"/>
      <c r="G2199" s="185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69"/>
      <c r="T2199" s="69"/>
      <c r="U2199" s="69"/>
      <c r="V2199" s="69"/>
      <c r="W2199" s="69"/>
      <c r="X2199" s="69"/>
      <c r="Y2199" s="69"/>
      <c r="Z2199" s="69"/>
      <c r="AA2199" s="69"/>
      <c r="AB2199" s="69"/>
      <c r="AC2199" s="69"/>
      <c r="AD2199" s="69"/>
      <c r="AE2199" s="69"/>
    </row>
    <row r="2200" spans="1:31" ht="22.5" customHeight="1">
      <c r="A2200" s="69"/>
      <c r="B2200" s="69"/>
      <c r="C2200" s="69"/>
      <c r="D2200" s="69"/>
      <c r="E2200" s="185"/>
      <c r="F2200" s="69"/>
      <c r="G2200" s="185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69"/>
      <c r="T2200" s="69"/>
      <c r="U2200" s="69"/>
      <c r="V2200" s="69"/>
      <c r="W2200" s="69"/>
      <c r="X2200" s="69"/>
      <c r="Y2200" s="69"/>
      <c r="Z2200" s="69"/>
      <c r="AA2200" s="69"/>
      <c r="AB2200" s="69"/>
      <c r="AC2200" s="69"/>
      <c r="AD2200" s="69"/>
      <c r="AE2200" s="69"/>
    </row>
    <row r="2201" spans="1:31" ht="22.5" customHeight="1">
      <c r="A2201" s="69"/>
      <c r="B2201" s="69"/>
      <c r="C2201" s="69"/>
      <c r="D2201" s="69"/>
      <c r="E2201" s="185"/>
      <c r="F2201" s="69"/>
      <c r="G2201" s="185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69"/>
      <c r="T2201" s="69"/>
      <c r="U2201" s="69"/>
      <c r="V2201" s="69"/>
      <c r="W2201" s="69"/>
      <c r="X2201" s="69"/>
      <c r="Y2201" s="69"/>
      <c r="Z2201" s="69"/>
      <c r="AA2201" s="69"/>
      <c r="AB2201" s="69"/>
      <c r="AC2201" s="69"/>
      <c r="AD2201" s="69"/>
      <c r="AE2201" s="69"/>
    </row>
    <row r="2202" spans="1:31" ht="22.5" customHeight="1">
      <c r="A2202" s="69"/>
      <c r="B2202" s="69"/>
      <c r="C2202" s="69"/>
      <c r="D2202" s="69"/>
      <c r="E2202" s="185"/>
      <c r="F2202" s="69"/>
      <c r="G2202" s="185"/>
      <c r="H2202" s="69"/>
      <c r="I2202" s="69"/>
      <c r="J2202" s="69"/>
      <c r="K2202" s="69"/>
      <c r="L2202" s="69"/>
      <c r="M2202" s="69"/>
      <c r="N2202" s="69"/>
      <c r="O2202" s="69"/>
      <c r="P2202" s="69"/>
      <c r="Q2202" s="69"/>
      <c r="R2202" s="69"/>
      <c r="S2202" s="69"/>
      <c r="T2202" s="69"/>
      <c r="U2202" s="69"/>
      <c r="V2202" s="69"/>
      <c r="W2202" s="69"/>
      <c r="X2202" s="69"/>
      <c r="Y2202" s="69"/>
      <c r="Z2202" s="69"/>
      <c r="AA2202" s="69"/>
      <c r="AB2202" s="69"/>
      <c r="AC2202" s="69"/>
      <c r="AD2202" s="69"/>
      <c r="AE2202" s="69"/>
    </row>
    <row r="2203" spans="1:31" ht="22.5" customHeight="1">
      <c r="A2203" s="69"/>
      <c r="B2203" s="69"/>
      <c r="C2203" s="69"/>
      <c r="D2203" s="69"/>
      <c r="E2203" s="185"/>
      <c r="F2203" s="69"/>
      <c r="G2203" s="185"/>
      <c r="H2203" s="69"/>
      <c r="I2203" s="69"/>
      <c r="J2203" s="69"/>
      <c r="K2203" s="69"/>
      <c r="L2203" s="69"/>
      <c r="M2203" s="69"/>
      <c r="N2203" s="69"/>
      <c r="O2203" s="69"/>
      <c r="P2203" s="69"/>
      <c r="Q2203" s="69"/>
      <c r="R2203" s="69"/>
      <c r="S2203" s="69"/>
      <c r="T2203" s="69"/>
      <c r="U2203" s="69"/>
      <c r="V2203" s="69"/>
      <c r="W2203" s="69"/>
      <c r="X2203" s="69"/>
      <c r="Y2203" s="69"/>
      <c r="Z2203" s="69"/>
      <c r="AA2203" s="69"/>
      <c r="AB2203" s="69"/>
      <c r="AC2203" s="69"/>
      <c r="AD2203" s="69"/>
      <c r="AE2203" s="69"/>
    </row>
    <row r="2204" spans="1:31" ht="22.5" customHeight="1">
      <c r="A2204" s="69"/>
      <c r="B2204" s="69"/>
      <c r="C2204" s="69"/>
      <c r="D2204" s="69"/>
      <c r="E2204" s="185"/>
      <c r="F2204" s="69"/>
      <c r="G2204" s="185"/>
      <c r="H2204" s="69"/>
      <c r="I2204" s="69"/>
      <c r="J2204" s="69"/>
      <c r="K2204" s="69"/>
      <c r="L2204" s="69"/>
      <c r="M2204" s="69"/>
      <c r="N2204" s="69"/>
      <c r="O2204" s="69"/>
      <c r="P2204" s="69"/>
      <c r="Q2204" s="69"/>
      <c r="R2204" s="69"/>
      <c r="S2204" s="69"/>
      <c r="T2204" s="69"/>
      <c r="U2204" s="69"/>
      <c r="V2204" s="69"/>
      <c r="W2204" s="69"/>
      <c r="X2204" s="69"/>
      <c r="Y2204" s="69"/>
      <c r="Z2204" s="69"/>
      <c r="AA2204" s="69"/>
      <c r="AB2204" s="69"/>
      <c r="AC2204" s="69"/>
      <c r="AD2204" s="69"/>
      <c r="AE2204" s="69"/>
    </row>
    <row r="2205" spans="1:31" ht="22.5" customHeight="1">
      <c r="A2205" s="69"/>
      <c r="B2205" s="69"/>
      <c r="C2205" s="69"/>
      <c r="D2205" s="69"/>
      <c r="E2205" s="185"/>
      <c r="F2205" s="69"/>
      <c r="G2205" s="185"/>
      <c r="H2205" s="69"/>
      <c r="I2205" s="69"/>
      <c r="J2205" s="69"/>
      <c r="K2205" s="69"/>
      <c r="L2205" s="69"/>
      <c r="M2205" s="69"/>
      <c r="N2205" s="69"/>
      <c r="O2205" s="69"/>
      <c r="P2205" s="69"/>
      <c r="Q2205" s="69"/>
      <c r="R2205" s="69"/>
      <c r="S2205" s="69"/>
      <c r="T2205" s="69"/>
      <c r="U2205" s="69"/>
      <c r="V2205" s="69"/>
      <c r="W2205" s="69"/>
      <c r="X2205" s="69"/>
      <c r="Y2205" s="69"/>
      <c r="Z2205" s="69"/>
      <c r="AA2205" s="69"/>
      <c r="AB2205" s="69"/>
      <c r="AC2205" s="69"/>
      <c r="AD2205" s="69"/>
      <c r="AE2205" s="69"/>
    </row>
    <row r="2206" spans="1:31" ht="22.5" customHeight="1">
      <c r="A2206" s="69"/>
      <c r="B2206" s="69"/>
      <c r="C2206" s="69"/>
      <c r="D2206" s="69"/>
      <c r="E2206" s="185"/>
      <c r="F2206" s="69"/>
      <c r="G2206" s="185"/>
      <c r="H2206" s="69"/>
      <c r="I2206" s="69"/>
      <c r="J2206" s="69"/>
      <c r="K2206" s="69"/>
      <c r="L2206" s="69"/>
      <c r="M2206" s="69"/>
      <c r="N2206" s="69"/>
      <c r="O2206" s="69"/>
      <c r="P2206" s="69"/>
      <c r="Q2206" s="69"/>
      <c r="R2206" s="69"/>
      <c r="S2206" s="69"/>
      <c r="T2206" s="69"/>
      <c r="U2206" s="69"/>
      <c r="V2206" s="69"/>
      <c r="W2206" s="69"/>
      <c r="X2206" s="69"/>
      <c r="Y2206" s="69"/>
      <c r="Z2206" s="69"/>
      <c r="AA2206" s="69"/>
      <c r="AB2206" s="69"/>
      <c r="AC2206" s="69"/>
      <c r="AD2206" s="69"/>
      <c r="AE2206" s="69"/>
    </row>
    <row r="2207" spans="1:31" ht="22.5" customHeight="1">
      <c r="A2207" s="69"/>
      <c r="B2207" s="69"/>
      <c r="C2207" s="69"/>
      <c r="D2207" s="69"/>
      <c r="E2207" s="185"/>
      <c r="F2207" s="69"/>
      <c r="G2207" s="185"/>
      <c r="H2207" s="69"/>
      <c r="I2207" s="69"/>
      <c r="J2207" s="69"/>
      <c r="K2207" s="69"/>
      <c r="L2207" s="69"/>
      <c r="M2207" s="69"/>
      <c r="N2207" s="69"/>
      <c r="O2207" s="69"/>
      <c r="P2207" s="69"/>
      <c r="Q2207" s="69"/>
      <c r="R2207" s="69"/>
      <c r="S2207" s="69"/>
      <c r="T2207" s="69"/>
      <c r="U2207" s="69"/>
      <c r="V2207" s="69"/>
      <c r="W2207" s="69"/>
      <c r="X2207" s="69"/>
      <c r="Y2207" s="69"/>
      <c r="Z2207" s="69"/>
      <c r="AA2207" s="69"/>
      <c r="AB2207" s="69"/>
      <c r="AC2207" s="69"/>
      <c r="AD2207" s="69"/>
      <c r="AE2207" s="69"/>
    </row>
    <row r="2208" spans="1:31" ht="22.5" customHeight="1">
      <c r="A2208" s="69"/>
      <c r="B2208" s="69"/>
      <c r="C2208" s="69"/>
      <c r="D2208" s="69"/>
      <c r="E2208" s="185"/>
      <c r="F2208" s="69"/>
      <c r="G2208" s="185"/>
      <c r="H2208" s="69"/>
      <c r="I2208" s="69"/>
      <c r="J2208" s="69"/>
      <c r="K2208" s="69"/>
      <c r="L2208" s="69"/>
      <c r="M2208" s="69"/>
      <c r="N2208" s="69"/>
      <c r="O2208" s="69"/>
      <c r="P2208" s="69"/>
      <c r="Q2208" s="69"/>
      <c r="R2208" s="69"/>
      <c r="S2208" s="69"/>
      <c r="T2208" s="69"/>
      <c r="U2208" s="69"/>
      <c r="V2208" s="69"/>
      <c r="W2208" s="69"/>
      <c r="X2208" s="69"/>
      <c r="Y2208" s="69"/>
      <c r="Z2208" s="69"/>
      <c r="AA2208" s="69"/>
      <c r="AB2208" s="69"/>
      <c r="AC2208" s="69"/>
      <c r="AD2208" s="69"/>
      <c r="AE2208" s="69"/>
    </row>
    <row r="2209" spans="1:31" ht="22.5" customHeight="1">
      <c r="A2209" s="69"/>
      <c r="B2209" s="69"/>
      <c r="C2209" s="69"/>
      <c r="D2209" s="69"/>
      <c r="E2209" s="185"/>
      <c r="F2209" s="69"/>
      <c r="G2209" s="185"/>
      <c r="H2209" s="69"/>
      <c r="I2209" s="69"/>
      <c r="J2209" s="69"/>
      <c r="K2209" s="69"/>
      <c r="L2209" s="69"/>
      <c r="M2209" s="69"/>
      <c r="N2209" s="69"/>
      <c r="O2209" s="69"/>
      <c r="P2209" s="69"/>
      <c r="Q2209" s="69"/>
      <c r="R2209" s="69"/>
      <c r="S2209" s="69"/>
      <c r="T2209" s="69"/>
      <c r="U2209" s="69"/>
      <c r="V2209" s="69"/>
      <c r="W2209" s="69"/>
      <c r="X2209" s="69"/>
      <c r="Y2209" s="69"/>
      <c r="Z2209" s="69"/>
      <c r="AA2209" s="69"/>
      <c r="AB2209" s="69"/>
      <c r="AC2209" s="69"/>
      <c r="AD2209" s="69"/>
      <c r="AE2209" s="69"/>
    </row>
    <row r="2210" spans="1:31" ht="22.5" customHeight="1">
      <c r="A2210" s="69"/>
      <c r="B2210" s="69"/>
      <c r="C2210" s="69"/>
      <c r="D2210" s="69"/>
      <c r="E2210" s="185"/>
      <c r="F2210" s="69"/>
      <c r="G2210" s="185"/>
      <c r="H2210" s="69"/>
      <c r="I2210" s="69"/>
      <c r="J2210" s="69"/>
      <c r="K2210" s="69"/>
      <c r="L2210" s="69"/>
      <c r="M2210" s="69"/>
      <c r="N2210" s="69"/>
      <c r="O2210" s="69"/>
      <c r="P2210" s="69"/>
      <c r="Q2210" s="69"/>
      <c r="R2210" s="69"/>
      <c r="S2210" s="69"/>
      <c r="T2210" s="69"/>
      <c r="U2210" s="69"/>
      <c r="V2210" s="69"/>
      <c r="W2210" s="69"/>
      <c r="X2210" s="69"/>
      <c r="Y2210" s="69"/>
      <c r="Z2210" s="69"/>
      <c r="AA2210" s="69"/>
      <c r="AB2210" s="69"/>
      <c r="AC2210" s="69"/>
      <c r="AD2210" s="69"/>
      <c r="AE2210" s="69"/>
    </row>
    <row r="2211" spans="1:31" ht="22.5" customHeight="1">
      <c r="A2211" s="69"/>
      <c r="B2211" s="69"/>
      <c r="C2211" s="69"/>
      <c r="D2211" s="69"/>
      <c r="E2211" s="185"/>
      <c r="F2211" s="69"/>
      <c r="G2211" s="185"/>
      <c r="H2211" s="69"/>
      <c r="I2211" s="69"/>
      <c r="J2211" s="69"/>
      <c r="K2211" s="69"/>
      <c r="L2211" s="69"/>
      <c r="M2211" s="69"/>
      <c r="N2211" s="69"/>
      <c r="O2211" s="69"/>
      <c r="P2211" s="69"/>
      <c r="Q2211" s="69"/>
      <c r="R2211" s="69"/>
      <c r="S2211" s="69"/>
      <c r="T2211" s="69"/>
      <c r="U2211" s="69"/>
      <c r="V2211" s="69"/>
      <c r="W2211" s="69"/>
      <c r="X2211" s="69"/>
      <c r="Y2211" s="69"/>
      <c r="Z2211" s="69"/>
      <c r="AA2211" s="69"/>
      <c r="AB2211" s="69"/>
      <c r="AC2211" s="69"/>
      <c r="AD2211" s="69"/>
      <c r="AE2211" s="69"/>
    </row>
    <row r="2212" spans="1:31" ht="22.5" customHeight="1">
      <c r="A2212" s="69"/>
      <c r="B2212" s="69"/>
      <c r="C2212" s="69"/>
      <c r="D2212" s="69"/>
      <c r="E2212" s="185"/>
      <c r="F2212" s="69"/>
      <c r="G2212" s="185"/>
      <c r="H2212" s="69"/>
      <c r="I2212" s="69"/>
      <c r="J2212" s="69"/>
      <c r="K2212" s="69"/>
      <c r="L2212" s="69"/>
      <c r="M2212" s="69"/>
      <c r="N2212" s="69"/>
      <c r="O2212" s="69"/>
      <c r="P2212" s="69"/>
      <c r="Q2212" s="69"/>
      <c r="R2212" s="69"/>
      <c r="S2212" s="69"/>
      <c r="T2212" s="69"/>
      <c r="U2212" s="69"/>
      <c r="V2212" s="69"/>
      <c r="W2212" s="69"/>
      <c r="X2212" s="69"/>
      <c r="Y2212" s="69"/>
      <c r="Z2212" s="69"/>
      <c r="AA2212" s="69"/>
      <c r="AB2212" s="69"/>
      <c r="AC2212" s="69"/>
      <c r="AD2212" s="69"/>
      <c r="AE2212" s="69"/>
    </row>
    <row r="2213" spans="1:31" ht="22.5" customHeight="1">
      <c r="A2213" s="69"/>
      <c r="B2213" s="69"/>
      <c r="C2213" s="69"/>
      <c r="D2213" s="69"/>
      <c r="E2213" s="185"/>
      <c r="F2213" s="69"/>
      <c r="G2213" s="185"/>
      <c r="H2213" s="69"/>
      <c r="I2213" s="69"/>
      <c r="J2213" s="69"/>
      <c r="K2213" s="69"/>
      <c r="L2213" s="69"/>
      <c r="M2213" s="69"/>
      <c r="N2213" s="69"/>
      <c r="O2213" s="69"/>
      <c r="P2213" s="69"/>
      <c r="Q2213" s="69"/>
      <c r="R2213" s="69"/>
      <c r="S2213" s="69"/>
      <c r="T2213" s="69"/>
      <c r="U2213" s="69"/>
      <c r="V2213" s="69"/>
      <c r="W2213" s="69"/>
      <c r="X2213" s="69"/>
      <c r="Y2213" s="69"/>
      <c r="Z2213" s="69"/>
      <c r="AA2213" s="69"/>
      <c r="AB2213" s="69"/>
      <c r="AC2213" s="69"/>
      <c r="AD2213" s="69"/>
      <c r="AE2213" s="69"/>
    </row>
    <row r="2214" spans="1:31" ht="22.5" customHeight="1">
      <c r="A2214" s="69"/>
      <c r="B2214" s="69"/>
      <c r="C2214" s="69"/>
      <c r="D2214" s="69"/>
      <c r="E2214" s="185"/>
      <c r="F2214" s="69"/>
      <c r="G2214" s="185"/>
      <c r="H2214" s="69"/>
      <c r="I2214" s="69"/>
      <c r="J2214" s="69"/>
      <c r="K2214" s="69"/>
      <c r="L2214" s="69"/>
      <c r="M2214" s="69"/>
      <c r="N2214" s="69"/>
      <c r="O2214" s="69"/>
      <c r="P2214" s="69"/>
      <c r="Q2214" s="69"/>
      <c r="R2214" s="69"/>
      <c r="S2214" s="69"/>
      <c r="T2214" s="69"/>
      <c r="U2214" s="69"/>
      <c r="V2214" s="69"/>
      <c r="W2214" s="69"/>
      <c r="X2214" s="69"/>
      <c r="Y2214" s="69"/>
      <c r="Z2214" s="69"/>
      <c r="AA2214" s="69"/>
      <c r="AB2214" s="69"/>
      <c r="AC2214" s="69"/>
      <c r="AD2214" s="69"/>
      <c r="AE2214" s="69"/>
    </row>
    <row r="2215" spans="1:31" ht="22.5" customHeight="1">
      <c r="A2215" s="69"/>
      <c r="B2215" s="69"/>
      <c r="C2215" s="69"/>
      <c r="D2215" s="69"/>
      <c r="E2215" s="185"/>
      <c r="F2215" s="69"/>
      <c r="G2215" s="185"/>
      <c r="H2215" s="69"/>
      <c r="I2215" s="69"/>
      <c r="J2215" s="69"/>
      <c r="K2215" s="69"/>
      <c r="L2215" s="69"/>
      <c r="M2215" s="69"/>
      <c r="N2215" s="69"/>
      <c r="O2215" s="69"/>
      <c r="P2215" s="69"/>
      <c r="Q2215" s="69"/>
      <c r="R2215" s="69"/>
      <c r="S2215" s="69"/>
      <c r="T2215" s="69"/>
      <c r="U2215" s="69"/>
      <c r="V2215" s="69"/>
      <c r="W2215" s="69"/>
      <c r="X2215" s="69"/>
      <c r="Y2215" s="69"/>
      <c r="Z2215" s="69"/>
      <c r="AA2215" s="69"/>
      <c r="AB2215" s="69"/>
      <c r="AC2215" s="69"/>
      <c r="AD2215" s="69"/>
      <c r="AE2215" s="69"/>
    </row>
    <row r="2216" spans="1:31" ht="22.5" customHeight="1">
      <c r="A2216" s="69"/>
      <c r="B2216" s="69"/>
      <c r="C2216" s="69"/>
      <c r="D2216" s="69"/>
      <c r="E2216" s="185"/>
      <c r="F2216" s="69"/>
      <c r="G2216" s="185"/>
      <c r="H2216" s="69"/>
      <c r="I2216" s="69"/>
      <c r="J2216" s="69"/>
      <c r="K2216" s="69"/>
      <c r="L2216" s="69"/>
      <c r="M2216" s="69"/>
      <c r="N2216" s="69"/>
      <c r="O2216" s="69"/>
      <c r="P2216" s="69"/>
      <c r="Q2216" s="69"/>
      <c r="R2216" s="69"/>
      <c r="S2216" s="69"/>
      <c r="T2216" s="69"/>
      <c r="U2216" s="69"/>
      <c r="V2216" s="69"/>
      <c r="W2216" s="69"/>
      <c r="X2216" s="69"/>
      <c r="Y2216" s="69"/>
      <c r="Z2216" s="69"/>
      <c r="AA2216" s="69"/>
      <c r="AB2216" s="69"/>
      <c r="AC2216" s="69"/>
      <c r="AD2216" s="69"/>
      <c r="AE2216" s="69"/>
    </row>
    <row r="2217" spans="1:31" ht="22.5" customHeight="1">
      <c r="A2217" s="69"/>
      <c r="B2217" s="69"/>
      <c r="C2217" s="69"/>
      <c r="D2217" s="69"/>
      <c r="E2217" s="185"/>
      <c r="F2217" s="69"/>
      <c r="G2217" s="185"/>
      <c r="H2217" s="69"/>
      <c r="I2217" s="69"/>
      <c r="J2217" s="69"/>
      <c r="K2217" s="69"/>
      <c r="L2217" s="69"/>
      <c r="M2217" s="69"/>
      <c r="N2217" s="69"/>
      <c r="O2217" s="69"/>
      <c r="P2217" s="69"/>
      <c r="Q2217" s="69"/>
      <c r="R2217" s="69"/>
      <c r="S2217" s="69"/>
      <c r="T2217" s="69"/>
      <c r="U2217" s="69"/>
      <c r="V2217" s="69"/>
      <c r="W2217" s="69"/>
      <c r="X2217" s="69"/>
      <c r="Y2217" s="69"/>
      <c r="Z2217" s="69"/>
      <c r="AA2217" s="69"/>
      <c r="AB2217" s="69"/>
      <c r="AC2217" s="69"/>
      <c r="AD2217" s="69"/>
      <c r="AE2217" s="69"/>
    </row>
    <row r="2218" spans="1:31" ht="22.5" customHeight="1">
      <c r="A2218" s="69"/>
      <c r="B2218" s="69"/>
      <c r="C2218" s="69"/>
      <c r="D2218" s="69"/>
      <c r="E2218" s="185"/>
      <c r="F2218" s="69"/>
      <c r="G2218" s="185"/>
      <c r="H2218" s="69"/>
      <c r="I2218" s="69"/>
      <c r="J2218" s="69"/>
      <c r="K2218" s="69"/>
      <c r="L2218" s="69"/>
      <c r="M2218" s="69"/>
      <c r="N2218" s="69"/>
      <c r="O2218" s="69"/>
      <c r="P2218" s="69"/>
      <c r="Q2218" s="69"/>
      <c r="R2218" s="69"/>
      <c r="S2218" s="69"/>
      <c r="T2218" s="69"/>
      <c r="U2218" s="69"/>
      <c r="V2218" s="69"/>
      <c r="W2218" s="69"/>
      <c r="X2218" s="69"/>
      <c r="Y2218" s="69"/>
      <c r="Z2218" s="69"/>
      <c r="AA2218" s="69"/>
      <c r="AB2218" s="69"/>
      <c r="AC2218" s="69"/>
      <c r="AD2218" s="69"/>
      <c r="AE2218" s="69"/>
    </row>
    <row r="2219" spans="1:31" ht="22.5" customHeight="1">
      <c r="A2219" s="69"/>
      <c r="B2219" s="69"/>
      <c r="C2219" s="69"/>
      <c r="D2219" s="69"/>
      <c r="E2219" s="185"/>
      <c r="F2219" s="69"/>
      <c r="G2219" s="185"/>
      <c r="H2219" s="69"/>
      <c r="I2219" s="69"/>
      <c r="J2219" s="69"/>
      <c r="K2219" s="69"/>
      <c r="L2219" s="69"/>
      <c r="M2219" s="69"/>
      <c r="N2219" s="69"/>
      <c r="O2219" s="69"/>
      <c r="P2219" s="69"/>
      <c r="Q2219" s="69"/>
      <c r="R2219" s="69"/>
      <c r="S2219" s="69"/>
      <c r="T2219" s="69"/>
      <c r="U2219" s="69"/>
      <c r="V2219" s="69"/>
      <c r="W2219" s="69"/>
      <c r="X2219" s="69"/>
      <c r="Y2219" s="69"/>
      <c r="Z2219" s="69"/>
      <c r="AA2219" s="69"/>
      <c r="AB2219" s="69"/>
      <c r="AC2219" s="69"/>
      <c r="AD2219" s="69"/>
      <c r="AE2219" s="69"/>
    </row>
    <row r="2220" spans="1:31" ht="22.5" customHeight="1">
      <c r="A2220" s="69"/>
      <c r="B2220" s="69"/>
      <c r="C2220" s="69"/>
      <c r="D2220" s="69"/>
      <c r="E2220" s="185"/>
      <c r="F2220" s="69"/>
      <c r="G2220" s="185"/>
      <c r="H2220" s="69"/>
      <c r="I2220" s="69"/>
      <c r="J2220" s="69"/>
      <c r="K2220" s="69"/>
      <c r="L2220" s="69"/>
      <c r="M2220" s="69"/>
      <c r="N2220" s="69"/>
      <c r="O2220" s="69"/>
      <c r="P2220" s="69"/>
      <c r="Q2220" s="69"/>
      <c r="R2220" s="69"/>
      <c r="S2220" s="69"/>
      <c r="T2220" s="69"/>
      <c r="U2220" s="69"/>
      <c r="V2220" s="69"/>
      <c r="W2220" s="69"/>
      <c r="X2220" s="69"/>
      <c r="Y2220" s="69"/>
      <c r="Z2220" s="69"/>
      <c r="AA2220" s="69"/>
      <c r="AB2220" s="69"/>
      <c r="AC2220" s="69"/>
      <c r="AD2220" s="69"/>
      <c r="AE2220" s="69"/>
    </row>
    <row r="2221" spans="1:31" ht="22.5" customHeight="1">
      <c r="A2221" s="69"/>
      <c r="B2221" s="69"/>
      <c r="C2221" s="69"/>
      <c r="D2221" s="69"/>
      <c r="E2221" s="185"/>
      <c r="F2221" s="69"/>
      <c r="G2221" s="185"/>
      <c r="H2221" s="69"/>
      <c r="I2221" s="69"/>
      <c r="J2221" s="69"/>
      <c r="K2221" s="69"/>
      <c r="L2221" s="69"/>
      <c r="M2221" s="69"/>
      <c r="N2221" s="69"/>
      <c r="O2221" s="69"/>
      <c r="P2221" s="69"/>
      <c r="Q2221" s="69"/>
      <c r="R2221" s="69"/>
      <c r="S2221" s="69"/>
      <c r="T2221" s="69"/>
      <c r="U2221" s="69"/>
      <c r="V2221" s="69"/>
      <c r="W2221" s="69"/>
      <c r="X2221" s="69"/>
      <c r="Y2221" s="69"/>
      <c r="Z2221" s="69"/>
      <c r="AA2221" s="69"/>
      <c r="AB2221" s="69"/>
      <c r="AC2221" s="69"/>
      <c r="AD2221" s="69"/>
      <c r="AE2221" s="69"/>
    </row>
    <row r="2222" spans="1:31" ht="22.5" customHeight="1">
      <c r="A2222" s="69"/>
      <c r="B2222" s="69"/>
      <c r="C2222" s="69"/>
      <c r="D2222" s="69"/>
      <c r="E2222" s="185"/>
      <c r="F2222" s="69"/>
      <c r="G2222" s="185"/>
      <c r="H2222" s="69"/>
      <c r="I2222" s="69"/>
      <c r="J2222" s="69"/>
      <c r="K2222" s="69"/>
      <c r="L2222" s="69"/>
      <c r="M2222" s="69"/>
      <c r="N2222" s="69"/>
      <c r="O2222" s="69"/>
      <c r="P2222" s="69"/>
      <c r="Q2222" s="69"/>
      <c r="R2222" s="69"/>
      <c r="S2222" s="69"/>
      <c r="T2222" s="69"/>
      <c r="U2222" s="69"/>
      <c r="V2222" s="69"/>
      <c r="W2222" s="69"/>
      <c r="X2222" s="69"/>
      <c r="Y2222" s="69"/>
      <c r="Z2222" s="69"/>
      <c r="AA2222" s="69"/>
      <c r="AB2222" s="69"/>
      <c r="AC2222" s="69"/>
      <c r="AD2222" s="69"/>
      <c r="AE2222" s="69"/>
    </row>
    <row r="2223" spans="1:31" ht="22.5" customHeight="1">
      <c r="A2223" s="69"/>
      <c r="B2223" s="69"/>
      <c r="C2223" s="69"/>
      <c r="D2223" s="69"/>
      <c r="E2223" s="185"/>
      <c r="F2223" s="69"/>
      <c r="G2223" s="185"/>
      <c r="H2223" s="69"/>
      <c r="I2223" s="69"/>
      <c r="J2223" s="69"/>
      <c r="K2223" s="69"/>
      <c r="L2223" s="69"/>
      <c r="M2223" s="69"/>
      <c r="N2223" s="69"/>
      <c r="O2223" s="69"/>
      <c r="P2223" s="69"/>
      <c r="Q2223" s="69"/>
      <c r="R2223" s="69"/>
      <c r="S2223" s="69"/>
      <c r="T2223" s="69"/>
      <c r="U2223" s="69"/>
      <c r="V2223" s="69"/>
      <c r="W2223" s="69"/>
      <c r="X2223" s="69"/>
      <c r="Y2223" s="69"/>
      <c r="Z2223" s="69"/>
      <c r="AA2223" s="69"/>
      <c r="AB2223" s="69"/>
      <c r="AC2223" s="69"/>
      <c r="AD2223" s="69"/>
      <c r="AE2223" s="69"/>
    </row>
    <row r="2224" spans="1:31" ht="22.5" customHeight="1">
      <c r="A2224" s="69"/>
      <c r="B2224" s="69"/>
      <c r="C2224" s="69"/>
      <c r="D2224" s="69"/>
      <c r="E2224" s="185"/>
      <c r="F2224" s="69"/>
      <c r="G2224" s="185"/>
      <c r="H2224" s="69"/>
      <c r="I2224" s="69"/>
      <c r="J2224" s="69"/>
      <c r="K2224" s="69"/>
      <c r="L2224" s="69"/>
      <c r="M2224" s="69"/>
      <c r="N2224" s="69"/>
      <c r="O2224" s="69"/>
      <c r="P2224" s="69"/>
      <c r="Q2224" s="69"/>
      <c r="R2224" s="69"/>
      <c r="S2224" s="69"/>
      <c r="T2224" s="69"/>
      <c r="U2224" s="69"/>
      <c r="V2224" s="69"/>
      <c r="W2224" s="69"/>
      <c r="X2224" s="69"/>
      <c r="Y2224" s="69"/>
      <c r="Z2224" s="69"/>
      <c r="AA2224" s="69"/>
      <c r="AB2224" s="69"/>
      <c r="AC2224" s="69"/>
      <c r="AD2224" s="69"/>
      <c r="AE2224" s="69"/>
    </row>
    <row r="2225" spans="1:31" ht="22.5" customHeight="1">
      <c r="A2225" s="69"/>
      <c r="B2225" s="69"/>
      <c r="C2225" s="69"/>
      <c r="D2225" s="69"/>
      <c r="E2225" s="185"/>
      <c r="F2225" s="69"/>
      <c r="G2225" s="185"/>
      <c r="H2225" s="69"/>
      <c r="I2225" s="69"/>
      <c r="J2225" s="69"/>
      <c r="K2225" s="69"/>
      <c r="L2225" s="69"/>
      <c r="M2225" s="69"/>
      <c r="N2225" s="69"/>
      <c r="O2225" s="69"/>
      <c r="P2225" s="69"/>
      <c r="Q2225" s="69"/>
      <c r="R2225" s="69"/>
      <c r="S2225" s="69"/>
      <c r="T2225" s="69"/>
      <c r="U2225" s="69"/>
      <c r="V2225" s="69"/>
      <c r="W2225" s="69"/>
      <c r="X2225" s="69"/>
      <c r="Y2225" s="69"/>
      <c r="Z2225" s="69"/>
      <c r="AA2225" s="69"/>
      <c r="AB2225" s="69"/>
      <c r="AC2225" s="69"/>
      <c r="AD2225" s="69"/>
      <c r="AE2225" s="69"/>
    </row>
    <row r="2226" spans="1:31" ht="22.5" customHeight="1">
      <c r="A2226" s="69"/>
      <c r="B2226" s="69"/>
      <c r="C2226" s="69"/>
      <c r="D2226" s="69"/>
      <c r="E2226" s="185"/>
      <c r="F2226" s="69"/>
      <c r="G2226" s="185"/>
      <c r="H2226" s="69"/>
      <c r="I2226" s="69"/>
      <c r="J2226" s="69"/>
      <c r="K2226" s="69"/>
      <c r="L2226" s="69"/>
      <c r="M2226" s="69"/>
      <c r="N2226" s="69"/>
      <c r="O2226" s="69"/>
      <c r="P2226" s="69"/>
      <c r="Q2226" s="69"/>
      <c r="R2226" s="69"/>
      <c r="S2226" s="69"/>
      <c r="T2226" s="69"/>
      <c r="U2226" s="69"/>
      <c r="V2226" s="69"/>
      <c r="W2226" s="69"/>
      <c r="X2226" s="69"/>
      <c r="Y2226" s="69"/>
      <c r="Z2226" s="69"/>
      <c r="AA2226" s="69"/>
      <c r="AB2226" s="69"/>
      <c r="AC2226" s="69"/>
      <c r="AD2226" s="69"/>
      <c r="AE2226" s="69"/>
    </row>
    <row r="2227" spans="1:31" ht="22.5" customHeight="1">
      <c r="A2227" s="69"/>
      <c r="B2227" s="69"/>
      <c r="C2227" s="69"/>
      <c r="D2227" s="69"/>
      <c r="E2227" s="185"/>
      <c r="F2227" s="69"/>
      <c r="G2227" s="185"/>
      <c r="H2227" s="69"/>
      <c r="I2227" s="69"/>
      <c r="J2227" s="69"/>
      <c r="K2227" s="69"/>
      <c r="L2227" s="69"/>
      <c r="M2227" s="69"/>
      <c r="N2227" s="69"/>
      <c r="O2227" s="69"/>
      <c r="P2227" s="69"/>
      <c r="Q2227" s="69"/>
      <c r="R2227" s="69"/>
      <c r="S2227" s="69"/>
      <c r="T2227" s="69"/>
      <c r="U2227" s="69"/>
      <c r="V2227" s="69"/>
      <c r="W2227" s="69"/>
      <c r="X2227" s="69"/>
      <c r="Y2227" s="69"/>
      <c r="Z2227" s="69"/>
      <c r="AA2227" s="69"/>
      <c r="AB2227" s="69"/>
      <c r="AC2227" s="69"/>
      <c r="AD2227" s="69"/>
      <c r="AE2227" s="69"/>
    </row>
    <row r="2228" spans="1:31" ht="22.5" customHeight="1">
      <c r="A2228" s="69"/>
      <c r="B2228" s="69"/>
      <c r="C2228" s="69"/>
      <c r="D2228" s="69"/>
      <c r="E2228" s="185"/>
      <c r="F2228" s="69"/>
      <c r="G2228" s="185"/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69"/>
      <c r="T2228" s="69"/>
      <c r="U2228" s="69"/>
      <c r="V2228" s="69"/>
      <c r="W2228" s="69"/>
      <c r="X2228" s="69"/>
      <c r="Y2228" s="69"/>
      <c r="Z2228" s="69"/>
      <c r="AA2228" s="69"/>
      <c r="AB2228" s="69"/>
      <c r="AC2228" s="69"/>
      <c r="AD2228" s="69"/>
      <c r="AE2228" s="69"/>
    </row>
    <row r="2229" spans="1:31" ht="22.5" customHeight="1">
      <c r="A2229" s="69"/>
      <c r="B2229" s="69"/>
      <c r="C2229" s="69"/>
      <c r="D2229" s="69"/>
      <c r="E2229" s="185"/>
      <c r="F2229" s="69"/>
      <c r="G2229" s="185"/>
      <c r="H2229" s="69"/>
      <c r="I2229" s="69"/>
      <c r="J2229" s="69"/>
      <c r="K2229" s="69"/>
      <c r="L2229" s="69"/>
      <c r="M2229" s="69"/>
      <c r="N2229" s="69"/>
      <c r="O2229" s="69"/>
      <c r="P2229" s="69"/>
      <c r="Q2229" s="69"/>
      <c r="R2229" s="69"/>
      <c r="S2229" s="69"/>
      <c r="T2229" s="69"/>
      <c r="U2229" s="69"/>
      <c r="V2229" s="69"/>
      <c r="W2229" s="69"/>
      <c r="X2229" s="69"/>
      <c r="Y2229" s="69"/>
      <c r="Z2229" s="69"/>
      <c r="AA2229" s="69"/>
      <c r="AB2229" s="69"/>
      <c r="AC2229" s="69"/>
      <c r="AD2229" s="69"/>
      <c r="AE2229" s="69"/>
    </row>
    <row r="2230" spans="1:31" ht="22.5" customHeight="1">
      <c r="A2230" s="69"/>
      <c r="B2230" s="69"/>
      <c r="C2230" s="69"/>
      <c r="D2230" s="69"/>
      <c r="E2230" s="185"/>
      <c r="F2230" s="69"/>
      <c r="G2230" s="185"/>
      <c r="H2230" s="69"/>
      <c r="I2230" s="69"/>
      <c r="J2230" s="69"/>
      <c r="K2230" s="69"/>
      <c r="L2230" s="69"/>
      <c r="M2230" s="69"/>
      <c r="N2230" s="69"/>
      <c r="O2230" s="69"/>
      <c r="P2230" s="69"/>
      <c r="Q2230" s="69"/>
      <c r="R2230" s="69"/>
      <c r="S2230" s="69"/>
      <c r="T2230" s="69"/>
      <c r="U2230" s="69"/>
      <c r="V2230" s="69"/>
      <c r="W2230" s="69"/>
      <c r="X2230" s="69"/>
      <c r="Y2230" s="69"/>
      <c r="Z2230" s="69"/>
      <c r="AA2230" s="69"/>
      <c r="AB2230" s="69"/>
      <c r="AC2230" s="69"/>
      <c r="AD2230" s="69"/>
      <c r="AE2230" s="69"/>
    </row>
    <row r="2231" spans="1:31" ht="22.5" customHeight="1">
      <c r="A2231" s="69"/>
      <c r="B2231" s="69"/>
      <c r="C2231" s="69"/>
      <c r="D2231" s="69"/>
      <c r="E2231" s="185"/>
      <c r="F2231" s="69"/>
      <c r="G2231" s="185"/>
      <c r="H2231" s="69"/>
      <c r="I2231" s="69"/>
      <c r="J2231" s="69"/>
      <c r="K2231" s="69"/>
      <c r="L2231" s="69"/>
      <c r="M2231" s="69"/>
      <c r="N2231" s="69"/>
      <c r="O2231" s="69"/>
      <c r="P2231" s="69"/>
      <c r="Q2231" s="69"/>
      <c r="R2231" s="69"/>
      <c r="S2231" s="69"/>
      <c r="T2231" s="69"/>
      <c r="U2231" s="69"/>
      <c r="V2231" s="69"/>
      <c r="W2231" s="69"/>
      <c r="X2231" s="69"/>
      <c r="Y2231" s="69"/>
      <c r="Z2231" s="69"/>
      <c r="AA2231" s="69"/>
      <c r="AB2231" s="69"/>
      <c r="AC2231" s="69"/>
      <c r="AD2231" s="69"/>
      <c r="AE2231" s="69"/>
    </row>
    <row r="2232" spans="1:31" ht="22.5" customHeight="1">
      <c r="A2232" s="69"/>
      <c r="B2232" s="69"/>
      <c r="C2232" s="69"/>
      <c r="D2232" s="69"/>
      <c r="E2232" s="185"/>
      <c r="F2232" s="69"/>
      <c r="G2232" s="185"/>
      <c r="H2232" s="69"/>
      <c r="I2232" s="69"/>
      <c r="J2232" s="69"/>
      <c r="K2232" s="69"/>
      <c r="L2232" s="69"/>
      <c r="M2232" s="69"/>
      <c r="N2232" s="69"/>
      <c r="O2232" s="69"/>
      <c r="P2232" s="69"/>
      <c r="Q2232" s="69"/>
      <c r="R2232" s="69"/>
      <c r="S2232" s="69"/>
      <c r="T2232" s="69"/>
      <c r="U2232" s="69"/>
      <c r="V2232" s="69"/>
      <c r="W2232" s="69"/>
      <c r="X2232" s="69"/>
      <c r="Y2232" s="69"/>
      <c r="Z2232" s="69"/>
      <c r="AA2232" s="69"/>
      <c r="AB2232" s="69"/>
      <c r="AC2232" s="69"/>
      <c r="AD2232" s="69"/>
      <c r="AE2232" s="69"/>
    </row>
    <row r="2233" spans="1:31" ht="22.5" customHeight="1">
      <c r="A2233" s="69"/>
      <c r="B2233" s="69"/>
      <c r="C2233" s="69"/>
      <c r="D2233" s="69"/>
      <c r="E2233" s="185"/>
      <c r="F2233" s="69"/>
      <c r="G2233" s="185"/>
      <c r="H2233" s="69"/>
      <c r="I2233" s="69"/>
      <c r="J2233" s="69"/>
      <c r="K2233" s="69"/>
      <c r="L2233" s="69"/>
      <c r="M2233" s="69"/>
      <c r="N2233" s="69"/>
      <c r="O2233" s="69"/>
      <c r="P2233" s="69"/>
      <c r="Q2233" s="69"/>
      <c r="R2233" s="69"/>
      <c r="S2233" s="69"/>
      <c r="T2233" s="69"/>
      <c r="U2233" s="69"/>
      <c r="V2233" s="69"/>
      <c r="W2233" s="69"/>
      <c r="X2233" s="69"/>
      <c r="Y2233" s="69"/>
      <c r="Z2233" s="69"/>
      <c r="AA2233" s="69"/>
      <c r="AB2233" s="69"/>
      <c r="AC2233" s="69"/>
      <c r="AD2233" s="69"/>
      <c r="AE2233" s="69"/>
    </row>
    <row r="2234" spans="1:31" ht="22.5" customHeight="1">
      <c r="A2234" s="69"/>
      <c r="B2234" s="69"/>
      <c r="C2234" s="69"/>
      <c r="D2234" s="69"/>
      <c r="E2234" s="185"/>
      <c r="F2234" s="69"/>
      <c r="G2234" s="185"/>
      <c r="H2234" s="69"/>
      <c r="I2234" s="69"/>
      <c r="J2234" s="69"/>
      <c r="K2234" s="69"/>
      <c r="L2234" s="69"/>
      <c r="M2234" s="69"/>
      <c r="N2234" s="69"/>
      <c r="O2234" s="69"/>
      <c r="P2234" s="69"/>
      <c r="Q2234" s="69"/>
      <c r="R2234" s="69"/>
      <c r="S2234" s="69"/>
      <c r="T2234" s="69"/>
      <c r="U2234" s="69"/>
      <c r="V2234" s="69"/>
      <c r="W2234" s="69"/>
      <c r="X2234" s="69"/>
      <c r="Y2234" s="69"/>
      <c r="Z2234" s="69"/>
      <c r="AA2234" s="69"/>
      <c r="AB2234" s="69"/>
      <c r="AC2234" s="69"/>
      <c r="AD2234" s="69"/>
      <c r="AE2234" s="69"/>
    </row>
    <row r="2235" spans="1:31" ht="22.5" customHeight="1">
      <c r="A2235" s="69"/>
      <c r="B2235" s="69"/>
      <c r="C2235" s="69"/>
      <c r="D2235" s="69"/>
      <c r="E2235" s="185"/>
      <c r="F2235" s="69"/>
      <c r="G2235" s="185"/>
      <c r="H2235" s="69"/>
      <c r="I2235" s="69"/>
      <c r="J2235" s="69"/>
      <c r="K2235" s="69"/>
      <c r="L2235" s="69"/>
      <c r="M2235" s="69"/>
      <c r="N2235" s="69"/>
      <c r="O2235" s="69"/>
      <c r="P2235" s="69"/>
      <c r="Q2235" s="69"/>
      <c r="R2235" s="69"/>
      <c r="S2235" s="69"/>
      <c r="T2235" s="69"/>
      <c r="U2235" s="69"/>
      <c r="V2235" s="69"/>
      <c r="W2235" s="69"/>
      <c r="X2235" s="69"/>
      <c r="Y2235" s="69"/>
      <c r="Z2235" s="69"/>
      <c r="AA2235" s="69"/>
      <c r="AB2235" s="69"/>
      <c r="AC2235" s="69"/>
      <c r="AD2235" s="69"/>
      <c r="AE2235" s="69"/>
    </row>
    <row r="2236" spans="1:31" ht="22.5" customHeight="1">
      <c r="A2236" s="69"/>
      <c r="B2236" s="69"/>
      <c r="C2236" s="69"/>
      <c r="D2236" s="69"/>
      <c r="E2236" s="185"/>
      <c r="F2236" s="69"/>
      <c r="G2236" s="185"/>
      <c r="H2236" s="69"/>
      <c r="I2236" s="69"/>
      <c r="J2236" s="69"/>
      <c r="K2236" s="69"/>
      <c r="L2236" s="69"/>
      <c r="M2236" s="69"/>
      <c r="N2236" s="69"/>
      <c r="O2236" s="69"/>
      <c r="P2236" s="69"/>
      <c r="Q2236" s="69"/>
      <c r="R2236" s="69"/>
      <c r="S2236" s="69"/>
      <c r="T2236" s="69"/>
      <c r="U2236" s="69"/>
      <c r="V2236" s="69"/>
      <c r="W2236" s="69"/>
      <c r="X2236" s="69"/>
      <c r="Y2236" s="69"/>
      <c r="Z2236" s="69"/>
      <c r="AA2236" s="69"/>
      <c r="AB2236" s="69"/>
      <c r="AC2236" s="69"/>
      <c r="AD2236" s="69"/>
      <c r="AE2236" s="69"/>
    </row>
    <row r="2237" spans="1:31" ht="22.5" customHeight="1">
      <c r="A2237" s="69"/>
      <c r="B2237" s="69"/>
      <c r="C2237" s="69"/>
      <c r="D2237" s="69"/>
      <c r="E2237" s="185"/>
      <c r="F2237" s="69"/>
      <c r="G2237" s="185"/>
      <c r="H2237" s="69"/>
      <c r="I2237" s="69"/>
      <c r="J2237" s="69"/>
      <c r="K2237" s="69"/>
      <c r="L2237" s="69"/>
      <c r="M2237" s="69"/>
      <c r="N2237" s="69"/>
      <c r="O2237" s="69"/>
      <c r="P2237" s="69"/>
      <c r="Q2237" s="69"/>
      <c r="R2237" s="69"/>
      <c r="S2237" s="69"/>
      <c r="T2237" s="69"/>
      <c r="U2237" s="69"/>
      <c r="V2237" s="69"/>
      <c r="W2237" s="69"/>
      <c r="X2237" s="69"/>
      <c r="Y2237" s="69"/>
      <c r="Z2237" s="69"/>
      <c r="AA2237" s="69"/>
      <c r="AB2237" s="69"/>
      <c r="AC2237" s="69"/>
      <c r="AD2237" s="69"/>
      <c r="AE2237" s="69"/>
    </row>
    <row r="2238" spans="1:31" ht="22.5" customHeight="1">
      <c r="A2238" s="69"/>
      <c r="B2238" s="69"/>
      <c r="C2238" s="69"/>
      <c r="D2238" s="69"/>
      <c r="E2238" s="185"/>
      <c r="F2238" s="69"/>
      <c r="G2238" s="185"/>
      <c r="H2238" s="69"/>
      <c r="I2238" s="69"/>
      <c r="J2238" s="69"/>
      <c r="K2238" s="69"/>
      <c r="L2238" s="69"/>
      <c r="M2238" s="69"/>
      <c r="N2238" s="69"/>
      <c r="O2238" s="69"/>
      <c r="P2238" s="69"/>
      <c r="Q2238" s="69"/>
      <c r="R2238" s="69"/>
      <c r="S2238" s="69"/>
      <c r="T2238" s="69"/>
      <c r="U2238" s="69"/>
      <c r="V2238" s="69"/>
      <c r="W2238" s="69"/>
      <c r="X2238" s="69"/>
      <c r="Y2238" s="69"/>
      <c r="Z2238" s="69"/>
      <c r="AA2238" s="69"/>
      <c r="AB2238" s="69"/>
      <c r="AC2238" s="69"/>
      <c r="AD2238" s="69"/>
      <c r="AE2238" s="69"/>
    </row>
    <row r="2239" spans="1:31" ht="22.5" customHeight="1">
      <c r="A2239" s="69"/>
      <c r="B2239" s="69"/>
      <c r="C2239" s="69"/>
      <c r="D2239" s="69"/>
      <c r="E2239" s="185"/>
      <c r="F2239" s="69"/>
      <c r="G2239" s="185"/>
      <c r="H2239" s="69"/>
      <c r="I2239" s="69"/>
      <c r="J2239" s="69"/>
      <c r="K2239" s="69"/>
      <c r="L2239" s="69"/>
      <c r="M2239" s="69"/>
      <c r="N2239" s="69"/>
      <c r="O2239" s="69"/>
      <c r="P2239" s="69"/>
      <c r="Q2239" s="69"/>
      <c r="R2239" s="69"/>
      <c r="S2239" s="69"/>
      <c r="T2239" s="69"/>
      <c r="U2239" s="69"/>
      <c r="V2239" s="69"/>
      <c r="W2239" s="69"/>
      <c r="X2239" s="69"/>
      <c r="Y2239" s="69"/>
      <c r="Z2239" s="69"/>
      <c r="AA2239" s="69"/>
      <c r="AB2239" s="69"/>
      <c r="AC2239" s="69"/>
      <c r="AD2239" s="69"/>
      <c r="AE2239" s="69"/>
    </row>
    <row r="2240" spans="1:31" ht="22.5" customHeight="1">
      <c r="A2240" s="69"/>
      <c r="B2240" s="69"/>
      <c r="C2240" s="69"/>
      <c r="D2240" s="69"/>
      <c r="E2240" s="185"/>
      <c r="F2240" s="69"/>
      <c r="G2240" s="185"/>
      <c r="H2240" s="69"/>
      <c r="I2240" s="69"/>
      <c r="J2240" s="69"/>
      <c r="K2240" s="69"/>
      <c r="L2240" s="69"/>
      <c r="M2240" s="69"/>
      <c r="N2240" s="69"/>
      <c r="O2240" s="69"/>
      <c r="P2240" s="69"/>
      <c r="Q2240" s="69"/>
      <c r="R2240" s="69"/>
      <c r="S2240" s="69"/>
      <c r="T2240" s="69"/>
      <c r="U2240" s="69"/>
      <c r="V2240" s="69"/>
      <c r="W2240" s="69"/>
      <c r="X2240" s="69"/>
      <c r="Y2240" s="69"/>
      <c r="Z2240" s="69"/>
      <c r="AA2240" s="69"/>
      <c r="AB2240" s="69"/>
      <c r="AC2240" s="69"/>
      <c r="AD2240" s="69"/>
      <c r="AE2240" s="69"/>
    </row>
    <row r="2241" spans="1:31" ht="22.5" customHeight="1">
      <c r="A2241" s="69"/>
      <c r="B2241" s="69"/>
      <c r="C2241" s="69"/>
      <c r="D2241" s="69"/>
      <c r="E2241" s="185"/>
      <c r="F2241" s="69"/>
      <c r="G2241" s="185"/>
      <c r="H2241" s="69"/>
      <c r="I2241" s="69"/>
      <c r="J2241" s="69"/>
      <c r="K2241" s="69"/>
      <c r="L2241" s="69"/>
      <c r="M2241" s="69"/>
      <c r="N2241" s="69"/>
      <c r="O2241" s="69"/>
      <c r="P2241" s="69"/>
      <c r="Q2241" s="69"/>
      <c r="R2241" s="69"/>
      <c r="S2241" s="69"/>
      <c r="T2241" s="69"/>
      <c r="U2241" s="69"/>
      <c r="V2241" s="69"/>
      <c r="W2241" s="69"/>
      <c r="X2241" s="69"/>
      <c r="Y2241" s="69"/>
      <c r="Z2241" s="69"/>
      <c r="AA2241" s="69"/>
      <c r="AB2241" s="69"/>
      <c r="AC2241" s="69"/>
      <c r="AD2241" s="69"/>
      <c r="AE2241" s="69"/>
    </row>
    <row r="2242" spans="1:31" ht="22.5" customHeight="1">
      <c r="A2242" s="69"/>
      <c r="B2242" s="69"/>
      <c r="C2242" s="69"/>
      <c r="D2242" s="69"/>
      <c r="E2242" s="185"/>
      <c r="F2242" s="69"/>
      <c r="G2242" s="185"/>
      <c r="H2242" s="69"/>
      <c r="I2242" s="69"/>
      <c r="J2242" s="69"/>
      <c r="K2242" s="69"/>
      <c r="L2242" s="69"/>
      <c r="M2242" s="69"/>
      <c r="N2242" s="69"/>
      <c r="O2242" s="69"/>
      <c r="P2242" s="69"/>
      <c r="Q2242" s="69"/>
      <c r="R2242" s="69"/>
      <c r="S2242" s="69"/>
      <c r="T2242" s="69"/>
      <c r="U2242" s="69"/>
      <c r="V2242" s="69"/>
      <c r="W2242" s="69"/>
      <c r="X2242" s="69"/>
      <c r="Y2242" s="69"/>
      <c r="Z2242" s="69"/>
      <c r="AA2242" s="69"/>
      <c r="AB2242" s="69"/>
      <c r="AC2242" s="69"/>
      <c r="AD2242" s="69"/>
      <c r="AE2242" s="69"/>
    </row>
    <row r="2243" spans="1:31" ht="22.5" customHeight="1">
      <c r="A2243" s="69"/>
      <c r="B2243" s="69"/>
      <c r="C2243" s="69"/>
      <c r="D2243" s="69"/>
      <c r="E2243" s="185"/>
      <c r="F2243" s="69"/>
      <c r="G2243" s="185"/>
      <c r="H2243" s="69"/>
      <c r="I2243" s="69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  <c r="Z2243" s="69"/>
      <c r="AA2243" s="69"/>
      <c r="AB2243" s="69"/>
      <c r="AC2243" s="69"/>
      <c r="AD2243" s="69"/>
      <c r="AE2243" s="69"/>
    </row>
    <row r="2244" spans="1:31" ht="22.5" customHeight="1">
      <c r="A2244" s="69"/>
      <c r="B2244" s="69"/>
      <c r="C2244" s="69"/>
      <c r="D2244" s="69"/>
      <c r="E2244" s="185"/>
      <c r="F2244" s="69"/>
      <c r="G2244" s="185"/>
      <c r="H2244" s="69"/>
      <c r="I2244" s="69"/>
      <c r="J2244" s="69"/>
      <c r="K2244" s="69"/>
      <c r="L2244" s="69"/>
      <c r="M2244" s="69"/>
      <c r="N2244" s="69"/>
      <c r="O2244" s="69"/>
      <c r="P2244" s="69"/>
      <c r="Q2244" s="69"/>
      <c r="R2244" s="69"/>
      <c r="S2244" s="69"/>
      <c r="T2244" s="69"/>
      <c r="U2244" s="69"/>
      <c r="V2244" s="69"/>
      <c r="W2244" s="69"/>
      <c r="X2244" s="69"/>
      <c r="Y2244" s="69"/>
      <c r="Z2244" s="69"/>
      <c r="AA2244" s="69"/>
      <c r="AB2244" s="69"/>
      <c r="AC2244" s="69"/>
      <c r="AD2244" s="69"/>
      <c r="AE2244" s="69"/>
    </row>
    <row r="2245" spans="1:31" ht="22.5" customHeight="1">
      <c r="A2245" s="69"/>
      <c r="B2245" s="69"/>
      <c r="C2245" s="69"/>
      <c r="D2245" s="69"/>
      <c r="E2245" s="185"/>
      <c r="F2245" s="69"/>
      <c r="G2245" s="185"/>
      <c r="H2245" s="69"/>
      <c r="I2245" s="69"/>
      <c r="J2245" s="69"/>
      <c r="K2245" s="69"/>
      <c r="L2245" s="69"/>
      <c r="M2245" s="69"/>
      <c r="N2245" s="69"/>
      <c r="O2245" s="69"/>
      <c r="P2245" s="69"/>
      <c r="Q2245" s="69"/>
      <c r="R2245" s="69"/>
      <c r="S2245" s="69"/>
      <c r="T2245" s="69"/>
      <c r="U2245" s="69"/>
      <c r="V2245" s="69"/>
      <c r="W2245" s="69"/>
      <c r="X2245" s="69"/>
      <c r="Y2245" s="69"/>
      <c r="Z2245" s="69"/>
      <c r="AA2245" s="69"/>
      <c r="AB2245" s="69"/>
      <c r="AC2245" s="69"/>
      <c r="AD2245" s="69"/>
      <c r="AE2245" s="69"/>
    </row>
    <row r="2246" spans="1:31" ht="22.5" customHeight="1">
      <c r="A2246" s="69"/>
      <c r="B2246" s="69"/>
      <c r="C2246" s="69"/>
      <c r="D2246" s="69"/>
      <c r="E2246" s="185"/>
      <c r="F2246" s="69"/>
      <c r="G2246" s="185"/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69"/>
      <c r="T2246" s="69"/>
      <c r="U2246" s="69"/>
      <c r="V2246" s="69"/>
      <c r="W2246" s="69"/>
      <c r="X2246" s="69"/>
      <c r="Y2246" s="69"/>
      <c r="Z2246" s="69"/>
      <c r="AA2246" s="69"/>
      <c r="AB2246" s="69"/>
      <c r="AC2246" s="69"/>
      <c r="AD2246" s="69"/>
      <c r="AE2246" s="69"/>
    </row>
    <row r="2247" spans="1:31" ht="22.5" customHeight="1">
      <c r="A2247" s="69"/>
      <c r="B2247" s="69"/>
      <c r="C2247" s="69"/>
      <c r="D2247" s="69"/>
      <c r="E2247" s="185"/>
      <c r="F2247" s="69"/>
      <c r="G2247" s="185"/>
      <c r="H2247" s="69"/>
      <c r="I2247" s="69"/>
      <c r="J2247" s="69"/>
      <c r="K2247" s="69"/>
      <c r="L2247" s="69"/>
      <c r="M2247" s="69"/>
      <c r="N2247" s="69"/>
      <c r="O2247" s="69"/>
      <c r="P2247" s="69"/>
      <c r="Q2247" s="69"/>
      <c r="R2247" s="69"/>
      <c r="S2247" s="69"/>
      <c r="T2247" s="69"/>
      <c r="U2247" s="69"/>
      <c r="V2247" s="69"/>
      <c r="W2247" s="69"/>
      <c r="X2247" s="69"/>
      <c r="Y2247" s="69"/>
      <c r="Z2247" s="69"/>
      <c r="AA2247" s="69"/>
      <c r="AB2247" s="69"/>
      <c r="AC2247" s="69"/>
      <c r="AD2247" s="69"/>
      <c r="AE2247" s="69"/>
    </row>
    <row r="2248" spans="1:31" ht="22.5" customHeight="1">
      <c r="A2248" s="69"/>
      <c r="B2248" s="69"/>
      <c r="C2248" s="69"/>
      <c r="D2248" s="69"/>
      <c r="E2248" s="185"/>
      <c r="F2248" s="69"/>
      <c r="G2248" s="185"/>
      <c r="H2248" s="69"/>
      <c r="I2248" s="69"/>
      <c r="J2248" s="69"/>
      <c r="K2248" s="69"/>
      <c r="L2248" s="69"/>
      <c r="M2248" s="69"/>
      <c r="N2248" s="69"/>
      <c r="O2248" s="69"/>
      <c r="P2248" s="69"/>
      <c r="Q2248" s="69"/>
      <c r="R2248" s="69"/>
      <c r="S2248" s="69"/>
      <c r="T2248" s="69"/>
      <c r="U2248" s="69"/>
      <c r="V2248" s="69"/>
      <c r="W2248" s="69"/>
      <c r="X2248" s="69"/>
      <c r="Y2248" s="69"/>
      <c r="Z2248" s="69"/>
      <c r="AA2248" s="69"/>
      <c r="AB2248" s="69"/>
      <c r="AC2248" s="69"/>
      <c r="AD2248" s="69"/>
      <c r="AE2248" s="69"/>
    </row>
    <row r="2249" spans="1:31" ht="22.5" customHeight="1">
      <c r="A2249" s="69"/>
      <c r="B2249" s="69"/>
      <c r="C2249" s="69"/>
      <c r="D2249" s="69"/>
      <c r="E2249" s="185"/>
      <c r="F2249" s="69"/>
      <c r="G2249" s="185"/>
      <c r="H2249" s="69"/>
      <c r="I2249" s="69"/>
      <c r="J2249" s="69"/>
      <c r="K2249" s="69"/>
      <c r="L2249" s="69"/>
      <c r="M2249" s="69"/>
      <c r="N2249" s="69"/>
      <c r="O2249" s="69"/>
      <c r="P2249" s="69"/>
      <c r="Q2249" s="69"/>
      <c r="R2249" s="69"/>
      <c r="S2249" s="69"/>
      <c r="T2249" s="69"/>
      <c r="U2249" s="69"/>
      <c r="V2249" s="69"/>
      <c r="W2249" s="69"/>
      <c r="X2249" s="69"/>
      <c r="Y2249" s="69"/>
      <c r="Z2249" s="69"/>
      <c r="AA2249" s="69"/>
      <c r="AB2249" s="69"/>
      <c r="AC2249" s="69"/>
      <c r="AD2249" s="69"/>
      <c r="AE2249" s="69"/>
    </row>
    <row r="2250" spans="1:31" ht="22.5" customHeight="1">
      <c r="A2250" s="69"/>
      <c r="B2250" s="69"/>
      <c r="C2250" s="69"/>
      <c r="D2250" s="69"/>
      <c r="E2250" s="185"/>
      <c r="F2250" s="69"/>
      <c r="G2250" s="185"/>
      <c r="H2250" s="69"/>
      <c r="I2250" s="69"/>
      <c r="J2250" s="69"/>
      <c r="K2250" s="69"/>
      <c r="L2250" s="69"/>
      <c r="M2250" s="69"/>
      <c r="N2250" s="69"/>
      <c r="O2250" s="69"/>
      <c r="P2250" s="69"/>
      <c r="Q2250" s="69"/>
      <c r="R2250" s="69"/>
      <c r="S2250" s="69"/>
      <c r="T2250" s="69"/>
      <c r="U2250" s="69"/>
      <c r="V2250" s="69"/>
      <c r="W2250" s="69"/>
      <c r="X2250" s="69"/>
      <c r="Y2250" s="69"/>
      <c r="Z2250" s="69"/>
      <c r="AA2250" s="69"/>
      <c r="AB2250" s="69"/>
      <c r="AC2250" s="69"/>
      <c r="AD2250" s="69"/>
      <c r="AE2250" s="69"/>
    </row>
    <row r="2251" spans="1:31" ht="22.5" customHeight="1">
      <c r="A2251" s="69"/>
      <c r="B2251" s="69"/>
      <c r="C2251" s="69"/>
      <c r="D2251" s="69"/>
      <c r="E2251" s="185"/>
      <c r="F2251" s="69"/>
      <c r="G2251" s="185"/>
      <c r="H2251" s="69"/>
      <c r="I2251" s="69"/>
      <c r="J2251" s="69"/>
      <c r="K2251" s="69"/>
      <c r="L2251" s="69"/>
      <c r="M2251" s="69"/>
      <c r="N2251" s="69"/>
      <c r="O2251" s="69"/>
      <c r="P2251" s="69"/>
      <c r="Q2251" s="69"/>
      <c r="R2251" s="69"/>
      <c r="S2251" s="69"/>
      <c r="T2251" s="69"/>
      <c r="U2251" s="69"/>
      <c r="V2251" s="69"/>
      <c r="W2251" s="69"/>
      <c r="X2251" s="69"/>
      <c r="Y2251" s="69"/>
      <c r="Z2251" s="69"/>
      <c r="AA2251" s="69"/>
      <c r="AB2251" s="69"/>
      <c r="AC2251" s="69"/>
      <c r="AD2251" s="69"/>
      <c r="AE2251" s="69"/>
    </row>
    <row r="2252" spans="1:31" ht="22.5" customHeight="1">
      <c r="A2252" s="69"/>
      <c r="B2252" s="69"/>
      <c r="C2252" s="69"/>
      <c r="D2252" s="69"/>
      <c r="E2252" s="185"/>
      <c r="F2252" s="69"/>
      <c r="G2252" s="185"/>
      <c r="H2252" s="69"/>
      <c r="I2252" s="69"/>
      <c r="J2252" s="69"/>
      <c r="K2252" s="69"/>
      <c r="L2252" s="69"/>
      <c r="M2252" s="69"/>
      <c r="N2252" s="69"/>
      <c r="O2252" s="69"/>
      <c r="P2252" s="69"/>
      <c r="Q2252" s="69"/>
      <c r="R2252" s="69"/>
      <c r="S2252" s="69"/>
      <c r="T2252" s="69"/>
      <c r="U2252" s="69"/>
      <c r="V2252" s="69"/>
      <c r="W2252" s="69"/>
      <c r="X2252" s="69"/>
      <c r="Y2252" s="69"/>
      <c r="Z2252" s="69"/>
      <c r="AA2252" s="69"/>
      <c r="AB2252" s="69"/>
      <c r="AC2252" s="69"/>
      <c r="AD2252" s="69"/>
      <c r="AE2252" s="69"/>
    </row>
    <row r="2253" spans="1:31" ht="22.5" customHeight="1">
      <c r="A2253" s="69"/>
      <c r="B2253" s="69"/>
      <c r="C2253" s="69"/>
      <c r="D2253" s="69"/>
      <c r="E2253" s="185"/>
      <c r="F2253" s="69"/>
      <c r="G2253" s="185"/>
      <c r="H2253" s="69"/>
      <c r="I2253" s="69"/>
      <c r="J2253" s="69"/>
      <c r="K2253" s="69"/>
      <c r="L2253" s="69"/>
      <c r="M2253" s="69"/>
      <c r="N2253" s="69"/>
      <c r="O2253" s="69"/>
      <c r="P2253" s="69"/>
      <c r="Q2253" s="69"/>
      <c r="R2253" s="69"/>
      <c r="S2253" s="69"/>
      <c r="T2253" s="69"/>
      <c r="U2253" s="69"/>
      <c r="V2253" s="69"/>
      <c r="W2253" s="69"/>
      <c r="X2253" s="69"/>
      <c r="Y2253" s="69"/>
      <c r="Z2253" s="69"/>
      <c r="AA2253" s="69"/>
      <c r="AB2253" s="69"/>
      <c r="AC2253" s="69"/>
      <c r="AD2253" s="69"/>
      <c r="AE2253" s="69"/>
    </row>
    <row r="2254" spans="1:31" ht="22.5" customHeight="1">
      <c r="A2254" s="69"/>
      <c r="B2254" s="69"/>
      <c r="C2254" s="69"/>
      <c r="D2254" s="69"/>
      <c r="E2254" s="185"/>
      <c r="F2254" s="69"/>
      <c r="G2254" s="185"/>
      <c r="H2254" s="69"/>
      <c r="I2254" s="69"/>
      <c r="J2254" s="69"/>
      <c r="K2254" s="69"/>
      <c r="L2254" s="69"/>
      <c r="M2254" s="69"/>
      <c r="N2254" s="69"/>
      <c r="O2254" s="69"/>
      <c r="P2254" s="69"/>
      <c r="Q2254" s="69"/>
      <c r="R2254" s="69"/>
      <c r="S2254" s="69"/>
      <c r="T2254" s="69"/>
      <c r="U2254" s="69"/>
      <c r="V2254" s="69"/>
      <c r="W2254" s="69"/>
      <c r="X2254" s="69"/>
      <c r="Y2254" s="69"/>
      <c r="Z2254" s="69"/>
      <c r="AA2254" s="69"/>
      <c r="AB2254" s="69"/>
      <c r="AC2254" s="69"/>
      <c r="AD2254" s="69"/>
      <c r="AE2254" s="69"/>
    </row>
    <row r="2255" spans="1:31" ht="22.5" customHeight="1">
      <c r="A2255" s="69"/>
      <c r="B2255" s="69"/>
      <c r="C2255" s="69"/>
      <c r="D2255" s="69"/>
      <c r="E2255" s="185"/>
      <c r="F2255" s="69"/>
      <c r="G2255" s="185"/>
      <c r="H2255" s="69"/>
      <c r="I2255" s="69"/>
      <c r="J2255" s="69"/>
      <c r="K2255" s="69"/>
      <c r="L2255" s="69"/>
      <c r="M2255" s="69"/>
      <c r="N2255" s="69"/>
      <c r="O2255" s="69"/>
      <c r="P2255" s="69"/>
      <c r="Q2255" s="69"/>
      <c r="R2255" s="69"/>
      <c r="S2255" s="69"/>
      <c r="T2255" s="69"/>
      <c r="U2255" s="69"/>
      <c r="V2255" s="69"/>
      <c r="W2255" s="69"/>
      <c r="X2255" s="69"/>
      <c r="Y2255" s="69"/>
      <c r="Z2255" s="69"/>
      <c r="AA2255" s="69"/>
      <c r="AB2255" s="69"/>
      <c r="AC2255" s="69"/>
      <c r="AD2255" s="69"/>
      <c r="AE2255" s="69"/>
    </row>
    <row r="2256" spans="1:31" ht="22.5" customHeight="1">
      <c r="A2256" s="69"/>
      <c r="B2256" s="69"/>
      <c r="C2256" s="69"/>
      <c r="D2256" s="69"/>
      <c r="E2256" s="185"/>
      <c r="F2256" s="69"/>
      <c r="G2256" s="185"/>
      <c r="H2256" s="69"/>
      <c r="I2256" s="69"/>
      <c r="J2256" s="69"/>
      <c r="K2256" s="69"/>
      <c r="L2256" s="69"/>
      <c r="M2256" s="69"/>
      <c r="N2256" s="69"/>
      <c r="O2256" s="69"/>
      <c r="P2256" s="69"/>
      <c r="Q2256" s="69"/>
      <c r="R2256" s="69"/>
      <c r="S2256" s="69"/>
      <c r="T2256" s="69"/>
      <c r="U2256" s="69"/>
      <c r="V2256" s="69"/>
      <c r="W2256" s="69"/>
      <c r="X2256" s="69"/>
      <c r="Y2256" s="69"/>
      <c r="Z2256" s="69"/>
      <c r="AA2256" s="69"/>
      <c r="AB2256" s="69"/>
      <c r="AC2256" s="69"/>
      <c r="AD2256" s="69"/>
      <c r="AE2256" s="69"/>
    </row>
    <row r="2257" spans="1:31" ht="22.5" customHeight="1">
      <c r="A2257" s="69"/>
      <c r="B2257" s="69"/>
      <c r="C2257" s="69"/>
      <c r="D2257" s="69"/>
      <c r="E2257" s="185"/>
      <c r="F2257" s="69"/>
      <c r="G2257" s="185"/>
      <c r="H2257" s="69"/>
      <c r="I2257" s="69"/>
      <c r="J2257" s="69"/>
      <c r="K2257" s="69"/>
      <c r="L2257" s="69"/>
      <c r="M2257" s="69"/>
      <c r="N2257" s="69"/>
      <c r="O2257" s="69"/>
      <c r="P2257" s="69"/>
      <c r="Q2257" s="69"/>
      <c r="R2257" s="69"/>
      <c r="S2257" s="69"/>
      <c r="T2257" s="69"/>
      <c r="U2257" s="69"/>
      <c r="V2257" s="69"/>
      <c r="W2257" s="69"/>
      <c r="X2257" s="69"/>
      <c r="Y2257" s="69"/>
      <c r="Z2257" s="69"/>
      <c r="AA2257" s="69"/>
      <c r="AB2257" s="69"/>
      <c r="AC2257" s="69"/>
      <c r="AD2257" s="69"/>
      <c r="AE2257" s="69"/>
    </row>
    <row r="2258" spans="1:31" ht="22.5" customHeight="1">
      <c r="A2258" s="69"/>
      <c r="B2258" s="69"/>
      <c r="C2258" s="69"/>
      <c r="D2258" s="69"/>
      <c r="E2258" s="185"/>
      <c r="F2258" s="69"/>
      <c r="G2258" s="185"/>
      <c r="H2258" s="69"/>
      <c r="I2258" s="69"/>
      <c r="J2258" s="69"/>
      <c r="K2258" s="69"/>
      <c r="L2258" s="69"/>
      <c r="M2258" s="69"/>
      <c r="N2258" s="69"/>
      <c r="O2258" s="69"/>
      <c r="P2258" s="69"/>
      <c r="Q2258" s="69"/>
      <c r="R2258" s="69"/>
      <c r="S2258" s="69"/>
      <c r="T2258" s="69"/>
      <c r="U2258" s="69"/>
      <c r="V2258" s="69"/>
      <c r="W2258" s="69"/>
      <c r="X2258" s="69"/>
      <c r="Y2258" s="69"/>
      <c r="Z2258" s="69"/>
      <c r="AA2258" s="69"/>
      <c r="AB2258" s="69"/>
      <c r="AC2258" s="69"/>
      <c r="AD2258" s="69"/>
      <c r="AE2258" s="69"/>
    </row>
    <row r="2259" spans="1:31" ht="22.5" customHeight="1">
      <c r="A2259" s="69"/>
      <c r="B2259" s="69"/>
      <c r="C2259" s="69"/>
      <c r="D2259" s="69"/>
      <c r="E2259" s="185"/>
      <c r="F2259" s="69"/>
      <c r="G2259" s="185"/>
      <c r="H2259" s="69"/>
      <c r="I2259" s="69"/>
      <c r="J2259" s="69"/>
      <c r="K2259" s="69"/>
      <c r="L2259" s="69"/>
      <c r="M2259" s="69"/>
      <c r="N2259" s="69"/>
      <c r="O2259" s="69"/>
      <c r="P2259" s="69"/>
      <c r="Q2259" s="69"/>
      <c r="R2259" s="69"/>
      <c r="S2259" s="69"/>
      <c r="T2259" s="69"/>
      <c r="U2259" s="69"/>
      <c r="V2259" s="69"/>
      <c r="W2259" s="69"/>
      <c r="X2259" s="69"/>
      <c r="Y2259" s="69"/>
      <c r="Z2259" s="69"/>
      <c r="AA2259" s="69"/>
      <c r="AB2259" s="69"/>
      <c r="AC2259" s="69"/>
      <c r="AD2259" s="69"/>
      <c r="AE2259" s="69"/>
    </row>
    <row r="2260" spans="1:31" ht="22.5" customHeight="1">
      <c r="A2260" s="69"/>
      <c r="B2260" s="69"/>
      <c r="C2260" s="69"/>
      <c r="D2260" s="69"/>
      <c r="E2260" s="185"/>
      <c r="F2260" s="69"/>
      <c r="G2260" s="185"/>
      <c r="H2260" s="69"/>
      <c r="I2260" s="69"/>
      <c r="J2260" s="69"/>
      <c r="K2260" s="69"/>
      <c r="L2260" s="69"/>
      <c r="M2260" s="69"/>
      <c r="N2260" s="69"/>
      <c r="O2260" s="69"/>
      <c r="P2260" s="69"/>
      <c r="Q2260" s="69"/>
      <c r="R2260" s="69"/>
      <c r="S2260" s="69"/>
      <c r="T2260" s="69"/>
      <c r="U2260" s="69"/>
      <c r="V2260" s="69"/>
      <c r="W2260" s="69"/>
      <c r="X2260" s="69"/>
      <c r="Y2260" s="69"/>
      <c r="Z2260" s="69"/>
      <c r="AA2260" s="69"/>
      <c r="AB2260" s="69"/>
      <c r="AC2260" s="69"/>
      <c r="AD2260" s="69"/>
      <c r="AE2260" s="69"/>
    </row>
    <row r="2261" spans="1:31" ht="22.5" customHeight="1">
      <c r="A2261" s="69"/>
      <c r="B2261" s="69"/>
      <c r="C2261" s="69"/>
      <c r="D2261" s="69"/>
      <c r="E2261" s="185"/>
      <c r="F2261" s="69"/>
      <c r="G2261" s="185"/>
      <c r="H2261" s="69"/>
      <c r="I2261" s="69"/>
      <c r="J2261" s="69"/>
      <c r="K2261" s="69"/>
      <c r="L2261" s="69"/>
      <c r="M2261" s="69"/>
      <c r="N2261" s="69"/>
      <c r="O2261" s="69"/>
      <c r="P2261" s="69"/>
      <c r="Q2261" s="69"/>
      <c r="R2261" s="69"/>
      <c r="S2261" s="69"/>
      <c r="T2261" s="69"/>
      <c r="U2261" s="69"/>
      <c r="V2261" s="69"/>
      <c r="W2261" s="69"/>
      <c r="X2261" s="69"/>
      <c r="Y2261" s="69"/>
      <c r="Z2261" s="69"/>
      <c r="AA2261" s="69"/>
      <c r="AB2261" s="69"/>
      <c r="AC2261" s="69"/>
      <c r="AD2261" s="69"/>
      <c r="AE2261" s="69"/>
    </row>
    <row r="2262" spans="1:31" ht="22.5" customHeight="1">
      <c r="A2262" s="69"/>
      <c r="B2262" s="69"/>
      <c r="C2262" s="69"/>
      <c r="D2262" s="69"/>
      <c r="E2262" s="185"/>
      <c r="F2262" s="69"/>
      <c r="G2262" s="185"/>
      <c r="H2262" s="69"/>
      <c r="I2262" s="69"/>
      <c r="J2262" s="69"/>
      <c r="K2262" s="69"/>
      <c r="L2262" s="69"/>
      <c r="M2262" s="69"/>
      <c r="N2262" s="69"/>
      <c r="O2262" s="69"/>
      <c r="P2262" s="69"/>
      <c r="Q2262" s="69"/>
      <c r="R2262" s="69"/>
      <c r="S2262" s="69"/>
      <c r="T2262" s="69"/>
      <c r="U2262" s="69"/>
      <c r="V2262" s="69"/>
      <c r="W2262" s="69"/>
      <c r="X2262" s="69"/>
      <c r="Y2262" s="69"/>
      <c r="Z2262" s="69"/>
      <c r="AA2262" s="69"/>
      <c r="AB2262" s="69"/>
      <c r="AC2262" s="69"/>
      <c r="AD2262" s="69"/>
      <c r="AE2262" s="69"/>
    </row>
    <row r="2263" spans="1:31" ht="22.5" customHeight="1">
      <c r="A2263" s="69"/>
      <c r="B2263" s="69"/>
      <c r="C2263" s="69"/>
      <c r="D2263" s="69"/>
      <c r="E2263" s="185"/>
      <c r="F2263" s="69"/>
      <c r="G2263" s="185"/>
      <c r="H2263" s="69"/>
      <c r="I2263" s="69"/>
      <c r="J2263" s="69"/>
      <c r="K2263" s="69"/>
      <c r="L2263" s="69"/>
      <c r="M2263" s="69"/>
      <c r="N2263" s="69"/>
      <c r="O2263" s="69"/>
      <c r="P2263" s="69"/>
      <c r="Q2263" s="69"/>
      <c r="R2263" s="69"/>
      <c r="S2263" s="69"/>
      <c r="T2263" s="69"/>
      <c r="U2263" s="69"/>
      <c r="V2263" s="69"/>
      <c r="W2263" s="69"/>
      <c r="X2263" s="69"/>
      <c r="Y2263" s="69"/>
      <c r="Z2263" s="69"/>
      <c r="AA2263" s="69"/>
      <c r="AB2263" s="69"/>
      <c r="AC2263" s="69"/>
      <c r="AD2263" s="69"/>
      <c r="AE2263" s="69"/>
    </row>
    <row r="2264" spans="1:31" ht="22.5" customHeight="1">
      <c r="A2264" s="69"/>
      <c r="B2264" s="69"/>
      <c r="C2264" s="69"/>
      <c r="D2264" s="69"/>
      <c r="E2264" s="185"/>
      <c r="F2264" s="69"/>
      <c r="G2264" s="185"/>
      <c r="H2264" s="69"/>
      <c r="I2264" s="69"/>
      <c r="J2264" s="69"/>
      <c r="K2264" s="69"/>
      <c r="L2264" s="69"/>
      <c r="M2264" s="69"/>
      <c r="N2264" s="69"/>
      <c r="O2264" s="69"/>
      <c r="P2264" s="69"/>
      <c r="Q2264" s="69"/>
      <c r="R2264" s="69"/>
      <c r="S2264" s="69"/>
      <c r="T2264" s="69"/>
      <c r="U2264" s="69"/>
      <c r="V2264" s="69"/>
      <c r="W2264" s="69"/>
      <c r="X2264" s="69"/>
      <c r="Y2264" s="69"/>
      <c r="Z2264" s="69"/>
      <c r="AA2264" s="69"/>
      <c r="AB2264" s="69"/>
      <c r="AC2264" s="69"/>
      <c r="AD2264" s="69"/>
      <c r="AE2264" s="69"/>
    </row>
    <row r="2265" spans="1:31" ht="22.5" customHeight="1">
      <c r="A2265" s="69"/>
      <c r="B2265" s="69"/>
      <c r="C2265" s="69"/>
      <c r="D2265" s="69"/>
      <c r="E2265" s="185"/>
      <c r="F2265" s="69"/>
      <c r="G2265" s="185"/>
      <c r="H2265" s="69"/>
      <c r="I2265" s="69"/>
      <c r="J2265" s="69"/>
      <c r="K2265" s="69"/>
      <c r="L2265" s="69"/>
      <c r="M2265" s="69"/>
      <c r="N2265" s="69"/>
      <c r="O2265" s="69"/>
      <c r="P2265" s="69"/>
      <c r="Q2265" s="69"/>
      <c r="R2265" s="69"/>
      <c r="S2265" s="69"/>
      <c r="T2265" s="69"/>
      <c r="U2265" s="69"/>
      <c r="V2265" s="69"/>
      <c r="W2265" s="69"/>
      <c r="X2265" s="69"/>
      <c r="Y2265" s="69"/>
      <c r="Z2265" s="69"/>
      <c r="AA2265" s="69"/>
      <c r="AB2265" s="69"/>
      <c r="AC2265" s="69"/>
      <c r="AD2265" s="69"/>
      <c r="AE2265" s="69"/>
    </row>
    <row r="2266" spans="1:31" ht="22.5" customHeight="1">
      <c r="A2266" s="69"/>
      <c r="B2266" s="69"/>
      <c r="C2266" s="69"/>
      <c r="D2266" s="69"/>
      <c r="E2266" s="185"/>
      <c r="F2266" s="69"/>
      <c r="G2266" s="185"/>
      <c r="H2266" s="69"/>
      <c r="I2266" s="69"/>
      <c r="J2266" s="69"/>
      <c r="K2266" s="69"/>
      <c r="L2266" s="69"/>
      <c r="M2266" s="69"/>
      <c r="N2266" s="69"/>
      <c r="O2266" s="69"/>
      <c r="P2266" s="69"/>
      <c r="Q2266" s="69"/>
      <c r="R2266" s="69"/>
      <c r="S2266" s="69"/>
      <c r="T2266" s="69"/>
      <c r="U2266" s="69"/>
      <c r="V2266" s="69"/>
      <c r="W2266" s="69"/>
      <c r="X2266" s="69"/>
      <c r="Y2266" s="69"/>
      <c r="Z2266" s="69"/>
      <c r="AA2266" s="69"/>
      <c r="AB2266" s="69"/>
      <c r="AC2266" s="69"/>
      <c r="AD2266" s="69"/>
      <c r="AE2266" s="69"/>
    </row>
    <row r="2267" spans="1:31" ht="22.5" customHeight="1">
      <c r="A2267" s="69"/>
      <c r="B2267" s="69"/>
      <c r="C2267" s="69"/>
      <c r="D2267" s="69"/>
      <c r="E2267" s="185"/>
      <c r="F2267" s="69"/>
      <c r="G2267" s="185"/>
      <c r="H2267" s="69"/>
      <c r="I2267" s="69"/>
      <c r="J2267" s="69"/>
      <c r="K2267" s="69"/>
      <c r="L2267" s="69"/>
      <c r="M2267" s="69"/>
      <c r="N2267" s="69"/>
      <c r="O2267" s="69"/>
      <c r="P2267" s="69"/>
      <c r="Q2267" s="69"/>
      <c r="R2267" s="69"/>
      <c r="S2267" s="69"/>
      <c r="T2267" s="69"/>
      <c r="U2267" s="69"/>
      <c r="V2267" s="69"/>
      <c r="W2267" s="69"/>
      <c r="X2267" s="69"/>
      <c r="Y2267" s="69"/>
      <c r="Z2267" s="69"/>
      <c r="AA2267" s="69"/>
      <c r="AB2267" s="69"/>
      <c r="AC2267" s="69"/>
      <c r="AD2267" s="69"/>
      <c r="AE2267" s="69"/>
    </row>
    <row r="2268" spans="1:31" ht="22.5" customHeight="1">
      <c r="A2268" s="69"/>
      <c r="B2268" s="69"/>
      <c r="C2268" s="69"/>
      <c r="D2268" s="69"/>
      <c r="E2268" s="185"/>
      <c r="F2268" s="69"/>
      <c r="G2268" s="185"/>
      <c r="H2268" s="69"/>
      <c r="I2268" s="69"/>
      <c r="J2268" s="69"/>
      <c r="K2268" s="69"/>
      <c r="L2268" s="69"/>
      <c r="M2268" s="69"/>
      <c r="N2268" s="69"/>
      <c r="O2268" s="69"/>
      <c r="P2268" s="69"/>
      <c r="Q2268" s="69"/>
      <c r="R2268" s="69"/>
      <c r="S2268" s="69"/>
      <c r="T2268" s="69"/>
      <c r="U2268" s="69"/>
      <c r="V2268" s="69"/>
      <c r="W2268" s="69"/>
      <c r="X2268" s="69"/>
      <c r="Y2268" s="69"/>
      <c r="Z2268" s="69"/>
      <c r="AA2268" s="69"/>
      <c r="AB2268" s="69"/>
      <c r="AC2268" s="69"/>
      <c r="AD2268" s="69"/>
      <c r="AE2268" s="69"/>
    </row>
    <row r="2269" spans="1:31" ht="22.5" customHeight="1">
      <c r="A2269" s="69"/>
      <c r="B2269" s="69"/>
      <c r="C2269" s="69"/>
      <c r="D2269" s="69"/>
      <c r="E2269" s="185"/>
      <c r="F2269" s="69"/>
      <c r="G2269" s="185"/>
      <c r="H2269" s="69"/>
      <c r="I2269" s="69"/>
      <c r="J2269" s="69"/>
      <c r="K2269" s="69"/>
      <c r="L2269" s="69"/>
      <c r="M2269" s="69"/>
      <c r="N2269" s="69"/>
      <c r="O2269" s="69"/>
      <c r="P2269" s="69"/>
      <c r="Q2269" s="69"/>
      <c r="R2269" s="69"/>
      <c r="S2269" s="69"/>
      <c r="T2269" s="69"/>
      <c r="U2269" s="69"/>
      <c r="V2269" s="69"/>
      <c r="W2269" s="69"/>
      <c r="X2269" s="69"/>
      <c r="Y2269" s="69"/>
      <c r="Z2269" s="69"/>
      <c r="AA2269" s="69"/>
      <c r="AB2269" s="69"/>
      <c r="AC2269" s="69"/>
      <c r="AD2269" s="69"/>
      <c r="AE2269" s="69"/>
    </row>
    <row r="2270" spans="1:31" ht="22.5" customHeight="1">
      <c r="A2270" s="69"/>
      <c r="B2270" s="69"/>
      <c r="C2270" s="69"/>
      <c r="D2270" s="69"/>
      <c r="E2270" s="185"/>
      <c r="F2270" s="69"/>
      <c r="G2270" s="185"/>
      <c r="H2270" s="69"/>
      <c r="I2270" s="69"/>
      <c r="J2270" s="69"/>
      <c r="K2270" s="69"/>
      <c r="L2270" s="69"/>
      <c r="M2270" s="69"/>
      <c r="N2270" s="69"/>
      <c r="O2270" s="69"/>
      <c r="P2270" s="69"/>
      <c r="Q2270" s="69"/>
      <c r="R2270" s="69"/>
      <c r="S2270" s="69"/>
      <c r="T2270" s="69"/>
      <c r="U2270" s="69"/>
      <c r="V2270" s="69"/>
      <c r="W2270" s="69"/>
      <c r="X2270" s="69"/>
      <c r="Y2270" s="69"/>
      <c r="Z2270" s="69"/>
      <c r="AA2270" s="69"/>
      <c r="AB2270" s="69"/>
      <c r="AC2270" s="69"/>
      <c r="AD2270" s="69"/>
      <c r="AE2270" s="69"/>
    </row>
    <row r="2271" spans="1:31" ht="22.5" customHeight="1">
      <c r="A2271" s="69"/>
      <c r="B2271" s="69"/>
      <c r="C2271" s="69"/>
      <c r="D2271" s="69"/>
      <c r="E2271" s="185"/>
      <c r="F2271" s="69"/>
      <c r="G2271" s="185"/>
      <c r="H2271" s="69"/>
      <c r="I2271" s="69"/>
      <c r="J2271" s="69"/>
      <c r="K2271" s="69"/>
      <c r="L2271" s="69"/>
      <c r="M2271" s="69"/>
      <c r="N2271" s="69"/>
      <c r="O2271" s="69"/>
      <c r="P2271" s="69"/>
      <c r="Q2271" s="69"/>
      <c r="R2271" s="69"/>
      <c r="S2271" s="69"/>
      <c r="T2271" s="69"/>
      <c r="U2271" s="69"/>
      <c r="V2271" s="69"/>
      <c r="W2271" s="69"/>
      <c r="X2271" s="69"/>
      <c r="Y2271" s="69"/>
      <c r="Z2271" s="69"/>
      <c r="AA2271" s="69"/>
      <c r="AB2271" s="69"/>
      <c r="AC2271" s="69"/>
      <c r="AD2271" s="69"/>
      <c r="AE2271" s="69"/>
    </row>
    <row r="2272" spans="1:31" ht="22.5" customHeight="1">
      <c r="A2272" s="69"/>
      <c r="B2272" s="69"/>
      <c r="C2272" s="69"/>
      <c r="D2272" s="69"/>
      <c r="E2272" s="185"/>
      <c r="F2272" s="69"/>
      <c r="G2272" s="185"/>
      <c r="H2272" s="69"/>
      <c r="I2272" s="69"/>
      <c r="J2272" s="69"/>
      <c r="K2272" s="69"/>
      <c r="L2272" s="69"/>
      <c r="M2272" s="69"/>
      <c r="N2272" s="69"/>
      <c r="O2272" s="69"/>
      <c r="P2272" s="69"/>
      <c r="Q2272" s="69"/>
      <c r="R2272" s="69"/>
      <c r="S2272" s="69"/>
      <c r="T2272" s="69"/>
      <c r="U2272" s="69"/>
      <c r="V2272" s="69"/>
      <c r="W2272" s="69"/>
      <c r="X2272" s="69"/>
      <c r="Y2272" s="69"/>
      <c r="Z2272" s="69"/>
      <c r="AA2272" s="69"/>
      <c r="AB2272" s="69"/>
      <c r="AC2272" s="69"/>
      <c r="AD2272" s="69"/>
      <c r="AE2272" s="69"/>
    </row>
    <row r="2273" spans="1:31" ht="22.5" customHeight="1">
      <c r="A2273" s="69"/>
      <c r="B2273" s="69"/>
      <c r="C2273" s="69"/>
      <c r="D2273" s="69"/>
      <c r="E2273" s="185"/>
      <c r="F2273" s="69"/>
      <c r="G2273" s="185"/>
      <c r="H2273" s="69"/>
      <c r="I2273" s="69"/>
      <c r="J2273" s="69"/>
      <c r="K2273" s="69"/>
      <c r="L2273" s="69"/>
      <c r="M2273" s="69"/>
      <c r="N2273" s="69"/>
      <c r="O2273" s="69"/>
      <c r="P2273" s="69"/>
      <c r="Q2273" s="69"/>
      <c r="R2273" s="69"/>
      <c r="S2273" s="69"/>
      <c r="T2273" s="69"/>
      <c r="U2273" s="69"/>
      <c r="V2273" s="69"/>
      <c r="W2273" s="69"/>
      <c r="X2273" s="69"/>
      <c r="Y2273" s="69"/>
      <c r="Z2273" s="69"/>
      <c r="AA2273" s="69"/>
      <c r="AB2273" s="69"/>
      <c r="AC2273" s="69"/>
      <c r="AD2273" s="69"/>
      <c r="AE2273" s="69"/>
    </row>
    <row r="2274" spans="1:31" ht="22.5" customHeight="1">
      <c r="A2274" s="69"/>
      <c r="B2274" s="69"/>
      <c r="C2274" s="69"/>
      <c r="D2274" s="69"/>
      <c r="E2274" s="185"/>
      <c r="F2274" s="69"/>
      <c r="G2274" s="185"/>
      <c r="H2274" s="69"/>
      <c r="I2274" s="69"/>
      <c r="J2274" s="69"/>
      <c r="K2274" s="69"/>
      <c r="L2274" s="69"/>
      <c r="M2274" s="69"/>
      <c r="N2274" s="69"/>
      <c r="O2274" s="69"/>
      <c r="P2274" s="69"/>
      <c r="Q2274" s="69"/>
      <c r="R2274" s="69"/>
      <c r="S2274" s="69"/>
      <c r="T2274" s="69"/>
      <c r="U2274" s="69"/>
      <c r="V2274" s="69"/>
      <c r="W2274" s="69"/>
      <c r="X2274" s="69"/>
      <c r="Y2274" s="69"/>
      <c r="Z2274" s="69"/>
      <c r="AA2274" s="69"/>
      <c r="AB2274" s="69"/>
      <c r="AC2274" s="69"/>
      <c r="AD2274" s="69"/>
      <c r="AE2274" s="69"/>
    </row>
    <row r="2275" spans="1:31" ht="22.5" customHeight="1">
      <c r="A2275" s="69"/>
      <c r="B2275" s="69"/>
      <c r="C2275" s="69"/>
      <c r="D2275" s="69"/>
      <c r="E2275" s="185"/>
      <c r="F2275" s="69"/>
      <c r="G2275" s="185"/>
      <c r="H2275" s="69"/>
      <c r="I2275" s="69"/>
      <c r="J2275" s="69"/>
      <c r="K2275" s="69"/>
      <c r="L2275" s="69"/>
      <c r="M2275" s="69"/>
      <c r="N2275" s="69"/>
      <c r="O2275" s="69"/>
      <c r="P2275" s="69"/>
      <c r="Q2275" s="69"/>
      <c r="R2275" s="69"/>
      <c r="S2275" s="69"/>
      <c r="T2275" s="69"/>
      <c r="U2275" s="69"/>
      <c r="V2275" s="69"/>
      <c r="W2275" s="69"/>
      <c r="X2275" s="69"/>
      <c r="Y2275" s="69"/>
      <c r="Z2275" s="69"/>
      <c r="AA2275" s="69"/>
      <c r="AB2275" s="69"/>
      <c r="AC2275" s="69"/>
      <c r="AD2275" s="69"/>
      <c r="AE2275" s="69"/>
    </row>
    <row r="2276" spans="1:31" ht="22.5" customHeight="1">
      <c r="A2276" s="69"/>
      <c r="B2276" s="69"/>
      <c r="C2276" s="69"/>
      <c r="D2276" s="69"/>
      <c r="E2276" s="185"/>
      <c r="F2276" s="69"/>
      <c r="G2276" s="185"/>
      <c r="H2276" s="69"/>
      <c r="I2276" s="69"/>
      <c r="J2276" s="69"/>
      <c r="K2276" s="69"/>
      <c r="L2276" s="69"/>
      <c r="M2276" s="69"/>
      <c r="N2276" s="69"/>
      <c r="O2276" s="69"/>
      <c r="P2276" s="69"/>
      <c r="Q2276" s="69"/>
      <c r="R2276" s="69"/>
      <c r="S2276" s="69"/>
      <c r="T2276" s="69"/>
      <c r="U2276" s="69"/>
      <c r="V2276" s="69"/>
      <c r="W2276" s="69"/>
      <c r="X2276" s="69"/>
      <c r="Y2276" s="69"/>
      <c r="Z2276" s="69"/>
      <c r="AA2276" s="69"/>
      <c r="AB2276" s="69"/>
      <c r="AC2276" s="69"/>
      <c r="AD2276" s="69"/>
      <c r="AE2276" s="69"/>
    </row>
    <row r="2277" spans="1:31" ht="22.5" customHeight="1">
      <c r="A2277" s="69"/>
      <c r="B2277" s="69"/>
      <c r="C2277" s="69"/>
      <c r="D2277" s="69"/>
      <c r="E2277" s="185"/>
      <c r="F2277" s="69"/>
      <c r="G2277" s="185"/>
      <c r="H2277" s="69"/>
      <c r="I2277" s="69"/>
      <c r="J2277" s="69"/>
      <c r="K2277" s="69"/>
      <c r="L2277" s="69"/>
      <c r="M2277" s="69"/>
      <c r="N2277" s="69"/>
      <c r="O2277" s="69"/>
      <c r="P2277" s="69"/>
      <c r="Q2277" s="69"/>
      <c r="R2277" s="69"/>
      <c r="S2277" s="69"/>
      <c r="T2277" s="69"/>
      <c r="U2277" s="69"/>
      <c r="V2277" s="69"/>
      <c r="W2277" s="69"/>
      <c r="X2277" s="69"/>
      <c r="Y2277" s="69"/>
      <c r="Z2277" s="69"/>
      <c r="AA2277" s="69"/>
      <c r="AB2277" s="69"/>
      <c r="AC2277" s="69"/>
      <c r="AD2277" s="69"/>
      <c r="AE2277" s="69"/>
    </row>
    <row r="2278" spans="1:31" ht="22.5" customHeight="1">
      <c r="A2278" s="69"/>
      <c r="B2278" s="69"/>
      <c r="C2278" s="69"/>
      <c r="D2278" s="69"/>
      <c r="E2278" s="185"/>
      <c r="F2278" s="69"/>
      <c r="G2278" s="185"/>
      <c r="H2278" s="69"/>
      <c r="I2278" s="69"/>
      <c r="J2278" s="69"/>
      <c r="K2278" s="69"/>
      <c r="L2278" s="69"/>
      <c r="M2278" s="69"/>
      <c r="N2278" s="69"/>
      <c r="O2278" s="69"/>
      <c r="P2278" s="69"/>
      <c r="Q2278" s="69"/>
      <c r="R2278" s="69"/>
      <c r="S2278" s="69"/>
      <c r="T2278" s="69"/>
      <c r="U2278" s="69"/>
      <c r="V2278" s="69"/>
      <c r="W2278" s="69"/>
      <c r="X2278" s="69"/>
      <c r="Y2278" s="69"/>
      <c r="Z2278" s="69"/>
      <c r="AA2278" s="69"/>
      <c r="AB2278" s="69"/>
      <c r="AC2278" s="69"/>
      <c r="AD2278" s="69"/>
      <c r="AE2278" s="69"/>
    </row>
    <row r="2279" spans="1:31" ht="22.5" customHeight="1">
      <c r="A2279" s="69"/>
      <c r="B2279" s="69"/>
      <c r="C2279" s="69"/>
      <c r="D2279" s="69"/>
      <c r="E2279" s="185"/>
      <c r="F2279" s="69"/>
      <c r="G2279" s="185"/>
      <c r="H2279" s="69"/>
      <c r="I2279" s="69"/>
      <c r="J2279" s="69"/>
      <c r="K2279" s="69"/>
      <c r="L2279" s="69"/>
      <c r="M2279" s="69"/>
      <c r="N2279" s="69"/>
      <c r="O2279" s="69"/>
      <c r="P2279" s="69"/>
      <c r="Q2279" s="69"/>
      <c r="R2279" s="69"/>
      <c r="S2279" s="69"/>
      <c r="T2279" s="69"/>
      <c r="U2279" s="69"/>
      <c r="V2279" s="69"/>
      <c r="W2279" s="69"/>
      <c r="X2279" s="69"/>
      <c r="Y2279" s="69"/>
      <c r="Z2279" s="69"/>
      <c r="AA2279" s="69"/>
      <c r="AB2279" s="69"/>
      <c r="AC2279" s="69"/>
      <c r="AD2279" s="69"/>
      <c r="AE2279" s="69"/>
    </row>
    <row r="2280" spans="1:31" ht="22.5" customHeight="1">
      <c r="A2280" s="69"/>
      <c r="B2280" s="69"/>
      <c r="C2280" s="69"/>
      <c r="D2280" s="69"/>
      <c r="E2280" s="185"/>
      <c r="F2280" s="69"/>
      <c r="G2280" s="185"/>
      <c r="H2280" s="69"/>
      <c r="I2280" s="69"/>
      <c r="J2280" s="69"/>
      <c r="K2280" s="69"/>
      <c r="L2280" s="69"/>
      <c r="M2280" s="69"/>
      <c r="N2280" s="69"/>
      <c r="O2280" s="69"/>
      <c r="P2280" s="69"/>
      <c r="Q2280" s="69"/>
      <c r="R2280" s="69"/>
      <c r="S2280" s="69"/>
      <c r="T2280" s="69"/>
      <c r="U2280" s="69"/>
      <c r="V2280" s="69"/>
      <c r="W2280" s="69"/>
      <c r="X2280" s="69"/>
      <c r="Y2280" s="69"/>
      <c r="Z2280" s="69"/>
      <c r="AA2280" s="69"/>
      <c r="AB2280" s="69"/>
      <c r="AC2280" s="69"/>
      <c r="AD2280" s="69"/>
      <c r="AE2280" s="69"/>
    </row>
    <row r="2281" spans="1:31" ht="22.5" customHeight="1">
      <c r="A2281" s="69"/>
      <c r="B2281" s="69"/>
      <c r="C2281" s="69"/>
      <c r="D2281" s="69"/>
      <c r="E2281" s="185"/>
      <c r="F2281" s="69"/>
      <c r="G2281" s="185"/>
      <c r="H2281" s="69"/>
      <c r="I2281" s="69"/>
      <c r="J2281" s="69"/>
      <c r="K2281" s="69"/>
      <c r="L2281" s="69"/>
      <c r="M2281" s="69"/>
      <c r="N2281" s="69"/>
      <c r="O2281" s="69"/>
      <c r="P2281" s="69"/>
      <c r="Q2281" s="69"/>
      <c r="R2281" s="69"/>
      <c r="S2281" s="69"/>
      <c r="T2281" s="69"/>
      <c r="U2281" s="69"/>
      <c r="V2281" s="69"/>
      <c r="W2281" s="69"/>
      <c r="X2281" s="69"/>
      <c r="Y2281" s="69"/>
      <c r="Z2281" s="69"/>
      <c r="AA2281" s="69"/>
      <c r="AB2281" s="69"/>
      <c r="AC2281" s="69"/>
      <c r="AD2281" s="69"/>
      <c r="AE2281" s="69"/>
    </row>
    <row r="2282" spans="1:31" ht="22.5" customHeight="1">
      <c r="A2282" s="69"/>
      <c r="B2282" s="69"/>
      <c r="C2282" s="69"/>
      <c r="D2282" s="69"/>
      <c r="E2282" s="185"/>
      <c r="F2282" s="69"/>
      <c r="G2282" s="185"/>
      <c r="H2282" s="69"/>
      <c r="I2282" s="69"/>
      <c r="J2282" s="69"/>
      <c r="K2282" s="69"/>
      <c r="L2282" s="69"/>
      <c r="M2282" s="69"/>
      <c r="N2282" s="69"/>
      <c r="O2282" s="69"/>
      <c r="P2282" s="69"/>
      <c r="Q2282" s="69"/>
      <c r="R2282" s="69"/>
      <c r="S2282" s="69"/>
      <c r="T2282" s="69"/>
      <c r="U2282" s="69"/>
      <c r="V2282" s="69"/>
      <c r="W2282" s="69"/>
      <c r="X2282" s="69"/>
      <c r="Y2282" s="69"/>
      <c r="Z2282" s="69"/>
      <c r="AA2282" s="69"/>
      <c r="AB2282" s="69"/>
      <c r="AC2282" s="69"/>
      <c r="AD2282" s="69"/>
      <c r="AE2282" s="69"/>
    </row>
    <row r="2283" spans="1:31" ht="22.5" customHeight="1">
      <c r="A2283" s="69"/>
      <c r="B2283" s="69"/>
      <c r="C2283" s="69"/>
      <c r="D2283" s="69"/>
      <c r="E2283" s="185"/>
      <c r="F2283" s="69"/>
      <c r="G2283" s="185"/>
      <c r="H2283" s="69"/>
      <c r="I2283" s="69"/>
      <c r="J2283" s="69"/>
      <c r="K2283" s="69"/>
      <c r="L2283" s="69"/>
      <c r="M2283" s="69"/>
      <c r="N2283" s="69"/>
      <c r="O2283" s="69"/>
      <c r="P2283" s="69"/>
      <c r="Q2283" s="69"/>
      <c r="R2283" s="69"/>
      <c r="S2283" s="69"/>
      <c r="T2283" s="69"/>
      <c r="U2283" s="69"/>
      <c r="V2283" s="69"/>
      <c r="W2283" s="69"/>
      <c r="X2283" s="69"/>
      <c r="Y2283" s="69"/>
      <c r="Z2283" s="69"/>
      <c r="AA2283" s="69"/>
      <c r="AB2283" s="69"/>
      <c r="AC2283" s="69"/>
      <c r="AD2283" s="69"/>
      <c r="AE2283" s="69"/>
    </row>
    <row r="2284" spans="1:31" ht="22.5" customHeight="1">
      <c r="A2284" s="69"/>
      <c r="B2284" s="69"/>
      <c r="C2284" s="69"/>
      <c r="D2284" s="69"/>
      <c r="E2284" s="185"/>
      <c r="F2284" s="69"/>
      <c r="G2284" s="185"/>
      <c r="H2284" s="69"/>
      <c r="I2284" s="69"/>
      <c r="J2284" s="69"/>
      <c r="K2284" s="69"/>
      <c r="L2284" s="69"/>
      <c r="M2284" s="69"/>
      <c r="N2284" s="69"/>
      <c r="O2284" s="69"/>
      <c r="P2284" s="69"/>
      <c r="Q2284" s="69"/>
      <c r="R2284" s="69"/>
      <c r="S2284" s="69"/>
      <c r="T2284" s="69"/>
      <c r="U2284" s="69"/>
      <c r="V2284" s="69"/>
      <c r="W2284" s="69"/>
      <c r="X2284" s="69"/>
      <c r="Y2284" s="69"/>
      <c r="Z2284" s="69"/>
      <c r="AA2284" s="69"/>
      <c r="AB2284" s="69"/>
      <c r="AC2284" s="69"/>
      <c r="AD2284" s="69"/>
      <c r="AE2284" s="69"/>
    </row>
    <row r="2285" spans="1:31" ht="22.5" customHeight="1">
      <c r="A2285" s="69"/>
      <c r="B2285" s="69"/>
      <c r="C2285" s="69"/>
      <c r="D2285" s="69"/>
      <c r="E2285" s="185"/>
      <c r="F2285" s="69"/>
      <c r="G2285" s="185"/>
      <c r="H2285" s="69"/>
      <c r="I2285" s="69"/>
      <c r="J2285" s="69"/>
      <c r="K2285" s="69"/>
      <c r="L2285" s="69"/>
      <c r="M2285" s="69"/>
      <c r="N2285" s="69"/>
      <c r="O2285" s="69"/>
      <c r="P2285" s="69"/>
      <c r="Q2285" s="69"/>
      <c r="R2285" s="69"/>
      <c r="S2285" s="69"/>
      <c r="T2285" s="69"/>
      <c r="U2285" s="69"/>
      <c r="V2285" s="69"/>
      <c r="W2285" s="69"/>
      <c r="X2285" s="69"/>
      <c r="Y2285" s="69"/>
      <c r="Z2285" s="69"/>
      <c r="AA2285" s="69"/>
      <c r="AB2285" s="69"/>
      <c r="AC2285" s="69"/>
      <c r="AD2285" s="69"/>
      <c r="AE2285" s="69"/>
    </row>
    <row r="2286" spans="1:31" ht="22.5" customHeight="1">
      <c r="A2286" s="69"/>
      <c r="B2286" s="69"/>
      <c r="C2286" s="69"/>
      <c r="D2286" s="69"/>
      <c r="E2286" s="185"/>
      <c r="F2286" s="69"/>
      <c r="G2286" s="185"/>
      <c r="H2286" s="69"/>
      <c r="I2286" s="69"/>
      <c r="J2286" s="69"/>
      <c r="K2286" s="69"/>
      <c r="L2286" s="69"/>
      <c r="M2286" s="69"/>
      <c r="N2286" s="69"/>
      <c r="O2286" s="69"/>
      <c r="P2286" s="69"/>
      <c r="Q2286" s="69"/>
      <c r="R2286" s="69"/>
      <c r="S2286" s="69"/>
      <c r="T2286" s="69"/>
      <c r="U2286" s="69"/>
      <c r="V2286" s="69"/>
      <c r="W2286" s="69"/>
      <c r="X2286" s="69"/>
      <c r="Y2286" s="69"/>
      <c r="Z2286" s="69"/>
      <c r="AA2286" s="69"/>
      <c r="AB2286" s="69"/>
      <c r="AC2286" s="69"/>
      <c r="AD2286" s="69"/>
      <c r="AE2286" s="69"/>
    </row>
    <row r="2287" spans="1:31" ht="22.5" customHeight="1">
      <c r="A2287" s="69"/>
      <c r="B2287" s="69"/>
      <c r="C2287" s="69"/>
      <c r="D2287" s="69"/>
      <c r="E2287" s="185"/>
      <c r="F2287" s="69"/>
      <c r="G2287" s="185"/>
      <c r="H2287" s="69"/>
      <c r="I2287" s="69"/>
      <c r="J2287" s="69"/>
      <c r="K2287" s="69"/>
      <c r="L2287" s="69"/>
      <c r="M2287" s="69"/>
      <c r="N2287" s="69"/>
      <c r="O2287" s="69"/>
      <c r="P2287" s="69"/>
      <c r="Q2287" s="69"/>
      <c r="R2287" s="69"/>
      <c r="S2287" s="69"/>
      <c r="T2287" s="69"/>
      <c r="U2287" s="69"/>
      <c r="V2287" s="69"/>
      <c r="W2287" s="69"/>
      <c r="X2287" s="69"/>
      <c r="Y2287" s="69"/>
      <c r="Z2287" s="69"/>
      <c r="AA2287" s="69"/>
      <c r="AB2287" s="69"/>
      <c r="AC2287" s="69"/>
      <c r="AD2287" s="69"/>
      <c r="AE2287" s="69"/>
    </row>
    <row r="2288" spans="1:31" ht="22.5" customHeight="1">
      <c r="A2288" s="69"/>
      <c r="B2288" s="69"/>
      <c r="C2288" s="69"/>
      <c r="D2288" s="69"/>
      <c r="E2288" s="185"/>
      <c r="F2288" s="69"/>
      <c r="G2288" s="185"/>
      <c r="H2288" s="69"/>
      <c r="I2288" s="69"/>
      <c r="J2288" s="69"/>
      <c r="K2288" s="69"/>
      <c r="L2288" s="69"/>
      <c r="M2288" s="69"/>
      <c r="N2288" s="69"/>
      <c r="O2288" s="69"/>
      <c r="P2288" s="69"/>
      <c r="Q2288" s="69"/>
      <c r="R2288" s="69"/>
      <c r="S2288" s="69"/>
      <c r="T2288" s="69"/>
      <c r="U2288" s="69"/>
      <c r="V2288" s="69"/>
      <c r="W2288" s="69"/>
      <c r="X2288" s="69"/>
      <c r="Y2288" s="69"/>
      <c r="Z2288" s="69"/>
      <c r="AA2288" s="69"/>
      <c r="AB2288" s="69"/>
      <c r="AC2288" s="69"/>
      <c r="AD2288" s="69"/>
      <c r="AE2288" s="69"/>
    </row>
    <row r="2289" spans="1:31" ht="22.5" customHeight="1">
      <c r="A2289" s="69"/>
      <c r="B2289" s="69"/>
      <c r="C2289" s="69"/>
      <c r="D2289" s="69"/>
      <c r="E2289" s="185"/>
      <c r="F2289" s="69"/>
      <c r="G2289" s="185"/>
      <c r="H2289" s="69"/>
      <c r="I2289" s="69"/>
      <c r="J2289" s="69"/>
      <c r="K2289" s="69"/>
      <c r="L2289" s="69"/>
      <c r="M2289" s="69"/>
      <c r="N2289" s="69"/>
      <c r="O2289" s="69"/>
      <c r="P2289" s="69"/>
      <c r="Q2289" s="69"/>
      <c r="R2289" s="69"/>
      <c r="S2289" s="69"/>
      <c r="T2289" s="69"/>
      <c r="U2289" s="69"/>
      <c r="V2289" s="69"/>
      <c r="W2289" s="69"/>
      <c r="X2289" s="69"/>
      <c r="Y2289" s="69"/>
      <c r="Z2289" s="69"/>
      <c r="AA2289" s="69"/>
      <c r="AB2289" s="69"/>
      <c r="AC2289" s="69"/>
      <c r="AD2289" s="69"/>
      <c r="AE2289" s="69"/>
    </row>
    <row r="2290" spans="1:31" ht="22.5" customHeight="1">
      <c r="A2290" s="69"/>
      <c r="B2290" s="69"/>
      <c r="C2290" s="69"/>
      <c r="D2290" s="69"/>
      <c r="E2290" s="185"/>
      <c r="F2290" s="69"/>
      <c r="G2290" s="185"/>
      <c r="H2290" s="69"/>
      <c r="I2290" s="69"/>
      <c r="J2290" s="69"/>
      <c r="K2290" s="69"/>
      <c r="L2290" s="69"/>
      <c r="M2290" s="69"/>
      <c r="N2290" s="69"/>
      <c r="O2290" s="69"/>
      <c r="P2290" s="69"/>
      <c r="Q2290" s="69"/>
      <c r="R2290" s="69"/>
      <c r="S2290" s="69"/>
      <c r="T2290" s="69"/>
      <c r="U2290" s="69"/>
      <c r="V2290" s="69"/>
      <c r="W2290" s="69"/>
      <c r="X2290" s="69"/>
      <c r="Y2290" s="69"/>
      <c r="Z2290" s="69"/>
      <c r="AA2290" s="69"/>
      <c r="AB2290" s="69"/>
      <c r="AC2290" s="69"/>
      <c r="AD2290" s="69"/>
      <c r="AE2290" s="69"/>
    </row>
    <row r="2291" spans="1:31" ht="22.5" customHeight="1">
      <c r="A2291" s="69"/>
      <c r="B2291" s="69"/>
      <c r="C2291" s="69"/>
      <c r="D2291" s="69"/>
      <c r="E2291" s="185"/>
      <c r="F2291" s="69"/>
      <c r="G2291" s="185"/>
      <c r="H2291" s="69"/>
      <c r="I2291" s="69"/>
      <c r="J2291" s="69"/>
      <c r="K2291" s="69"/>
      <c r="L2291" s="69"/>
      <c r="M2291" s="69"/>
      <c r="N2291" s="69"/>
      <c r="O2291" s="69"/>
      <c r="P2291" s="69"/>
      <c r="Q2291" s="69"/>
      <c r="R2291" s="69"/>
      <c r="S2291" s="69"/>
      <c r="T2291" s="69"/>
      <c r="U2291" s="69"/>
      <c r="V2291" s="69"/>
      <c r="W2291" s="69"/>
      <c r="X2291" s="69"/>
      <c r="Y2291" s="69"/>
      <c r="Z2291" s="69"/>
      <c r="AA2291" s="69"/>
      <c r="AB2291" s="69"/>
      <c r="AC2291" s="69"/>
      <c r="AD2291" s="69"/>
      <c r="AE2291" s="69"/>
    </row>
    <row r="2292" spans="1:31" ht="22.5" customHeight="1">
      <c r="A2292" s="69"/>
      <c r="B2292" s="69"/>
      <c r="C2292" s="69"/>
      <c r="D2292" s="69"/>
      <c r="E2292" s="185"/>
      <c r="F2292" s="69"/>
      <c r="G2292" s="185"/>
      <c r="H2292" s="69"/>
      <c r="I2292" s="69"/>
      <c r="J2292" s="69"/>
      <c r="K2292" s="69"/>
      <c r="L2292" s="69"/>
      <c r="M2292" s="69"/>
      <c r="N2292" s="69"/>
      <c r="O2292" s="69"/>
      <c r="P2292" s="69"/>
      <c r="Q2292" s="69"/>
      <c r="R2292" s="69"/>
      <c r="S2292" s="69"/>
      <c r="T2292" s="69"/>
      <c r="U2292" s="69"/>
      <c r="V2292" s="69"/>
      <c r="W2292" s="69"/>
      <c r="X2292" s="69"/>
      <c r="Y2292" s="69"/>
      <c r="Z2292" s="69"/>
      <c r="AA2292" s="69"/>
      <c r="AB2292" s="69"/>
      <c r="AC2292" s="69"/>
      <c r="AD2292" s="69"/>
      <c r="AE2292" s="69"/>
    </row>
    <row r="2293" spans="1:31" ht="22.5" customHeight="1">
      <c r="A2293" s="69"/>
      <c r="B2293" s="69"/>
      <c r="C2293" s="69"/>
      <c r="D2293" s="69"/>
      <c r="E2293" s="185"/>
      <c r="F2293" s="69"/>
      <c r="G2293" s="185"/>
      <c r="H2293" s="69"/>
      <c r="I2293" s="69"/>
      <c r="J2293" s="69"/>
      <c r="K2293" s="69"/>
      <c r="L2293" s="69"/>
      <c r="M2293" s="69"/>
      <c r="N2293" s="69"/>
      <c r="O2293" s="69"/>
      <c r="P2293" s="69"/>
      <c r="Q2293" s="69"/>
      <c r="R2293" s="69"/>
      <c r="S2293" s="69"/>
      <c r="T2293" s="69"/>
      <c r="U2293" s="69"/>
      <c r="V2293" s="69"/>
      <c r="W2293" s="69"/>
      <c r="X2293" s="69"/>
      <c r="Y2293" s="69"/>
      <c r="Z2293" s="69"/>
      <c r="AA2293" s="69"/>
      <c r="AB2293" s="69"/>
      <c r="AC2293" s="69"/>
      <c r="AD2293" s="69"/>
      <c r="AE2293" s="69"/>
    </row>
    <row r="2294" spans="1:31" ht="22.5" customHeight="1">
      <c r="A2294" s="69"/>
      <c r="B2294" s="69"/>
      <c r="C2294" s="69"/>
      <c r="D2294" s="69"/>
      <c r="E2294" s="185"/>
      <c r="F2294" s="69"/>
      <c r="G2294" s="185"/>
      <c r="H2294" s="69"/>
      <c r="I2294" s="69"/>
      <c r="J2294" s="69"/>
      <c r="K2294" s="69"/>
      <c r="L2294" s="69"/>
      <c r="M2294" s="69"/>
      <c r="N2294" s="69"/>
      <c r="O2294" s="69"/>
      <c r="P2294" s="69"/>
      <c r="Q2294" s="69"/>
      <c r="R2294" s="69"/>
      <c r="S2294" s="69"/>
      <c r="T2294" s="69"/>
      <c r="U2294" s="69"/>
      <c r="V2294" s="69"/>
      <c r="W2294" s="69"/>
      <c r="X2294" s="69"/>
      <c r="Y2294" s="69"/>
      <c r="Z2294" s="69"/>
      <c r="AA2294" s="69"/>
      <c r="AB2294" s="69"/>
      <c r="AC2294" s="69"/>
      <c r="AD2294" s="69"/>
      <c r="AE2294" s="69"/>
    </row>
    <row r="2295" spans="1:31" ht="22.5" customHeight="1">
      <c r="A2295" s="69"/>
      <c r="B2295" s="69"/>
      <c r="C2295" s="69"/>
      <c r="D2295" s="69"/>
      <c r="E2295" s="185"/>
      <c r="F2295" s="69"/>
      <c r="G2295" s="185"/>
      <c r="H2295" s="69"/>
      <c r="I2295" s="69"/>
      <c r="J2295" s="69"/>
      <c r="K2295" s="69"/>
      <c r="L2295" s="69"/>
      <c r="M2295" s="69"/>
      <c r="N2295" s="69"/>
      <c r="O2295" s="69"/>
      <c r="P2295" s="69"/>
      <c r="Q2295" s="69"/>
      <c r="R2295" s="69"/>
      <c r="S2295" s="69"/>
      <c r="T2295" s="69"/>
      <c r="U2295" s="69"/>
      <c r="V2295" s="69"/>
      <c r="W2295" s="69"/>
      <c r="X2295" s="69"/>
      <c r="Y2295" s="69"/>
      <c r="Z2295" s="69"/>
      <c r="AA2295" s="69"/>
      <c r="AB2295" s="69"/>
      <c r="AC2295" s="69"/>
      <c r="AD2295" s="69"/>
      <c r="AE2295" s="69"/>
    </row>
    <row r="2296" spans="1:31" ht="22.5" customHeight="1">
      <c r="A2296" s="69"/>
      <c r="B2296" s="69"/>
      <c r="C2296" s="69"/>
      <c r="D2296" s="69"/>
      <c r="E2296" s="185"/>
      <c r="F2296" s="69"/>
      <c r="G2296" s="185"/>
      <c r="H2296" s="69"/>
      <c r="I2296" s="69"/>
      <c r="J2296" s="69"/>
      <c r="K2296" s="69"/>
      <c r="L2296" s="69"/>
      <c r="M2296" s="69"/>
      <c r="N2296" s="69"/>
      <c r="O2296" s="69"/>
      <c r="P2296" s="69"/>
      <c r="Q2296" s="69"/>
      <c r="R2296" s="69"/>
      <c r="S2296" s="69"/>
      <c r="T2296" s="69"/>
      <c r="U2296" s="69"/>
      <c r="V2296" s="69"/>
      <c r="W2296" s="69"/>
      <c r="X2296" s="69"/>
      <c r="Y2296" s="69"/>
      <c r="Z2296" s="69"/>
      <c r="AA2296" s="69"/>
      <c r="AB2296" s="69"/>
      <c r="AC2296" s="69"/>
      <c r="AD2296" s="69"/>
      <c r="AE2296" s="69"/>
    </row>
    <row r="2297" spans="1:31" ht="22.5" customHeight="1">
      <c r="A2297" s="69"/>
      <c r="B2297" s="69"/>
      <c r="C2297" s="69"/>
      <c r="D2297" s="69"/>
      <c r="E2297" s="185"/>
      <c r="F2297" s="69"/>
      <c r="G2297" s="185"/>
      <c r="H2297" s="69"/>
      <c r="I2297" s="69"/>
      <c r="J2297" s="69"/>
      <c r="K2297" s="69"/>
      <c r="L2297" s="69"/>
      <c r="M2297" s="69"/>
      <c r="N2297" s="69"/>
      <c r="O2297" s="69"/>
      <c r="P2297" s="69"/>
      <c r="Q2297" s="69"/>
      <c r="R2297" s="69"/>
      <c r="S2297" s="69"/>
      <c r="T2297" s="69"/>
      <c r="U2297" s="69"/>
      <c r="V2297" s="69"/>
      <c r="W2297" s="69"/>
      <c r="X2297" s="69"/>
      <c r="Y2297" s="69"/>
      <c r="Z2297" s="69"/>
      <c r="AA2297" s="69"/>
      <c r="AB2297" s="69"/>
      <c r="AC2297" s="69"/>
      <c r="AD2297" s="69"/>
      <c r="AE2297" s="69"/>
    </row>
    <row r="2298" spans="1:31" ht="22.5" customHeight="1">
      <c r="A2298" s="69"/>
      <c r="B2298" s="69"/>
      <c r="C2298" s="69"/>
      <c r="D2298" s="69"/>
      <c r="E2298" s="185"/>
      <c r="F2298" s="69"/>
      <c r="G2298" s="185"/>
      <c r="H2298" s="69"/>
      <c r="I2298" s="69"/>
      <c r="J2298" s="69"/>
      <c r="K2298" s="69"/>
      <c r="L2298" s="69"/>
      <c r="M2298" s="69"/>
      <c r="N2298" s="69"/>
      <c r="O2298" s="69"/>
      <c r="P2298" s="69"/>
      <c r="Q2298" s="69"/>
      <c r="R2298" s="69"/>
      <c r="S2298" s="69"/>
      <c r="T2298" s="69"/>
      <c r="U2298" s="69"/>
      <c r="V2298" s="69"/>
      <c r="W2298" s="69"/>
      <c r="X2298" s="69"/>
      <c r="Y2298" s="69"/>
      <c r="Z2298" s="69"/>
      <c r="AA2298" s="69"/>
      <c r="AB2298" s="69"/>
      <c r="AC2298" s="69"/>
      <c r="AD2298" s="69"/>
      <c r="AE2298" s="69"/>
    </row>
    <row r="2299" spans="1:31" ht="22.5" customHeight="1">
      <c r="A2299" s="69"/>
      <c r="B2299" s="69"/>
      <c r="C2299" s="69"/>
      <c r="D2299" s="69"/>
      <c r="E2299" s="185"/>
      <c r="F2299" s="69"/>
      <c r="G2299" s="185"/>
      <c r="H2299" s="69"/>
      <c r="I2299" s="69"/>
      <c r="J2299" s="69"/>
      <c r="K2299" s="69"/>
      <c r="L2299" s="69"/>
      <c r="M2299" s="69"/>
      <c r="N2299" s="69"/>
      <c r="O2299" s="69"/>
      <c r="P2299" s="69"/>
      <c r="Q2299" s="69"/>
      <c r="R2299" s="69"/>
      <c r="S2299" s="69"/>
      <c r="T2299" s="69"/>
      <c r="U2299" s="69"/>
      <c r="V2299" s="69"/>
      <c r="W2299" s="69"/>
      <c r="X2299" s="69"/>
      <c r="Y2299" s="69"/>
      <c r="Z2299" s="69"/>
      <c r="AA2299" s="69"/>
      <c r="AB2299" s="69"/>
      <c r="AC2299" s="69"/>
      <c r="AD2299" s="69"/>
      <c r="AE2299" s="69"/>
    </row>
    <row r="2300" spans="1:31" ht="22.5" customHeight="1">
      <c r="A2300" s="69"/>
      <c r="B2300" s="69"/>
      <c r="C2300" s="69"/>
      <c r="D2300" s="69"/>
      <c r="E2300" s="185"/>
      <c r="F2300" s="69"/>
      <c r="G2300" s="185"/>
      <c r="H2300" s="69"/>
      <c r="I2300" s="69"/>
      <c r="J2300" s="69"/>
      <c r="K2300" s="69"/>
      <c r="L2300" s="69"/>
      <c r="M2300" s="69"/>
      <c r="N2300" s="69"/>
      <c r="O2300" s="69"/>
      <c r="P2300" s="69"/>
      <c r="Q2300" s="69"/>
      <c r="R2300" s="69"/>
      <c r="S2300" s="69"/>
      <c r="T2300" s="69"/>
      <c r="U2300" s="69"/>
      <c r="V2300" s="69"/>
      <c r="W2300" s="69"/>
      <c r="X2300" s="69"/>
      <c r="Y2300" s="69"/>
      <c r="Z2300" s="69"/>
      <c r="AA2300" s="69"/>
      <c r="AB2300" s="69"/>
      <c r="AC2300" s="69"/>
      <c r="AD2300" s="69"/>
      <c r="AE2300" s="69"/>
    </row>
    <row r="2301" spans="1:31" ht="22.5" customHeight="1">
      <c r="A2301" s="69"/>
      <c r="B2301" s="69"/>
      <c r="C2301" s="69"/>
      <c r="D2301" s="69"/>
      <c r="E2301" s="185"/>
      <c r="F2301" s="69"/>
      <c r="G2301" s="185"/>
      <c r="H2301" s="69"/>
      <c r="I2301" s="69"/>
      <c r="J2301" s="69"/>
      <c r="K2301" s="69"/>
      <c r="L2301" s="69"/>
      <c r="M2301" s="69"/>
      <c r="N2301" s="69"/>
      <c r="O2301" s="69"/>
      <c r="P2301" s="69"/>
      <c r="Q2301" s="69"/>
      <c r="R2301" s="69"/>
      <c r="S2301" s="69"/>
      <c r="T2301" s="69"/>
      <c r="U2301" s="69"/>
      <c r="V2301" s="69"/>
      <c r="W2301" s="69"/>
      <c r="X2301" s="69"/>
      <c r="Y2301" s="69"/>
      <c r="Z2301" s="69"/>
      <c r="AA2301" s="69"/>
      <c r="AB2301" s="69"/>
      <c r="AC2301" s="69"/>
      <c r="AD2301" s="69"/>
      <c r="AE2301" s="69"/>
    </row>
    <row r="2302" spans="1:31" ht="22.5" customHeight="1">
      <c r="A2302" s="69"/>
      <c r="B2302" s="69"/>
      <c r="C2302" s="69"/>
      <c r="D2302" s="69"/>
      <c r="E2302" s="185"/>
      <c r="F2302" s="69"/>
      <c r="G2302" s="185"/>
      <c r="H2302" s="69"/>
      <c r="I2302" s="69"/>
      <c r="J2302" s="69"/>
      <c r="K2302" s="69"/>
      <c r="L2302" s="69"/>
      <c r="M2302" s="69"/>
      <c r="N2302" s="69"/>
      <c r="O2302" s="69"/>
      <c r="P2302" s="69"/>
      <c r="Q2302" s="69"/>
      <c r="R2302" s="69"/>
      <c r="S2302" s="69"/>
      <c r="T2302" s="69"/>
      <c r="U2302" s="69"/>
      <c r="V2302" s="69"/>
      <c r="W2302" s="69"/>
      <c r="X2302" s="69"/>
      <c r="Y2302" s="69"/>
      <c r="Z2302" s="69"/>
      <c r="AA2302" s="69"/>
      <c r="AB2302" s="69"/>
      <c r="AC2302" s="69"/>
      <c r="AD2302" s="69"/>
      <c r="AE2302" s="69"/>
    </row>
    <row r="2303" spans="1:31" ht="22.5" customHeight="1">
      <c r="A2303" s="69"/>
      <c r="B2303" s="69"/>
      <c r="C2303" s="69"/>
      <c r="D2303" s="69"/>
      <c r="E2303" s="185"/>
      <c r="F2303" s="69"/>
      <c r="G2303" s="185"/>
      <c r="H2303" s="69"/>
      <c r="I2303" s="69"/>
      <c r="J2303" s="69"/>
      <c r="K2303" s="69"/>
      <c r="L2303" s="69"/>
      <c r="M2303" s="69"/>
      <c r="N2303" s="69"/>
      <c r="O2303" s="69"/>
      <c r="P2303" s="69"/>
      <c r="Q2303" s="69"/>
      <c r="R2303" s="69"/>
      <c r="S2303" s="69"/>
      <c r="T2303" s="69"/>
      <c r="U2303" s="69"/>
      <c r="V2303" s="69"/>
      <c r="W2303" s="69"/>
      <c r="X2303" s="69"/>
      <c r="Y2303" s="69"/>
      <c r="Z2303" s="69"/>
      <c r="AA2303" s="69"/>
      <c r="AB2303" s="69"/>
      <c r="AC2303" s="69"/>
      <c r="AD2303" s="69"/>
      <c r="AE2303" s="69"/>
    </row>
    <row r="2304" spans="1:31" ht="22.5" customHeight="1">
      <c r="A2304" s="69"/>
      <c r="B2304" s="69"/>
      <c r="C2304" s="69"/>
      <c r="D2304" s="69"/>
      <c r="E2304" s="185"/>
      <c r="F2304" s="69"/>
      <c r="G2304" s="185"/>
      <c r="H2304" s="69"/>
      <c r="I2304" s="69"/>
      <c r="J2304" s="69"/>
      <c r="K2304" s="69"/>
      <c r="L2304" s="69"/>
      <c r="M2304" s="69"/>
      <c r="N2304" s="69"/>
      <c r="O2304" s="69"/>
      <c r="P2304" s="69"/>
      <c r="Q2304" s="69"/>
      <c r="R2304" s="69"/>
      <c r="S2304" s="69"/>
      <c r="T2304" s="69"/>
      <c r="U2304" s="69"/>
      <c r="V2304" s="69"/>
      <c r="W2304" s="69"/>
      <c r="X2304" s="69"/>
      <c r="Y2304" s="69"/>
      <c r="Z2304" s="69"/>
      <c r="AA2304" s="69"/>
      <c r="AB2304" s="69"/>
      <c r="AC2304" s="69"/>
      <c r="AD2304" s="69"/>
      <c r="AE2304" s="69"/>
    </row>
    <row r="2305" spans="1:31" ht="22.5" customHeight="1">
      <c r="A2305" s="69"/>
      <c r="B2305" s="69"/>
      <c r="C2305" s="69"/>
      <c r="D2305" s="69"/>
      <c r="E2305" s="185"/>
      <c r="F2305" s="69"/>
      <c r="G2305" s="185"/>
      <c r="H2305" s="69"/>
      <c r="I2305" s="69"/>
      <c r="J2305" s="69"/>
      <c r="K2305" s="69"/>
      <c r="L2305" s="69"/>
      <c r="M2305" s="69"/>
      <c r="N2305" s="69"/>
      <c r="O2305" s="69"/>
      <c r="P2305" s="69"/>
      <c r="Q2305" s="69"/>
      <c r="R2305" s="69"/>
      <c r="S2305" s="69"/>
      <c r="T2305" s="69"/>
      <c r="U2305" s="69"/>
      <c r="V2305" s="69"/>
      <c r="W2305" s="69"/>
      <c r="X2305" s="69"/>
      <c r="Y2305" s="69"/>
      <c r="Z2305" s="69"/>
      <c r="AA2305" s="69"/>
      <c r="AB2305" s="69"/>
      <c r="AC2305" s="69"/>
      <c r="AD2305" s="69"/>
      <c r="AE2305" s="69"/>
    </row>
    <row r="2306" spans="1:31" ht="22.5" customHeight="1">
      <c r="A2306" s="69"/>
      <c r="B2306" s="69"/>
      <c r="C2306" s="69"/>
      <c r="D2306" s="69"/>
      <c r="E2306" s="185"/>
      <c r="F2306" s="69"/>
      <c r="G2306" s="185"/>
      <c r="H2306" s="69"/>
      <c r="I2306" s="69"/>
      <c r="J2306" s="69"/>
      <c r="K2306" s="69"/>
      <c r="L2306" s="69"/>
      <c r="M2306" s="69"/>
      <c r="N2306" s="69"/>
      <c r="O2306" s="69"/>
      <c r="P2306" s="69"/>
      <c r="Q2306" s="69"/>
      <c r="R2306" s="69"/>
      <c r="S2306" s="69"/>
      <c r="T2306" s="69"/>
      <c r="U2306" s="69"/>
      <c r="V2306" s="69"/>
      <c r="W2306" s="69"/>
      <c r="X2306" s="69"/>
      <c r="Y2306" s="69"/>
      <c r="Z2306" s="69"/>
      <c r="AA2306" s="69"/>
      <c r="AB2306" s="69"/>
      <c r="AC2306" s="69"/>
      <c r="AD2306" s="69"/>
      <c r="AE2306" s="69"/>
    </row>
    <row r="2307" spans="1:31" ht="22.5" customHeight="1">
      <c r="A2307" s="69"/>
      <c r="B2307" s="69"/>
      <c r="C2307" s="69"/>
      <c r="D2307" s="69"/>
      <c r="E2307" s="185"/>
      <c r="F2307" s="69"/>
      <c r="G2307" s="185"/>
      <c r="H2307" s="69"/>
      <c r="I2307" s="69"/>
      <c r="J2307" s="69"/>
      <c r="K2307" s="69"/>
      <c r="L2307" s="69"/>
      <c r="M2307" s="69"/>
      <c r="N2307" s="69"/>
      <c r="O2307" s="69"/>
      <c r="P2307" s="69"/>
      <c r="Q2307" s="69"/>
      <c r="R2307" s="69"/>
      <c r="S2307" s="69"/>
      <c r="T2307" s="69"/>
      <c r="U2307" s="69"/>
      <c r="V2307" s="69"/>
      <c r="W2307" s="69"/>
      <c r="X2307" s="69"/>
      <c r="Y2307" s="69"/>
      <c r="Z2307" s="69"/>
      <c r="AA2307" s="69"/>
      <c r="AB2307" s="69"/>
      <c r="AC2307" s="69"/>
      <c r="AD2307" s="69"/>
      <c r="AE2307" s="69"/>
    </row>
    <row r="2308" spans="1:31" ht="22.5" customHeight="1">
      <c r="A2308" s="69"/>
      <c r="B2308" s="69"/>
      <c r="C2308" s="69"/>
      <c r="D2308" s="69"/>
      <c r="E2308" s="185"/>
      <c r="F2308" s="69"/>
      <c r="G2308" s="185"/>
      <c r="H2308" s="69"/>
      <c r="I2308" s="69"/>
      <c r="J2308" s="69"/>
      <c r="K2308" s="69"/>
      <c r="L2308" s="69"/>
      <c r="M2308" s="69"/>
      <c r="N2308" s="69"/>
      <c r="O2308" s="69"/>
      <c r="P2308" s="69"/>
      <c r="Q2308" s="69"/>
      <c r="R2308" s="69"/>
      <c r="S2308" s="69"/>
      <c r="T2308" s="69"/>
      <c r="U2308" s="69"/>
      <c r="V2308" s="69"/>
      <c r="W2308" s="69"/>
      <c r="X2308" s="69"/>
      <c r="Y2308" s="69"/>
      <c r="Z2308" s="69"/>
      <c r="AA2308" s="69"/>
      <c r="AB2308" s="69"/>
      <c r="AC2308" s="69"/>
      <c r="AD2308" s="69"/>
      <c r="AE2308" s="69"/>
    </row>
    <row r="2309" spans="1:31" ht="22.5" customHeight="1">
      <c r="A2309" s="69"/>
      <c r="B2309" s="69"/>
      <c r="C2309" s="69"/>
      <c r="D2309" s="69"/>
      <c r="E2309" s="185"/>
      <c r="F2309" s="69"/>
      <c r="G2309" s="185"/>
      <c r="H2309" s="69"/>
      <c r="I2309" s="69"/>
      <c r="J2309" s="69"/>
      <c r="K2309" s="69"/>
      <c r="L2309" s="69"/>
      <c r="M2309" s="69"/>
      <c r="N2309" s="69"/>
      <c r="O2309" s="69"/>
      <c r="P2309" s="69"/>
      <c r="Q2309" s="69"/>
      <c r="R2309" s="69"/>
      <c r="S2309" s="69"/>
      <c r="T2309" s="69"/>
      <c r="U2309" s="69"/>
      <c r="V2309" s="69"/>
      <c r="W2309" s="69"/>
      <c r="X2309" s="69"/>
      <c r="Y2309" s="69"/>
      <c r="Z2309" s="69"/>
      <c r="AA2309" s="69"/>
      <c r="AB2309" s="69"/>
      <c r="AC2309" s="69"/>
      <c r="AD2309" s="69"/>
      <c r="AE2309" s="69"/>
    </row>
    <row r="2310" spans="1:31" ht="22.5" customHeight="1">
      <c r="A2310" s="69"/>
      <c r="B2310" s="69"/>
      <c r="C2310" s="69"/>
      <c r="D2310" s="69"/>
      <c r="E2310" s="185"/>
      <c r="F2310" s="69"/>
      <c r="G2310" s="185"/>
      <c r="H2310" s="69"/>
      <c r="I2310" s="69"/>
      <c r="J2310" s="69"/>
      <c r="K2310" s="69"/>
      <c r="L2310" s="69"/>
      <c r="M2310" s="69"/>
      <c r="N2310" s="69"/>
      <c r="O2310" s="69"/>
      <c r="P2310" s="69"/>
      <c r="Q2310" s="69"/>
      <c r="R2310" s="69"/>
      <c r="S2310" s="69"/>
      <c r="T2310" s="69"/>
      <c r="U2310" s="69"/>
      <c r="V2310" s="69"/>
      <c r="W2310" s="69"/>
      <c r="X2310" s="69"/>
      <c r="Y2310" s="69"/>
      <c r="Z2310" s="69"/>
      <c r="AA2310" s="69"/>
      <c r="AB2310" s="69"/>
      <c r="AC2310" s="69"/>
      <c r="AD2310" s="69"/>
      <c r="AE2310" s="69"/>
    </row>
    <row r="2311" spans="1:31" ht="22.5" customHeight="1">
      <c r="A2311" s="69"/>
      <c r="B2311" s="69"/>
      <c r="C2311" s="69"/>
      <c r="D2311" s="69"/>
      <c r="E2311" s="185"/>
      <c r="F2311" s="69"/>
      <c r="G2311" s="185"/>
      <c r="H2311" s="69"/>
      <c r="I2311" s="69"/>
      <c r="J2311" s="69"/>
      <c r="K2311" s="69"/>
      <c r="L2311" s="69"/>
      <c r="M2311" s="69"/>
      <c r="N2311" s="69"/>
      <c r="O2311" s="69"/>
      <c r="P2311" s="69"/>
      <c r="Q2311" s="69"/>
      <c r="R2311" s="69"/>
      <c r="S2311" s="69"/>
      <c r="T2311" s="69"/>
      <c r="U2311" s="69"/>
      <c r="V2311" s="69"/>
      <c r="W2311" s="69"/>
      <c r="X2311" s="69"/>
      <c r="Y2311" s="69"/>
      <c r="Z2311" s="69"/>
      <c r="AA2311" s="69"/>
      <c r="AB2311" s="69"/>
      <c r="AC2311" s="69"/>
      <c r="AD2311" s="69"/>
      <c r="AE2311" s="69"/>
    </row>
    <row r="2312" spans="1:31" ht="22.5" customHeight="1">
      <c r="A2312" s="69"/>
      <c r="B2312" s="69"/>
      <c r="C2312" s="69"/>
      <c r="D2312" s="69"/>
      <c r="E2312" s="185"/>
      <c r="F2312" s="69"/>
      <c r="G2312" s="185"/>
      <c r="H2312" s="69"/>
      <c r="I2312" s="69"/>
      <c r="J2312" s="69"/>
      <c r="K2312" s="69"/>
      <c r="L2312" s="69"/>
      <c r="M2312" s="69"/>
      <c r="N2312" s="69"/>
      <c r="O2312" s="69"/>
      <c r="P2312" s="69"/>
      <c r="Q2312" s="69"/>
      <c r="R2312" s="69"/>
      <c r="S2312" s="69"/>
      <c r="T2312" s="69"/>
      <c r="U2312" s="69"/>
      <c r="V2312" s="69"/>
      <c r="W2312" s="69"/>
      <c r="X2312" s="69"/>
      <c r="Y2312" s="69"/>
      <c r="Z2312" s="69"/>
      <c r="AA2312" s="69"/>
      <c r="AB2312" s="69"/>
      <c r="AC2312" s="69"/>
      <c r="AD2312" s="69"/>
      <c r="AE2312" s="69"/>
    </row>
    <row r="2313" spans="1:31" ht="22.5" customHeight="1">
      <c r="A2313" s="69"/>
      <c r="B2313" s="69"/>
      <c r="C2313" s="69"/>
      <c r="D2313" s="69"/>
      <c r="E2313" s="185"/>
      <c r="F2313" s="69"/>
      <c r="G2313" s="185"/>
      <c r="H2313" s="69"/>
      <c r="I2313" s="69"/>
      <c r="J2313" s="69"/>
      <c r="K2313" s="69"/>
      <c r="L2313" s="69"/>
      <c r="M2313" s="69"/>
      <c r="N2313" s="69"/>
      <c r="O2313" s="69"/>
      <c r="P2313" s="69"/>
      <c r="Q2313" s="69"/>
      <c r="R2313" s="69"/>
      <c r="S2313" s="69"/>
      <c r="T2313" s="69"/>
      <c r="U2313" s="69"/>
      <c r="V2313" s="69"/>
      <c r="W2313" s="69"/>
      <c r="X2313" s="69"/>
      <c r="Y2313" s="69"/>
      <c r="Z2313" s="69"/>
      <c r="AA2313" s="69"/>
      <c r="AB2313" s="69"/>
      <c r="AC2313" s="69"/>
      <c r="AD2313" s="69"/>
      <c r="AE2313" s="69"/>
    </row>
    <row r="2314" spans="1:31" ht="22.5" customHeight="1">
      <c r="A2314" s="69"/>
      <c r="B2314" s="69"/>
      <c r="C2314" s="69"/>
      <c r="D2314" s="69"/>
      <c r="E2314" s="185"/>
      <c r="F2314" s="69"/>
      <c r="G2314" s="185"/>
      <c r="H2314" s="69"/>
      <c r="I2314" s="69"/>
      <c r="J2314" s="69"/>
      <c r="K2314" s="69"/>
      <c r="L2314" s="69"/>
      <c r="M2314" s="69"/>
      <c r="N2314" s="69"/>
      <c r="O2314" s="69"/>
      <c r="P2314" s="69"/>
      <c r="Q2314" s="69"/>
      <c r="R2314" s="69"/>
      <c r="S2314" s="69"/>
      <c r="T2314" s="69"/>
      <c r="U2314" s="69"/>
      <c r="V2314" s="69"/>
      <c r="W2314" s="69"/>
      <c r="X2314" s="69"/>
      <c r="Y2314" s="69"/>
      <c r="Z2314" s="69"/>
      <c r="AA2314" s="69"/>
      <c r="AB2314" s="69"/>
      <c r="AC2314" s="69"/>
      <c r="AD2314" s="69"/>
      <c r="AE2314" s="69"/>
    </row>
    <row r="2315" spans="1:31" ht="22.5" customHeight="1">
      <c r="A2315" s="69"/>
      <c r="B2315" s="69"/>
      <c r="C2315" s="69"/>
      <c r="D2315" s="69"/>
      <c r="E2315" s="185"/>
      <c r="F2315" s="69"/>
      <c r="G2315" s="185"/>
      <c r="H2315" s="69"/>
      <c r="I2315" s="69"/>
      <c r="J2315" s="69"/>
      <c r="K2315" s="69"/>
      <c r="L2315" s="69"/>
      <c r="M2315" s="69"/>
      <c r="N2315" s="69"/>
      <c r="O2315" s="69"/>
      <c r="P2315" s="69"/>
      <c r="Q2315" s="69"/>
      <c r="R2315" s="69"/>
      <c r="S2315" s="69"/>
      <c r="T2315" s="69"/>
      <c r="U2315" s="69"/>
      <c r="V2315" s="69"/>
      <c r="W2315" s="69"/>
      <c r="X2315" s="69"/>
      <c r="Y2315" s="69"/>
      <c r="Z2315" s="69"/>
      <c r="AA2315" s="69"/>
      <c r="AB2315" s="69"/>
      <c r="AC2315" s="69"/>
      <c r="AD2315" s="69"/>
      <c r="AE2315" s="69"/>
    </row>
    <row r="2316" spans="1:31" ht="22.5" customHeight="1">
      <c r="A2316" s="69"/>
      <c r="B2316" s="69"/>
      <c r="C2316" s="69"/>
      <c r="D2316" s="69"/>
      <c r="E2316" s="185"/>
      <c r="F2316" s="69"/>
      <c r="G2316" s="185"/>
      <c r="H2316" s="69"/>
      <c r="I2316" s="69"/>
      <c r="J2316" s="69"/>
      <c r="K2316" s="69"/>
      <c r="L2316" s="69"/>
      <c r="M2316" s="69"/>
      <c r="N2316" s="69"/>
      <c r="O2316" s="69"/>
      <c r="P2316" s="69"/>
      <c r="Q2316" s="69"/>
      <c r="R2316" s="69"/>
      <c r="S2316" s="69"/>
      <c r="T2316" s="69"/>
      <c r="U2316" s="69"/>
      <c r="V2316" s="69"/>
      <c r="W2316" s="69"/>
      <c r="X2316" s="69"/>
      <c r="Y2316" s="69"/>
      <c r="Z2316" s="69"/>
      <c r="AA2316" s="69"/>
      <c r="AB2316" s="69"/>
      <c r="AC2316" s="69"/>
      <c r="AD2316" s="69"/>
      <c r="AE2316" s="69"/>
    </row>
    <row r="2317" spans="1:31" ht="22.5" customHeight="1">
      <c r="A2317" s="69"/>
      <c r="B2317" s="69"/>
      <c r="C2317" s="69"/>
      <c r="D2317" s="69"/>
      <c r="E2317" s="185"/>
      <c r="F2317" s="69"/>
      <c r="G2317" s="185"/>
      <c r="H2317" s="69"/>
      <c r="I2317" s="69"/>
      <c r="J2317" s="69"/>
      <c r="K2317" s="69"/>
      <c r="L2317" s="69"/>
      <c r="M2317" s="69"/>
      <c r="N2317" s="69"/>
      <c r="O2317" s="69"/>
      <c r="P2317" s="69"/>
      <c r="Q2317" s="69"/>
      <c r="R2317" s="69"/>
      <c r="S2317" s="69"/>
      <c r="T2317" s="69"/>
      <c r="U2317" s="69"/>
      <c r="V2317" s="69"/>
      <c r="W2317" s="69"/>
      <c r="X2317" s="69"/>
      <c r="Y2317" s="69"/>
      <c r="Z2317" s="69"/>
      <c r="AA2317" s="69"/>
      <c r="AB2317" s="69"/>
      <c r="AC2317" s="69"/>
      <c r="AD2317" s="69"/>
      <c r="AE2317" s="69"/>
    </row>
    <row r="2318" spans="1:31" ht="22.5" customHeight="1">
      <c r="A2318" s="69"/>
      <c r="B2318" s="69"/>
      <c r="C2318" s="69"/>
      <c r="D2318" s="69"/>
      <c r="E2318" s="185"/>
      <c r="F2318" s="69"/>
      <c r="G2318" s="185"/>
      <c r="H2318" s="69"/>
      <c r="I2318" s="69"/>
      <c r="J2318" s="69"/>
      <c r="K2318" s="69"/>
      <c r="L2318" s="69"/>
      <c r="M2318" s="69"/>
      <c r="N2318" s="69"/>
      <c r="O2318" s="69"/>
      <c r="P2318" s="69"/>
      <c r="Q2318" s="69"/>
      <c r="R2318" s="69"/>
      <c r="S2318" s="69"/>
      <c r="T2318" s="69"/>
      <c r="U2318" s="69"/>
      <c r="V2318" s="69"/>
      <c r="W2318" s="69"/>
      <c r="X2318" s="69"/>
      <c r="Y2318" s="69"/>
      <c r="Z2318" s="69"/>
      <c r="AA2318" s="69"/>
      <c r="AB2318" s="69"/>
      <c r="AC2318" s="69"/>
      <c r="AD2318" s="69"/>
      <c r="AE2318" s="69"/>
    </row>
    <row r="2319" spans="1:31" ht="22.5" customHeight="1">
      <c r="A2319" s="69"/>
      <c r="B2319" s="69"/>
      <c r="C2319" s="69"/>
      <c r="D2319" s="69"/>
      <c r="E2319" s="185"/>
      <c r="F2319" s="69"/>
      <c r="G2319" s="185"/>
      <c r="H2319" s="69"/>
      <c r="I2319" s="69"/>
      <c r="J2319" s="69"/>
      <c r="K2319" s="69"/>
      <c r="L2319" s="69"/>
      <c r="M2319" s="69"/>
      <c r="N2319" s="69"/>
      <c r="O2319" s="69"/>
      <c r="P2319" s="69"/>
      <c r="Q2319" s="69"/>
      <c r="R2319" s="69"/>
      <c r="S2319" s="69"/>
      <c r="T2319" s="69"/>
      <c r="U2319" s="69"/>
      <c r="V2319" s="69"/>
      <c r="W2319" s="69"/>
      <c r="X2319" s="69"/>
      <c r="Y2319" s="69"/>
      <c r="Z2319" s="69"/>
      <c r="AA2319" s="69"/>
      <c r="AB2319" s="69"/>
      <c r="AC2319" s="69"/>
      <c r="AD2319" s="69"/>
      <c r="AE2319" s="69"/>
    </row>
    <row r="2320" spans="1:31" ht="22.5" customHeight="1">
      <c r="A2320" s="69"/>
      <c r="B2320" s="69"/>
      <c r="C2320" s="69"/>
      <c r="D2320" s="69"/>
      <c r="E2320" s="185"/>
      <c r="F2320" s="69"/>
      <c r="G2320" s="185"/>
      <c r="H2320" s="69"/>
      <c r="I2320" s="69"/>
      <c r="J2320" s="69"/>
      <c r="K2320" s="69"/>
      <c r="L2320" s="69"/>
      <c r="M2320" s="69"/>
      <c r="N2320" s="69"/>
      <c r="O2320" s="69"/>
      <c r="P2320" s="69"/>
      <c r="Q2320" s="69"/>
      <c r="R2320" s="69"/>
      <c r="S2320" s="69"/>
      <c r="T2320" s="69"/>
      <c r="U2320" s="69"/>
      <c r="V2320" s="69"/>
      <c r="W2320" s="69"/>
      <c r="X2320" s="69"/>
      <c r="Y2320" s="69"/>
      <c r="Z2320" s="69"/>
      <c r="AA2320" s="69"/>
      <c r="AB2320" s="69"/>
      <c r="AC2320" s="69"/>
      <c r="AD2320" s="69"/>
      <c r="AE2320" s="69"/>
    </row>
    <row r="2321" spans="1:31" ht="22.5" customHeight="1">
      <c r="A2321" s="69"/>
      <c r="B2321" s="69"/>
      <c r="C2321" s="69"/>
      <c r="D2321" s="69"/>
      <c r="E2321" s="185"/>
      <c r="F2321" s="69"/>
      <c r="G2321" s="185"/>
      <c r="H2321" s="69"/>
      <c r="I2321" s="69"/>
      <c r="J2321" s="69"/>
      <c r="K2321" s="69"/>
      <c r="L2321" s="69"/>
      <c r="M2321" s="69"/>
      <c r="N2321" s="69"/>
      <c r="O2321" s="69"/>
      <c r="P2321" s="69"/>
      <c r="Q2321" s="69"/>
      <c r="R2321" s="69"/>
      <c r="S2321" s="69"/>
      <c r="T2321" s="69"/>
      <c r="U2321" s="69"/>
      <c r="V2321" s="69"/>
      <c r="W2321" s="69"/>
      <c r="X2321" s="69"/>
      <c r="Y2321" s="69"/>
      <c r="Z2321" s="69"/>
      <c r="AA2321" s="69"/>
      <c r="AB2321" s="69"/>
      <c r="AC2321" s="69"/>
      <c r="AD2321" s="69"/>
      <c r="AE2321" s="69"/>
    </row>
    <row r="2322" spans="1:31" ht="22.5" customHeight="1">
      <c r="A2322" s="69"/>
      <c r="B2322" s="69"/>
      <c r="C2322" s="69"/>
      <c r="D2322" s="69"/>
      <c r="E2322" s="185"/>
      <c r="F2322" s="69"/>
      <c r="G2322" s="185"/>
      <c r="H2322" s="69"/>
      <c r="I2322" s="69"/>
      <c r="J2322" s="69"/>
      <c r="K2322" s="69"/>
      <c r="L2322" s="69"/>
      <c r="M2322" s="69"/>
      <c r="N2322" s="69"/>
      <c r="O2322" s="69"/>
      <c r="P2322" s="69"/>
      <c r="Q2322" s="69"/>
      <c r="R2322" s="69"/>
      <c r="S2322" s="69"/>
      <c r="T2322" s="69"/>
      <c r="U2322" s="69"/>
      <c r="V2322" s="69"/>
      <c r="W2322" s="69"/>
      <c r="X2322" s="69"/>
      <c r="Y2322" s="69"/>
      <c r="Z2322" s="69"/>
      <c r="AA2322" s="69"/>
      <c r="AB2322" s="69"/>
      <c r="AC2322" s="69"/>
      <c r="AD2322" s="69"/>
      <c r="AE2322" s="69"/>
    </row>
    <row r="2323" spans="1:31" ht="22.5" customHeight="1">
      <c r="A2323" s="69"/>
      <c r="B2323" s="69"/>
      <c r="C2323" s="69"/>
      <c r="D2323" s="69"/>
      <c r="E2323" s="185"/>
      <c r="F2323" s="69"/>
      <c r="G2323" s="185"/>
      <c r="H2323" s="69"/>
      <c r="I2323" s="69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  <c r="Z2323" s="69"/>
      <c r="AA2323" s="69"/>
      <c r="AB2323" s="69"/>
      <c r="AC2323" s="69"/>
      <c r="AD2323" s="69"/>
      <c r="AE2323" s="69"/>
    </row>
    <row r="2324" spans="1:31" ht="22.5" customHeight="1">
      <c r="A2324" s="69"/>
      <c r="B2324" s="69"/>
      <c r="C2324" s="69"/>
      <c r="D2324" s="69"/>
      <c r="E2324" s="185"/>
      <c r="F2324" s="69"/>
      <c r="G2324" s="185"/>
      <c r="H2324" s="69"/>
      <c r="I2324" s="69"/>
      <c r="J2324" s="69"/>
      <c r="K2324" s="69"/>
      <c r="L2324" s="69"/>
      <c r="M2324" s="69"/>
      <c r="N2324" s="69"/>
      <c r="O2324" s="69"/>
      <c r="P2324" s="69"/>
      <c r="Q2324" s="69"/>
      <c r="R2324" s="69"/>
      <c r="S2324" s="69"/>
      <c r="T2324" s="69"/>
      <c r="U2324" s="69"/>
      <c r="V2324" s="69"/>
      <c r="W2324" s="69"/>
      <c r="X2324" s="69"/>
      <c r="Y2324" s="69"/>
      <c r="Z2324" s="69"/>
      <c r="AA2324" s="69"/>
      <c r="AB2324" s="69"/>
      <c r="AC2324" s="69"/>
      <c r="AD2324" s="69"/>
      <c r="AE2324" s="69"/>
    </row>
    <row r="2325" spans="1:31" ht="22.5" customHeight="1">
      <c r="A2325" s="69"/>
      <c r="B2325" s="69"/>
      <c r="C2325" s="69"/>
      <c r="D2325" s="69"/>
      <c r="E2325" s="185"/>
      <c r="F2325" s="69"/>
      <c r="G2325" s="185"/>
      <c r="H2325" s="69"/>
      <c r="I2325" s="69"/>
      <c r="J2325" s="69"/>
      <c r="K2325" s="69"/>
      <c r="L2325" s="69"/>
      <c r="M2325" s="69"/>
      <c r="N2325" s="69"/>
      <c r="O2325" s="69"/>
      <c r="P2325" s="69"/>
      <c r="Q2325" s="69"/>
      <c r="R2325" s="69"/>
      <c r="S2325" s="69"/>
      <c r="T2325" s="69"/>
      <c r="U2325" s="69"/>
      <c r="V2325" s="69"/>
      <c r="W2325" s="69"/>
      <c r="X2325" s="69"/>
      <c r="Y2325" s="69"/>
      <c r="Z2325" s="69"/>
      <c r="AA2325" s="69"/>
      <c r="AB2325" s="69"/>
      <c r="AC2325" s="69"/>
      <c r="AD2325" s="69"/>
      <c r="AE2325" s="69"/>
    </row>
    <row r="2326" spans="1:31" ht="22.5" customHeight="1">
      <c r="A2326" s="69"/>
      <c r="B2326" s="69"/>
      <c r="C2326" s="69"/>
      <c r="D2326" s="69"/>
      <c r="E2326" s="185"/>
      <c r="F2326" s="69"/>
      <c r="G2326" s="185"/>
      <c r="H2326" s="69"/>
      <c r="I2326" s="69"/>
      <c r="J2326" s="69"/>
      <c r="K2326" s="69"/>
      <c r="L2326" s="69"/>
      <c r="M2326" s="69"/>
      <c r="N2326" s="69"/>
      <c r="O2326" s="69"/>
      <c r="P2326" s="69"/>
      <c r="Q2326" s="69"/>
      <c r="R2326" s="69"/>
      <c r="S2326" s="69"/>
      <c r="T2326" s="69"/>
      <c r="U2326" s="69"/>
      <c r="V2326" s="69"/>
      <c r="W2326" s="69"/>
      <c r="X2326" s="69"/>
      <c r="Y2326" s="69"/>
      <c r="Z2326" s="69"/>
      <c r="AA2326" s="69"/>
      <c r="AB2326" s="69"/>
      <c r="AC2326" s="69"/>
      <c r="AD2326" s="69"/>
      <c r="AE2326" s="69"/>
    </row>
    <row r="2327" spans="1:31" ht="22.5" customHeight="1">
      <c r="A2327" s="69"/>
      <c r="B2327" s="69"/>
      <c r="C2327" s="69"/>
      <c r="D2327" s="69"/>
      <c r="E2327" s="185"/>
      <c r="F2327" s="69"/>
      <c r="G2327" s="185"/>
      <c r="H2327" s="69"/>
      <c r="I2327" s="69"/>
      <c r="J2327" s="69"/>
      <c r="K2327" s="69"/>
      <c r="L2327" s="69"/>
      <c r="M2327" s="69"/>
      <c r="N2327" s="69"/>
      <c r="O2327" s="69"/>
      <c r="P2327" s="69"/>
      <c r="Q2327" s="69"/>
      <c r="R2327" s="69"/>
      <c r="S2327" s="69"/>
      <c r="T2327" s="69"/>
      <c r="U2327" s="69"/>
      <c r="V2327" s="69"/>
      <c r="W2327" s="69"/>
      <c r="X2327" s="69"/>
      <c r="Y2327" s="69"/>
      <c r="Z2327" s="69"/>
      <c r="AA2327" s="69"/>
      <c r="AB2327" s="69"/>
      <c r="AC2327" s="69"/>
      <c r="AD2327" s="69"/>
      <c r="AE2327" s="69"/>
    </row>
    <row r="2328" spans="1:31" ht="22.5" customHeight="1">
      <c r="A2328" s="69"/>
      <c r="B2328" s="69"/>
      <c r="C2328" s="69"/>
      <c r="D2328" s="69"/>
      <c r="E2328" s="185"/>
      <c r="F2328" s="69"/>
      <c r="G2328" s="185"/>
      <c r="H2328" s="69"/>
      <c r="I2328" s="69"/>
      <c r="J2328" s="69"/>
      <c r="K2328" s="69"/>
      <c r="L2328" s="69"/>
      <c r="M2328" s="69"/>
      <c r="N2328" s="69"/>
      <c r="O2328" s="69"/>
      <c r="P2328" s="69"/>
      <c r="Q2328" s="69"/>
      <c r="R2328" s="69"/>
      <c r="S2328" s="69"/>
      <c r="T2328" s="69"/>
      <c r="U2328" s="69"/>
      <c r="V2328" s="69"/>
      <c r="W2328" s="69"/>
      <c r="X2328" s="69"/>
      <c r="Y2328" s="69"/>
      <c r="Z2328" s="69"/>
      <c r="AA2328" s="69"/>
      <c r="AB2328" s="69"/>
      <c r="AC2328" s="69"/>
      <c r="AD2328" s="69"/>
      <c r="AE2328" s="69"/>
    </row>
    <row r="2329" spans="1:31" ht="22.5" customHeight="1">
      <c r="A2329" s="69"/>
      <c r="B2329" s="69"/>
      <c r="C2329" s="69"/>
      <c r="D2329" s="69"/>
      <c r="E2329" s="185"/>
      <c r="F2329" s="69"/>
      <c r="G2329" s="185"/>
      <c r="H2329" s="69"/>
      <c r="I2329" s="69"/>
      <c r="J2329" s="69"/>
      <c r="K2329" s="69"/>
      <c r="L2329" s="69"/>
      <c r="M2329" s="69"/>
      <c r="N2329" s="69"/>
      <c r="O2329" s="69"/>
      <c r="P2329" s="69"/>
      <c r="Q2329" s="69"/>
      <c r="R2329" s="69"/>
      <c r="S2329" s="69"/>
      <c r="T2329" s="69"/>
      <c r="U2329" s="69"/>
      <c r="V2329" s="69"/>
      <c r="W2329" s="69"/>
      <c r="X2329" s="69"/>
      <c r="Y2329" s="69"/>
      <c r="Z2329" s="69"/>
      <c r="AA2329" s="69"/>
      <c r="AB2329" s="69"/>
      <c r="AC2329" s="69"/>
      <c r="AD2329" s="69"/>
      <c r="AE2329" s="69"/>
    </row>
    <row r="2330" spans="1:31" ht="22.5" customHeight="1">
      <c r="A2330" s="69"/>
      <c r="B2330" s="69"/>
      <c r="C2330" s="69"/>
      <c r="D2330" s="69"/>
      <c r="E2330" s="185"/>
      <c r="F2330" s="69"/>
      <c r="G2330" s="185"/>
      <c r="H2330" s="69"/>
      <c r="I2330" s="69"/>
      <c r="J2330" s="69"/>
      <c r="K2330" s="69"/>
      <c r="L2330" s="69"/>
      <c r="M2330" s="69"/>
      <c r="N2330" s="69"/>
      <c r="O2330" s="69"/>
      <c r="P2330" s="69"/>
      <c r="Q2330" s="69"/>
      <c r="R2330" s="69"/>
      <c r="S2330" s="69"/>
      <c r="T2330" s="69"/>
      <c r="U2330" s="69"/>
      <c r="V2330" s="69"/>
      <c r="W2330" s="69"/>
      <c r="X2330" s="69"/>
      <c r="Y2330" s="69"/>
      <c r="Z2330" s="69"/>
      <c r="AA2330" s="69"/>
      <c r="AB2330" s="69"/>
      <c r="AC2330" s="69"/>
      <c r="AD2330" s="69"/>
      <c r="AE2330" s="69"/>
    </row>
    <row r="2331" spans="1:31" ht="22.5" customHeight="1">
      <c r="A2331" s="69"/>
      <c r="B2331" s="69"/>
      <c r="C2331" s="69"/>
      <c r="D2331" s="69"/>
      <c r="E2331" s="185"/>
      <c r="F2331" s="69"/>
      <c r="G2331" s="185"/>
      <c r="H2331" s="69"/>
      <c r="I2331" s="69"/>
      <c r="J2331" s="69"/>
      <c r="K2331" s="69"/>
      <c r="L2331" s="69"/>
      <c r="M2331" s="69"/>
      <c r="N2331" s="69"/>
      <c r="O2331" s="69"/>
      <c r="P2331" s="69"/>
      <c r="Q2331" s="69"/>
      <c r="R2331" s="69"/>
      <c r="S2331" s="69"/>
      <c r="T2331" s="69"/>
      <c r="U2331" s="69"/>
      <c r="V2331" s="69"/>
      <c r="W2331" s="69"/>
      <c r="X2331" s="69"/>
      <c r="Y2331" s="69"/>
      <c r="Z2331" s="69"/>
      <c r="AA2331" s="69"/>
      <c r="AB2331" s="69"/>
      <c r="AC2331" s="69"/>
      <c r="AD2331" s="69"/>
      <c r="AE2331" s="69"/>
    </row>
    <row r="2332" spans="1:31" ht="22.5" customHeight="1">
      <c r="A2332" s="69"/>
      <c r="B2332" s="69"/>
      <c r="C2332" s="69"/>
      <c r="D2332" s="69"/>
      <c r="E2332" s="185"/>
      <c r="F2332" s="69"/>
      <c r="G2332" s="185"/>
      <c r="H2332" s="69"/>
      <c r="I2332" s="69"/>
      <c r="J2332" s="69"/>
      <c r="K2332" s="69"/>
      <c r="L2332" s="69"/>
      <c r="M2332" s="69"/>
      <c r="N2332" s="69"/>
      <c r="O2332" s="69"/>
      <c r="P2332" s="69"/>
      <c r="Q2332" s="69"/>
      <c r="R2332" s="69"/>
      <c r="S2332" s="69"/>
      <c r="T2332" s="69"/>
      <c r="U2332" s="69"/>
      <c r="V2332" s="69"/>
      <c r="W2332" s="69"/>
      <c r="X2332" s="69"/>
      <c r="Y2332" s="69"/>
      <c r="Z2332" s="69"/>
      <c r="AA2332" s="69"/>
      <c r="AB2332" s="69"/>
      <c r="AC2332" s="69"/>
      <c r="AD2332" s="69"/>
      <c r="AE2332" s="69"/>
    </row>
    <row r="2333" spans="1:31" ht="22.5" customHeight="1">
      <c r="A2333" s="69"/>
      <c r="B2333" s="69"/>
      <c r="C2333" s="69"/>
      <c r="D2333" s="69"/>
      <c r="E2333" s="185"/>
      <c r="F2333" s="69"/>
      <c r="G2333" s="185"/>
      <c r="H2333" s="69"/>
      <c r="I2333" s="69"/>
      <c r="J2333" s="69"/>
      <c r="K2333" s="69"/>
      <c r="L2333" s="69"/>
      <c r="M2333" s="69"/>
      <c r="N2333" s="69"/>
      <c r="O2333" s="69"/>
      <c r="P2333" s="69"/>
      <c r="Q2333" s="69"/>
      <c r="R2333" s="69"/>
      <c r="S2333" s="69"/>
      <c r="T2333" s="69"/>
      <c r="U2333" s="69"/>
      <c r="V2333" s="69"/>
      <c r="W2333" s="69"/>
      <c r="X2333" s="69"/>
      <c r="Y2333" s="69"/>
      <c r="Z2333" s="69"/>
      <c r="AA2333" s="69"/>
      <c r="AB2333" s="69"/>
      <c r="AC2333" s="69"/>
      <c r="AD2333" s="69"/>
      <c r="AE2333" s="69"/>
    </row>
    <row r="2334" spans="1:31" ht="22.5" customHeight="1">
      <c r="A2334" s="69"/>
      <c r="B2334" s="69"/>
      <c r="C2334" s="69"/>
      <c r="D2334" s="69"/>
      <c r="E2334" s="185"/>
      <c r="F2334" s="69"/>
      <c r="G2334" s="185"/>
      <c r="H2334" s="69"/>
      <c r="I2334" s="69"/>
      <c r="J2334" s="69"/>
      <c r="K2334" s="69"/>
      <c r="L2334" s="69"/>
      <c r="M2334" s="69"/>
      <c r="N2334" s="69"/>
      <c r="O2334" s="69"/>
      <c r="P2334" s="69"/>
      <c r="Q2334" s="69"/>
      <c r="R2334" s="69"/>
      <c r="S2334" s="69"/>
      <c r="T2334" s="69"/>
      <c r="U2334" s="69"/>
      <c r="V2334" s="69"/>
      <c r="W2334" s="69"/>
      <c r="X2334" s="69"/>
      <c r="Y2334" s="69"/>
      <c r="Z2334" s="69"/>
      <c r="AA2334" s="69"/>
      <c r="AB2334" s="69"/>
      <c r="AC2334" s="69"/>
      <c r="AD2334" s="69"/>
      <c r="AE2334" s="69"/>
    </row>
    <row r="2335" spans="1:31" ht="22.5" customHeight="1">
      <c r="A2335" s="69"/>
      <c r="B2335" s="69"/>
      <c r="C2335" s="69"/>
      <c r="D2335" s="69"/>
      <c r="E2335" s="185"/>
      <c r="F2335" s="69"/>
      <c r="G2335" s="185"/>
      <c r="H2335" s="69"/>
      <c r="I2335" s="69"/>
      <c r="J2335" s="69"/>
      <c r="K2335" s="69"/>
      <c r="L2335" s="69"/>
      <c r="M2335" s="69"/>
      <c r="N2335" s="69"/>
      <c r="O2335" s="69"/>
      <c r="P2335" s="69"/>
      <c r="Q2335" s="69"/>
      <c r="R2335" s="69"/>
      <c r="S2335" s="69"/>
      <c r="T2335" s="69"/>
      <c r="U2335" s="69"/>
      <c r="V2335" s="69"/>
      <c r="W2335" s="69"/>
      <c r="X2335" s="69"/>
      <c r="Y2335" s="69"/>
      <c r="Z2335" s="69"/>
      <c r="AA2335" s="69"/>
      <c r="AB2335" s="69"/>
      <c r="AC2335" s="69"/>
      <c r="AD2335" s="69"/>
      <c r="AE2335" s="69"/>
    </row>
    <row r="2336" spans="1:31" ht="22.5" customHeight="1">
      <c r="A2336" s="69"/>
      <c r="B2336" s="69"/>
      <c r="C2336" s="69"/>
      <c r="D2336" s="69"/>
      <c r="E2336" s="185"/>
      <c r="F2336" s="69"/>
      <c r="G2336" s="185"/>
      <c r="H2336" s="69"/>
      <c r="I2336" s="69"/>
      <c r="J2336" s="69"/>
      <c r="K2336" s="69"/>
      <c r="L2336" s="69"/>
      <c r="M2336" s="69"/>
      <c r="N2336" s="69"/>
      <c r="O2336" s="69"/>
      <c r="P2336" s="69"/>
      <c r="Q2336" s="69"/>
      <c r="R2336" s="69"/>
      <c r="S2336" s="69"/>
      <c r="T2336" s="69"/>
      <c r="U2336" s="69"/>
      <c r="V2336" s="69"/>
      <c r="W2336" s="69"/>
      <c r="X2336" s="69"/>
      <c r="Y2336" s="69"/>
      <c r="Z2336" s="69"/>
      <c r="AA2336" s="69"/>
      <c r="AB2336" s="69"/>
      <c r="AC2336" s="69"/>
      <c r="AD2336" s="69"/>
      <c r="AE2336" s="69"/>
    </row>
    <row r="2337" spans="1:31" ht="22.5" customHeight="1">
      <c r="A2337" s="69"/>
      <c r="B2337" s="69"/>
      <c r="C2337" s="69"/>
      <c r="D2337" s="69"/>
      <c r="E2337" s="185"/>
      <c r="F2337" s="69"/>
      <c r="G2337" s="185"/>
      <c r="H2337" s="69"/>
      <c r="I2337" s="69"/>
      <c r="J2337" s="69"/>
      <c r="K2337" s="69"/>
      <c r="L2337" s="69"/>
      <c r="M2337" s="69"/>
      <c r="N2337" s="69"/>
      <c r="O2337" s="69"/>
      <c r="P2337" s="69"/>
      <c r="Q2337" s="69"/>
      <c r="R2337" s="69"/>
      <c r="S2337" s="69"/>
      <c r="T2337" s="69"/>
      <c r="U2337" s="69"/>
      <c r="V2337" s="69"/>
      <c r="W2337" s="69"/>
      <c r="X2337" s="69"/>
      <c r="Y2337" s="69"/>
      <c r="Z2337" s="69"/>
      <c r="AA2337" s="69"/>
      <c r="AB2337" s="69"/>
      <c r="AC2337" s="69"/>
      <c r="AD2337" s="69"/>
      <c r="AE2337" s="69"/>
    </row>
    <row r="2338" spans="1:31" ht="22.5" customHeight="1">
      <c r="A2338" s="69"/>
      <c r="B2338" s="69"/>
      <c r="C2338" s="69"/>
      <c r="D2338" s="69"/>
      <c r="E2338" s="185"/>
      <c r="F2338" s="69"/>
      <c r="G2338" s="185"/>
      <c r="H2338" s="69"/>
      <c r="I2338" s="69"/>
      <c r="J2338" s="69"/>
      <c r="K2338" s="69"/>
      <c r="L2338" s="69"/>
      <c r="M2338" s="69"/>
      <c r="N2338" s="69"/>
      <c r="O2338" s="69"/>
      <c r="P2338" s="69"/>
      <c r="Q2338" s="69"/>
      <c r="R2338" s="69"/>
      <c r="S2338" s="69"/>
      <c r="T2338" s="69"/>
      <c r="U2338" s="69"/>
      <c r="V2338" s="69"/>
      <c r="W2338" s="69"/>
      <c r="X2338" s="69"/>
      <c r="Y2338" s="69"/>
      <c r="Z2338" s="69"/>
      <c r="AA2338" s="69"/>
      <c r="AB2338" s="69"/>
      <c r="AC2338" s="69"/>
      <c r="AD2338" s="69"/>
      <c r="AE2338" s="69"/>
    </row>
    <row r="2339" spans="1:31" ht="22.5" customHeight="1">
      <c r="A2339" s="69"/>
      <c r="B2339" s="69"/>
      <c r="C2339" s="69"/>
      <c r="D2339" s="69"/>
      <c r="E2339" s="185"/>
      <c r="F2339" s="69"/>
      <c r="G2339" s="185"/>
      <c r="H2339" s="69"/>
      <c r="I2339" s="69"/>
      <c r="J2339" s="69"/>
      <c r="K2339" s="69"/>
      <c r="L2339" s="69"/>
      <c r="M2339" s="69"/>
      <c r="N2339" s="69"/>
      <c r="O2339" s="69"/>
      <c r="P2339" s="69"/>
      <c r="Q2339" s="69"/>
      <c r="R2339" s="69"/>
      <c r="S2339" s="69"/>
      <c r="T2339" s="69"/>
      <c r="U2339" s="69"/>
      <c r="V2339" s="69"/>
      <c r="W2339" s="69"/>
      <c r="X2339" s="69"/>
      <c r="Y2339" s="69"/>
      <c r="Z2339" s="69"/>
      <c r="AA2339" s="69"/>
      <c r="AB2339" s="69"/>
      <c r="AC2339" s="69"/>
      <c r="AD2339" s="69"/>
      <c r="AE2339" s="69"/>
    </row>
    <row r="2340" spans="1:31" ht="22.5" customHeight="1">
      <c r="A2340" s="69"/>
      <c r="B2340" s="69"/>
      <c r="C2340" s="69"/>
      <c r="D2340" s="69"/>
      <c r="E2340" s="185"/>
      <c r="F2340" s="69"/>
      <c r="G2340" s="185"/>
      <c r="H2340" s="69"/>
      <c r="I2340" s="69"/>
      <c r="J2340" s="69"/>
      <c r="K2340" s="69"/>
      <c r="L2340" s="69"/>
      <c r="M2340" s="69"/>
      <c r="N2340" s="69"/>
      <c r="O2340" s="69"/>
      <c r="P2340" s="69"/>
      <c r="Q2340" s="69"/>
      <c r="R2340" s="69"/>
      <c r="S2340" s="69"/>
      <c r="T2340" s="69"/>
      <c r="U2340" s="69"/>
      <c r="V2340" s="69"/>
      <c r="W2340" s="69"/>
      <c r="X2340" s="69"/>
      <c r="Y2340" s="69"/>
      <c r="Z2340" s="69"/>
      <c r="AA2340" s="69"/>
      <c r="AB2340" s="69"/>
      <c r="AC2340" s="69"/>
      <c r="AD2340" s="69"/>
      <c r="AE2340" s="69"/>
    </row>
    <row r="2341" spans="1:31" ht="22.5" customHeight="1">
      <c r="A2341" s="69"/>
      <c r="B2341" s="69"/>
      <c r="C2341" s="69"/>
      <c r="D2341" s="69"/>
      <c r="E2341" s="185"/>
      <c r="F2341" s="69"/>
      <c r="G2341" s="185"/>
      <c r="H2341" s="69"/>
      <c r="I2341" s="69"/>
      <c r="J2341" s="69"/>
      <c r="K2341" s="69"/>
      <c r="L2341" s="69"/>
      <c r="M2341" s="69"/>
      <c r="N2341" s="69"/>
      <c r="O2341" s="69"/>
      <c r="P2341" s="69"/>
      <c r="Q2341" s="69"/>
      <c r="R2341" s="69"/>
      <c r="S2341" s="69"/>
      <c r="T2341" s="69"/>
      <c r="U2341" s="69"/>
      <c r="V2341" s="69"/>
      <c r="W2341" s="69"/>
      <c r="X2341" s="69"/>
      <c r="Y2341" s="69"/>
      <c r="Z2341" s="69"/>
      <c r="AA2341" s="69"/>
      <c r="AB2341" s="69"/>
      <c r="AC2341" s="69"/>
      <c r="AD2341" s="69"/>
      <c r="AE2341" s="69"/>
    </row>
    <row r="2342" spans="1:31" ht="22.5" customHeight="1">
      <c r="A2342" s="69"/>
      <c r="B2342" s="69"/>
      <c r="C2342" s="69"/>
      <c r="D2342" s="69"/>
      <c r="E2342" s="185"/>
      <c r="F2342" s="69"/>
      <c r="G2342" s="185"/>
      <c r="H2342" s="69"/>
      <c r="I2342" s="69"/>
      <c r="J2342" s="69"/>
      <c r="K2342" s="69"/>
      <c r="L2342" s="69"/>
      <c r="M2342" s="69"/>
      <c r="N2342" s="69"/>
      <c r="O2342" s="69"/>
      <c r="P2342" s="69"/>
      <c r="Q2342" s="69"/>
      <c r="R2342" s="69"/>
      <c r="S2342" s="69"/>
      <c r="T2342" s="69"/>
      <c r="U2342" s="69"/>
      <c r="V2342" s="69"/>
      <c r="W2342" s="69"/>
      <c r="X2342" s="69"/>
      <c r="Y2342" s="69"/>
      <c r="Z2342" s="69"/>
      <c r="AA2342" s="69"/>
      <c r="AB2342" s="69"/>
      <c r="AC2342" s="69"/>
      <c r="AD2342" s="69"/>
      <c r="AE2342" s="69"/>
    </row>
    <row r="2343" spans="1:31" ht="22.5" customHeight="1">
      <c r="A2343" s="69"/>
      <c r="B2343" s="69"/>
      <c r="C2343" s="69"/>
      <c r="D2343" s="69"/>
      <c r="E2343" s="185"/>
      <c r="F2343" s="69"/>
      <c r="G2343" s="185"/>
      <c r="H2343" s="69"/>
      <c r="I2343" s="69"/>
      <c r="J2343" s="69"/>
      <c r="K2343" s="69"/>
      <c r="L2343" s="69"/>
      <c r="M2343" s="69"/>
      <c r="N2343" s="69"/>
      <c r="O2343" s="69"/>
      <c r="P2343" s="69"/>
      <c r="Q2343" s="69"/>
      <c r="R2343" s="69"/>
      <c r="S2343" s="69"/>
      <c r="T2343" s="69"/>
      <c r="U2343" s="69"/>
      <c r="V2343" s="69"/>
      <c r="W2343" s="69"/>
      <c r="X2343" s="69"/>
      <c r="Y2343" s="69"/>
      <c r="Z2343" s="69"/>
      <c r="AA2343" s="69"/>
      <c r="AB2343" s="69"/>
      <c r="AC2343" s="69"/>
      <c r="AD2343" s="69"/>
      <c r="AE2343" s="69"/>
    </row>
    <row r="2344" spans="1:31" ht="22.5" customHeight="1">
      <c r="A2344" s="69"/>
      <c r="B2344" s="69"/>
      <c r="C2344" s="69"/>
      <c r="D2344" s="69"/>
      <c r="E2344" s="185"/>
      <c r="F2344" s="69"/>
      <c r="G2344" s="185"/>
      <c r="H2344" s="69"/>
      <c r="I2344" s="69"/>
      <c r="J2344" s="69"/>
      <c r="K2344" s="69"/>
      <c r="L2344" s="69"/>
      <c r="M2344" s="69"/>
      <c r="N2344" s="69"/>
      <c r="O2344" s="69"/>
      <c r="P2344" s="69"/>
      <c r="Q2344" s="69"/>
      <c r="R2344" s="69"/>
      <c r="S2344" s="69"/>
      <c r="T2344" s="69"/>
      <c r="U2344" s="69"/>
      <c r="V2344" s="69"/>
      <c r="W2344" s="69"/>
      <c r="X2344" s="69"/>
      <c r="Y2344" s="69"/>
      <c r="Z2344" s="69"/>
      <c r="AA2344" s="69"/>
      <c r="AB2344" s="69"/>
      <c r="AC2344" s="69"/>
      <c r="AD2344" s="69"/>
      <c r="AE2344" s="69"/>
    </row>
    <row r="2345" spans="1:31" ht="22.5" customHeight="1">
      <c r="A2345" s="69"/>
      <c r="B2345" s="69"/>
      <c r="C2345" s="69"/>
      <c r="D2345" s="69"/>
      <c r="E2345" s="185"/>
      <c r="F2345" s="69"/>
      <c r="G2345" s="185"/>
      <c r="H2345" s="69"/>
      <c r="I2345" s="69"/>
      <c r="J2345" s="69"/>
      <c r="K2345" s="69"/>
      <c r="L2345" s="69"/>
      <c r="M2345" s="69"/>
      <c r="N2345" s="69"/>
      <c r="O2345" s="69"/>
      <c r="P2345" s="69"/>
      <c r="Q2345" s="69"/>
      <c r="R2345" s="69"/>
      <c r="S2345" s="69"/>
      <c r="T2345" s="69"/>
      <c r="U2345" s="69"/>
      <c r="V2345" s="69"/>
      <c r="W2345" s="69"/>
      <c r="X2345" s="69"/>
      <c r="Y2345" s="69"/>
      <c r="Z2345" s="69"/>
      <c r="AA2345" s="69"/>
      <c r="AB2345" s="69"/>
      <c r="AC2345" s="69"/>
      <c r="AD2345" s="69"/>
      <c r="AE2345" s="69"/>
    </row>
    <row r="2346" spans="1:31" ht="22.5" customHeight="1">
      <c r="A2346" s="69"/>
      <c r="B2346" s="69"/>
      <c r="C2346" s="69"/>
      <c r="D2346" s="69"/>
      <c r="E2346" s="185"/>
      <c r="F2346" s="69"/>
      <c r="G2346" s="185"/>
      <c r="H2346" s="69"/>
      <c r="I2346" s="69"/>
      <c r="J2346" s="69"/>
      <c r="K2346" s="69"/>
      <c r="L2346" s="69"/>
      <c r="M2346" s="69"/>
      <c r="N2346" s="69"/>
      <c r="O2346" s="69"/>
      <c r="P2346" s="69"/>
      <c r="Q2346" s="69"/>
      <c r="R2346" s="69"/>
      <c r="S2346" s="69"/>
      <c r="T2346" s="69"/>
      <c r="U2346" s="69"/>
      <c r="V2346" s="69"/>
      <c r="W2346" s="69"/>
      <c r="X2346" s="69"/>
      <c r="Y2346" s="69"/>
      <c r="Z2346" s="69"/>
      <c r="AA2346" s="69"/>
      <c r="AB2346" s="69"/>
      <c r="AC2346" s="69"/>
      <c r="AD2346" s="69"/>
      <c r="AE2346" s="69"/>
    </row>
    <row r="2347" spans="1:31" ht="22.5" customHeight="1">
      <c r="A2347" s="69"/>
      <c r="B2347" s="69"/>
      <c r="C2347" s="69"/>
      <c r="D2347" s="69"/>
      <c r="E2347" s="185"/>
      <c r="F2347" s="69"/>
      <c r="G2347" s="185"/>
      <c r="H2347" s="69"/>
      <c r="I2347" s="69"/>
      <c r="J2347" s="69"/>
      <c r="K2347" s="69"/>
      <c r="L2347" s="69"/>
      <c r="M2347" s="69"/>
      <c r="N2347" s="69"/>
      <c r="O2347" s="69"/>
      <c r="P2347" s="69"/>
      <c r="Q2347" s="69"/>
      <c r="R2347" s="69"/>
      <c r="S2347" s="69"/>
      <c r="T2347" s="69"/>
      <c r="U2347" s="69"/>
      <c r="V2347" s="69"/>
      <c r="W2347" s="69"/>
      <c r="X2347" s="69"/>
      <c r="Y2347" s="69"/>
      <c r="Z2347" s="69"/>
      <c r="AA2347" s="69"/>
      <c r="AB2347" s="69"/>
      <c r="AC2347" s="69"/>
      <c r="AD2347" s="69"/>
      <c r="AE2347" s="69"/>
    </row>
    <row r="2348" spans="1:31" ht="22.5" customHeight="1">
      <c r="A2348" s="69"/>
      <c r="B2348" s="69"/>
      <c r="C2348" s="69"/>
      <c r="D2348" s="69"/>
      <c r="E2348" s="185"/>
      <c r="F2348" s="69"/>
      <c r="G2348" s="185"/>
      <c r="H2348" s="69"/>
      <c r="I2348" s="69"/>
      <c r="J2348" s="69"/>
      <c r="K2348" s="69"/>
      <c r="L2348" s="69"/>
      <c r="M2348" s="69"/>
      <c r="N2348" s="69"/>
      <c r="O2348" s="69"/>
      <c r="P2348" s="69"/>
      <c r="Q2348" s="69"/>
      <c r="R2348" s="69"/>
      <c r="S2348" s="69"/>
      <c r="T2348" s="69"/>
      <c r="U2348" s="69"/>
      <c r="V2348" s="69"/>
      <c r="W2348" s="69"/>
      <c r="X2348" s="69"/>
      <c r="Y2348" s="69"/>
      <c r="Z2348" s="69"/>
      <c r="AA2348" s="69"/>
      <c r="AB2348" s="69"/>
      <c r="AC2348" s="69"/>
      <c r="AD2348" s="69"/>
      <c r="AE2348" s="69"/>
    </row>
    <row r="2349" spans="1:31" ht="22.5" customHeight="1">
      <c r="A2349" s="69"/>
      <c r="B2349" s="69"/>
      <c r="C2349" s="69"/>
      <c r="D2349" s="69"/>
      <c r="E2349" s="185"/>
      <c r="F2349" s="69"/>
      <c r="G2349" s="185"/>
      <c r="H2349" s="69"/>
      <c r="I2349" s="69"/>
      <c r="J2349" s="69"/>
      <c r="K2349" s="69"/>
      <c r="L2349" s="69"/>
      <c r="M2349" s="69"/>
      <c r="N2349" s="69"/>
      <c r="O2349" s="69"/>
      <c r="P2349" s="69"/>
      <c r="Q2349" s="69"/>
      <c r="R2349" s="69"/>
      <c r="S2349" s="69"/>
      <c r="T2349" s="69"/>
      <c r="U2349" s="69"/>
      <c r="V2349" s="69"/>
      <c r="W2349" s="69"/>
      <c r="X2349" s="69"/>
      <c r="Y2349" s="69"/>
      <c r="Z2349" s="69"/>
      <c r="AA2349" s="69"/>
      <c r="AB2349" s="69"/>
      <c r="AC2349" s="69"/>
      <c r="AD2349" s="69"/>
      <c r="AE2349" s="69"/>
    </row>
    <row r="2350" spans="1:31" ht="22.5" customHeight="1">
      <c r="A2350" s="69"/>
      <c r="B2350" s="69"/>
      <c r="C2350" s="69"/>
      <c r="D2350" s="69"/>
      <c r="E2350" s="185"/>
      <c r="F2350" s="69"/>
      <c r="G2350" s="185"/>
      <c r="H2350" s="69"/>
      <c r="I2350" s="69"/>
      <c r="J2350" s="69"/>
      <c r="K2350" s="69"/>
      <c r="L2350" s="69"/>
      <c r="M2350" s="69"/>
      <c r="N2350" s="69"/>
      <c r="O2350" s="69"/>
      <c r="P2350" s="69"/>
      <c r="Q2350" s="69"/>
      <c r="R2350" s="69"/>
      <c r="S2350" s="69"/>
      <c r="T2350" s="69"/>
      <c r="U2350" s="69"/>
      <c r="V2350" s="69"/>
      <c r="W2350" s="69"/>
      <c r="X2350" s="69"/>
      <c r="Y2350" s="69"/>
      <c r="Z2350" s="69"/>
      <c r="AA2350" s="69"/>
      <c r="AB2350" s="69"/>
      <c r="AC2350" s="69"/>
      <c r="AD2350" s="69"/>
      <c r="AE2350" s="69"/>
    </row>
    <row r="2351" spans="1:31" ht="22.5" customHeight="1">
      <c r="A2351" s="69"/>
      <c r="B2351" s="69"/>
      <c r="C2351" s="69"/>
      <c r="D2351" s="69"/>
      <c r="E2351" s="185"/>
      <c r="F2351" s="69"/>
      <c r="G2351" s="185"/>
      <c r="H2351" s="69"/>
      <c r="I2351" s="69"/>
      <c r="J2351" s="69"/>
      <c r="K2351" s="69"/>
      <c r="L2351" s="69"/>
      <c r="M2351" s="69"/>
      <c r="N2351" s="69"/>
      <c r="O2351" s="69"/>
      <c r="P2351" s="69"/>
      <c r="Q2351" s="69"/>
      <c r="R2351" s="69"/>
      <c r="S2351" s="69"/>
      <c r="T2351" s="69"/>
      <c r="U2351" s="69"/>
      <c r="V2351" s="69"/>
      <c r="W2351" s="69"/>
      <c r="X2351" s="69"/>
      <c r="Y2351" s="69"/>
      <c r="Z2351" s="69"/>
      <c r="AA2351" s="69"/>
      <c r="AB2351" s="69"/>
      <c r="AC2351" s="69"/>
      <c r="AD2351" s="69"/>
      <c r="AE2351" s="69"/>
    </row>
    <row r="2352" spans="1:31" ht="22.5" customHeight="1">
      <c r="A2352" s="69"/>
      <c r="B2352" s="69"/>
      <c r="C2352" s="69"/>
      <c r="D2352" s="69"/>
      <c r="E2352" s="185"/>
      <c r="F2352" s="69"/>
      <c r="G2352" s="185"/>
      <c r="H2352" s="69"/>
      <c r="I2352" s="69"/>
      <c r="J2352" s="69"/>
      <c r="K2352" s="69"/>
      <c r="L2352" s="69"/>
      <c r="M2352" s="69"/>
      <c r="N2352" s="69"/>
      <c r="O2352" s="69"/>
      <c r="P2352" s="69"/>
      <c r="Q2352" s="69"/>
      <c r="R2352" s="69"/>
      <c r="S2352" s="69"/>
      <c r="T2352" s="69"/>
      <c r="U2352" s="69"/>
      <c r="V2352" s="69"/>
      <c r="W2352" s="69"/>
      <c r="X2352" s="69"/>
      <c r="Y2352" s="69"/>
      <c r="Z2352" s="69"/>
      <c r="AA2352" s="69"/>
      <c r="AB2352" s="69"/>
      <c r="AC2352" s="69"/>
      <c r="AD2352" s="69"/>
      <c r="AE2352" s="69"/>
    </row>
    <row r="2353" spans="1:31" ht="22.5" customHeight="1">
      <c r="A2353" s="69"/>
      <c r="B2353" s="69"/>
      <c r="C2353" s="69"/>
      <c r="D2353" s="69"/>
      <c r="E2353" s="185"/>
      <c r="F2353" s="69"/>
      <c r="G2353" s="185"/>
      <c r="H2353" s="69"/>
      <c r="I2353" s="69"/>
      <c r="J2353" s="69"/>
      <c r="K2353" s="69"/>
      <c r="L2353" s="69"/>
      <c r="M2353" s="69"/>
      <c r="N2353" s="69"/>
      <c r="O2353" s="69"/>
      <c r="P2353" s="69"/>
      <c r="Q2353" s="69"/>
      <c r="R2353" s="69"/>
      <c r="S2353" s="69"/>
      <c r="T2353" s="69"/>
      <c r="U2353" s="69"/>
      <c r="V2353" s="69"/>
      <c r="W2353" s="69"/>
      <c r="X2353" s="69"/>
      <c r="Y2353" s="69"/>
      <c r="Z2353" s="69"/>
      <c r="AA2353" s="69"/>
      <c r="AB2353" s="69"/>
      <c r="AC2353" s="69"/>
      <c r="AD2353" s="69"/>
      <c r="AE2353" s="69"/>
    </row>
    <row r="2354" spans="1:31" ht="22.5" customHeight="1">
      <c r="A2354" s="69"/>
      <c r="B2354" s="69"/>
      <c r="C2354" s="69"/>
      <c r="D2354" s="69"/>
      <c r="E2354" s="185"/>
      <c r="F2354" s="69"/>
      <c r="G2354" s="185"/>
      <c r="H2354" s="69"/>
      <c r="I2354" s="69"/>
      <c r="J2354" s="69"/>
      <c r="K2354" s="69"/>
      <c r="L2354" s="69"/>
      <c r="M2354" s="69"/>
      <c r="N2354" s="69"/>
      <c r="O2354" s="69"/>
      <c r="P2354" s="69"/>
      <c r="Q2354" s="69"/>
      <c r="R2354" s="69"/>
      <c r="S2354" s="69"/>
      <c r="T2354" s="69"/>
      <c r="U2354" s="69"/>
      <c r="V2354" s="69"/>
      <c r="W2354" s="69"/>
      <c r="X2354" s="69"/>
      <c r="Y2354" s="69"/>
      <c r="Z2354" s="69"/>
      <c r="AA2354" s="69"/>
      <c r="AB2354" s="69"/>
      <c r="AC2354" s="69"/>
      <c r="AD2354" s="69"/>
      <c r="AE2354" s="69"/>
    </row>
    <row r="2355" spans="1:31" ht="22.5" customHeight="1">
      <c r="A2355" s="69"/>
      <c r="B2355" s="69"/>
      <c r="C2355" s="69"/>
      <c r="D2355" s="69"/>
      <c r="E2355" s="185"/>
      <c r="F2355" s="69"/>
      <c r="G2355" s="185"/>
      <c r="H2355" s="69"/>
      <c r="I2355" s="69"/>
      <c r="J2355" s="69"/>
      <c r="K2355" s="69"/>
      <c r="L2355" s="69"/>
      <c r="M2355" s="69"/>
      <c r="N2355" s="69"/>
      <c r="O2355" s="69"/>
      <c r="P2355" s="69"/>
      <c r="Q2355" s="69"/>
      <c r="R2355" s="69"/>
      <c r="S2355" s="69"/>
      <c r="T2355" s="69"/>
      <c r="U2355" s="69"/>
      <c r="V2355" s="69"/>
      <c r="W2355" s="69"/>
      <c r="X2355" s="69"/>
      <c r="Y2355" s="69"/>
      <c r="Z2355" s="69"/>
      <c r="AA2355" s="69"/>
      <c r="AB2355" s="69"/>
      <c r="AC2355" s="69"/>
      <c r="AD2355" s="69"/>
      <c r="AE2355" s="69"/>
    </row>
    <row r="2356" spans="1:31" ht="22.5" customHeight="1">
      <c r="A2356" s="69"/>
      <c r="B2356" s="69"/>
      <c r="C2356" s="69"/>
      <c r="D2356" s="69"/>
      <c r="E2356" s="185"/>
      <c r="F2356" s="69"/>
      <c r="G2356" s="185"/>
      <c r="H2356" s="69"/>
      <c r="I2356" s="69"/>
      <c r="J2356" s="69"/>
      <c r="K2356" s="69"/>
      <c r="L2356" s="69"/>
      <c r="M2356" s="69"/>
      <c r="N2356" s="69"/>
      <c r="O2356" s="69"/>
      <c r="P2356" s="69"/>
      <c r="Q2356" s="69"/>
      <c r="R2356" s="69"/>
      <c r="S2356" s="69"/>
      <c r="T2356" s="69"/>
      <c r="U2356" s="69"/>
      <c r="V2356" s="69"/>
      <c r="W2356" s="69"/>
      <c r="X2356" s="69"/>
      <c r="Y2356" s="69"/>
      <c r="Z2356" s="69"/>
      <c r="AA2356" s="69"/>
      <c r="AB2356" s="69"/>
      <c r="AC2356" s="69"/>
      <c r="AD2356" s="69"/>
      <c r="AE2356" s="69"/>
    </row>
    <row r="2357" spans="1:31" ht="22.5" customHeight="1">
      <c r="A2357" s="69"/>
      <c r="B2357" s="69"/>
      <c r="C2357" s="69"/>
      <c r="D2357" s="69"/>
      <c r="E2357" s="185"/>
      <c r="F2357" s="69"/>
      <c r="G2357" s="185"/>
      <c r="H2357" s="69"/>
      <c r="I2357" s="69"/>
      <c r="J2357" s="69"/>
      <c r="K2357" s="69"/>
      <c r="L2357" s="69"/>
      <c r="M2357" s="69"/>
      <c r="N2357" s="69"/>
      <c r="O2357" s="69"/>
      <c r="P2357" s="69"/>
      <c r="Q2357" s="69"/>
      <c r="R2357" s="69"/>
      <c r="S2357" s="69"/>
      <c r="T2357" s="69"/>
      <c r="U2357" s="69"/>
      <c r="V2357" s="69"/>
      <c r="W2357" s="69"/>
      <c r="X2357" s="69"/>
      <c r="Y2357" s="69"/>
      <c r="Z2357" s="69"/>
      <c r="AA2357" s="69"/>
      <c r="AB2357" s="69"/>
      <c r="AC2357" s="69"/>
      <c r="AD2357" s="69"/>
      <c r="AE2357" s="69"/>
    </row>
    <row r="2358" spans="1:31" ht="22.5" customHeight="1">
      <c r="A2358" s="69"/>
      <c r="B2358" s="69"/>
      <c r="C2358" s="69"/>
      <c r="D2358" s="69"/>
      <c r="E2358" s="185"/>
      <c r="F2358" s="69"/>
      <c r="G2358" s="185"/>
      <c r="H2358" s="69"/>
      <c r="I2358" s="69"/>
      <c r="J2358" s="69"/>
      <c r="K2358" s="69"/>
      <c r="L2358" s="69"/>
      <c r="M2358" s="69"/>
      <c r="N2358" s="69"/>
      <c r="O2358" s="69"/>
      <c r="P2358" s="69"/>
      <c r="Q2358" s="69"/>
      <c r="R2358" s="69"/>
      <c r="S2358" s="69"/>
      <c r="T2358" s="69"/>
      <c r="U2358" s="69"/>
      <c r="V2358" s="69"/>
      <c r="W2358" s="69"/>
      <c r="X2358" s="69"/>
      <c r="Y2358" s="69"/>
      <c r="Z2358" s="69"/>
      <c r="AA2358" s="69"/>
      <c r="AB2358" s="69"/>
      <c r="AC2358" s="69"/>
      <c r="AD2358" s="69"/>
      <c r="AE2358" s="69"/>
    </row>
    <row r="2359" spans="1:31" ht="22.5" customHeight="1">
      <c r="A2359" s="69"/>
      <c r="B2359" s="69"/>
      <c r="C2359" s="69"/>
      <c r="D2359" s="69"/>
      <c r="E2359" s="185"/>
      <c r="F2359" s="69"/>
      <c r="G2359" s="185"/>
      <c r="H2359" s="69"/>
      <c r="I2359" s="69"/>
      <c r="J2359" s="69"/>
      <c r="K2359" s="69"/>
      <c r="L2359" s="69"/>
      <c r="M2359" s="69"/>
      <c r="N2359" s="69"/>
      <c r="O2359" s="69"/>
      <c r="P2359" s="69"/>
      <c r="Q2359" s="69"/>
      <c r="R2359" s="69"/>
      <c r="S2359" s="69"/>
      <c r="T2359" s="69"/>
      <c r="U2359" s="69"/>
      <c r="V2359" s="69"/>
      <c r="W2359" s="69"/>
      <c r="X2359" s="69"/>
      <c r="Y2359" s="69"/>
      <c r="Z2359" s="69"/>
      <c r="AA2359" s="69"/>
      <c r="AB2359" s="69"/>
      <c r="AC2359" s="69"/>
      <c r="AD2359" s="69"/>
      <c r="AE2359" s="69"/>
    </row>
    <row r="2360" spans="1:31" ht="22.5" customHeight="1">
      <c r="A2360" s="69"/>
      <c r="B2360" s="69"/>
      <c r="C2360" s="69"/>
      <c r="D2360" s="69"/>
      <c r="E2360" s="185"/>
      <c r="F2360" s="69"/>
      <c r="G2360" s="185"/>
      <c r="H2360" s="69"/>
      <c r="I2360" s="69"/>
      <c r="J2360" s="69"/>
      <c r="K2360" s="69"/>
      <c r="L2360" s="69"/>
      <c r="M2360" s="69"/>
      <c r="N2360" s="69"/>
      <c r="O2360" s="69"/>
      <c r="P2360" s="69"/>
      <c r="Q2360" s="69"/>
      <c r="R2360" s="69"/>
      <c r="S2360" s="69"/>
      <c r="T2360" s="69"/>
      <c r="U2360" s="69"/>
      <c r="V2360" s="69"/>
      <c r="W2360" s="69"/>
      <c r="X2360" s="69"/>
      <c r="Y2360" s="69"/>
      <c r="Z2360" s="69"/>
      <c r="AA2360" s="69"/>
      <c r="AB2360" s="69"/>
      <c r="AC2360" s="69"/>
      <c r="AD2360" s="69"/>
      <c r="AE2360" s="69"/>
    </row>
    <row r="2361" spans="1:31" ht="22.5" customHeight="1">
      <c r="A2361" s="69"/>
      <c r="B2361" s="69"/>
      <c r="C2361" s="69"/>
      <c r="D2361" s="69"/>
      <c r="E2361" s="185"/>
      <c r="F2361" s="69"/>
      <c r="G2361" s="185"/>
      <c r="H2361" s="69"/>
      <c r="I2361" s="69"/>
      <c r="J2361" s="69"/>
      <c r="K2361" s="69"/>
      <c r="L2361" s="69"/>
      <c r="M2361" s="69"/>
      <c r="N2361" s="69"/>
      <c r="O2361" s="69"/>
      <c r="P2361" s="69"/>
      <c r="Q2361" s="69"/>
      <c r="R2361" s="69"/>
      <c r="S2361" s="69"/>
      <c r="T2361" s="69"/>
      <c r="U2361" s="69"/>
      <c r="V2361" s="69"/>
      <c r="W2361" s="69"/>
      <c r="X2361" s="69"/>
      <c r="Y2361" s="69"/>
      <c r="Z2361" s="69"/>
      <c r="AA2361" s="69"/>
      <c r="AB2361" s="69"/>
      <c r="AC2361" s="69"/>
      <c r="AD2361" s="69"/>
      <c r="AE2361" s="69"/>
    </row>
    <row r="2362" spans="1:31" ht="22.5" customHeight="1">
      <c r="A2362" s="69"/>
      <c r="B2362" s="69"/>
      <c r="C2362" s="69"/>
      <c r="D2362" s="69"/>
      <c r="E2362" s="185"/>
      <c r="F2362" s="69"/>
      <c r="G2362" s="185"/>
      <c r="H2362" s="69"/>
      <c r="I2362" s="69"/>
      <c r="J2362" s="69"/>
      <c r="K2362" s="69"/>
      <c r="L2362" s="69"/>
      <c r="M2362" s="69"/>
      <c r="N2362" s="69"/>
      <c r="O2362" s="69"/>
      <c r="P2362" s="69"/>
      <c r="Q2362" s="69"/>
      <c r="R2362" s="69"/>
      <c r="S2362" s="69"/>
      <c r="T2362" s="69"/>
      <c r="U2362" s="69"/>
      <c r="V2362" s="69"/>
      <c r="W2362" s="69"/>
      <c r="X2362" s="69"/>
      <c r="Y2362" s="69"/>
      <c r="Z2362" s="69"/>
      <c r="AA2362" s="69"/>
      <c r="AB2362" s="69"/>
      <c r="AC2362" s="69"/>
      <c r="AD2362" s="69"/>
      <c r="AE2362" s="69"/>
    </row>
    <row r="2363" spans="1:31" ht="22.5" customHeight="1">
      <c r="A2363" s="69"/>
      <c r="B2363" s="69"/>
      <c r="C2363" s="69"/>
      <c r="D2363" s="69"/>
      <c r="E2363" s="185"/>
      <c r="F2363" s="69"/>
      <c r="G2363" s="185"/>
      <c r="H2363" s="69"/>
      <c r="I2363" s="69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  <c r="Z2363" s="69"/>
      <c r="AA2363" s="69"/>
      <c r="AB2363" s="69"/>
      <c r="AC2363" s="69"/>
      <c r="AD2363" s="69"/>
      <c r="AE2363" s="69"/>
    </row>
    <row r="2364" spans="1:31" ht="22.5" customHeight="1">
      <c r="A2364" s="69"/>
      <c r="B2364" s="69"/>
      <c r="C2364" s="69"/>
      <c r="D2364" s="69"/>
      <c r="E2364" s="185"/>
      <c r="F2364" s="69"/>
      <c r="G2364" s="185"/>
      <c r="H2364" s="69"/>
      <c r="I2364" s="69"/>
      <c r="J2364" s="69"/>
      <c r="K2364" s="69"/>
      <c r="L2364" s="69"/>
      <c r="M2364" s="69"/>
      <c r="N2364" s="69"/>
      <c r="O2364" s="69"/>
      <c r="P2364" s="69"/>
      <c r="Q2364" s="69"/>
      <c r="R2364" s="69"/>
      <c r="S2364" s="69"/>
      <c r="T2364" s="69"/>
      <c r="U2364" s="69"/>
      <c r="V2364" s="69"/>
      <c r="W2364" s="69"/>
      <c r="X2364" s="69"/>
      <c r="Y2364" s="69"/>
      <c r="Z2364" s="69"/>
      <c r="AA2364" s="69"/>
      <c r="AB2364" s="69"/>
      <c r="AC2364" s="69"/>
      <c r="AD2364" s="69"/>
      <c r="AE2364" s="69"/>
    </row>
    <row r="2365" spans="1:31" ht="22.5" customHeight="1">
      <c r="A2365" s="69"/>
      <c r="B2365" s="69"/>
      <c r="C2365" s="69"/>
      <c r="D2365" s="69"/>
      <c r="E2365" s="185"/>
      <c r="F2365" s="69"/>
      <c r="G2365" s="185"/>
      <c r="H2365" s="69"/>
      <c r="I2365" s="69"/>
      <c r="J2365" s="69"/>
      <c r="K2365" s="69"/>
      <c r="L2365" s="69"/>
      <c r="M2365" s="69"/>
      <c r="N2365" s="69"/>
      <c r="O2365" s="69"/>
      <c r="P2365" s="69"/>
      <c r="Q2365" s="69"/>
      <c r="R2365" s="69"/>
      <c r="S2365" s="69"/>
      <c r="T2365" s="69"/>
      <c r="U2365" s="69"/>
      <c r="V2365" s="69"/>
      <c r="W2365" s="69"/>
      <c r="X2365" s="69"/>
      <c r="Y2365" s="69"/>
      <c r="Z2365" s="69"/>
      <c r="AA2365" s="69"/>
      <c r="AB2365" s="69"/>
      <c r="AC2365" s="69"/>
      <c r="AD2365" s="69"/>
      <c r="AE2365" s="69"/>
    </row>
    <row r="2366" spans="1:31" ht="22.5" customHeight="1">
      <c r="A2366" s="69"/>
      <c r="B2366" s="69"/>
      <c r="C2366" s="69"/>
      <c r="D2366" s="69"/>
      <c r="E2366" s="185"/>
      <c r="F2366" s="69"/>
      <c r="G2366" s="185"/>
      <c r="H2366" s="69"/>
      <c r="I2366" s="69"/>
      <c r="J2366" s="69"/>
      <c r="K2366" s="69"/>
      <c r="L2366" s="69"/>
      <c r="M2366" s="69"/>
      <c r="N2366" s="69"/>
      <c r="O2366" s="69"/>
      <c r="P2366" s="69"/>
      <c r="Q2366" s="69"/>
      <c r="R2366" s="69"/>
      <c r="S2366" s="69"/>
      <c r="T2366" s="69"/>
      <c r="U2366" s="69"/>
      <c r="V2366" s="69"/>
      <c r="W2366" s="69"/>
      <c r="X2366" s="69"/>
      <c r="Y2366" s="69"/>
      <c r="Z2366" s="69"/>
      <c r="AA2366" s="69"/>
      <c r="AB2366" s="69"/>
      <c r="AC2366" s="69"/>
      <c r="AD2366" s="69"/>
      <c r="AE2366" s="69"/>
    </row>
    <row r="2367" spans="1:31" ht="22.5" customHeight="1">
      <c r="A2367" s="69"/>
      <c r="B2367" s="69"/>
      <c r="C2367" s="69"/>
      <c r="D2367" s="69"/>
      <c r="E2367" s="185"/>
      <c r="F2367" s="69"/>
      <c r="G2367" s="185"/>
      <c r="H2367" s="69"/>
      <c r="I2367" s="69"/>
      <c r="J2367" s="69"/>
      <c r="K2367" s="69"/>
      <c r="L2367" s="69"/>
      <c r="M2367" s="69"/>
      <c r="N2367" s="69"/>
      <c r="O2367" s="69"/>
      <c r="P2367" s="69"/>
      <c r="Q2367" s="69"/>
      <c r="R2367" s="69"/>
      <c r="S2367" s="69"/>
      <c r="T2367" s="69"/>
      <c r="U2367" s="69"/>
      <c r="V2367" s="69"/>
      <c r="W2367" s="69"/>
      <c r="X2367" s="69"/>
      <c r="Y2367" s="69"/>
      <c r="Z2367" s="69"/>
      <c r="AA2367" s="69"/>
      <c r="AB2367" s="69"/>
      <c r="AC2367" s="69"/>
      <c r="AD2367" s="69"/>
      <c r="AE2367" s="69"/>
    </row>
    <row r="2368" spans="1:31" ht="22.5" customHeight="1">
      <c r="A2368" s="69"/>
      <c r="B2368" s="69"/>
      <c r="C2368" s="69"/>
      <c r="D2368" s="69"/>
      <c r="E2368" s="185"/>
      <c r="F2368" s="69"/>
      <c r="G2368" s="185"/>
      <c r="H2368" s="69"/>
      <c r="I2368" s="69"/>
      <c r="J2368" s="69"/>
      <c r="K2368" s="69"/>
      <c r="L2368" s="69"/>
      <c r="M2368" s="69"/>
      <c r="N2368" s="69"/>
      <c r="O2368" s="69"/>
      <c r="P2368" s="69"/>
      <c r="Q2368" s="69"/>
      <c r="R2368" s="69"/>
      <c r="S2368" s="69"/>
      <c r="T2368" s="69"/>
      <c r="U2368" s="69"/>
      <c r="V2368" s="69"/>
      <c r="W2368" s="69"/>
      <c r="X2368" s="69"/>
      <c r="Y2368" s="69"/>
      <c r="Z2368" s="69"/>
      <c r="AA2368" s="69"/>
      <c r="AB2368" s="69"/>
      <c r="AC2368" s="69"/>
      <c r="AD2368" s="69"/>
      <c r="AE2368" s="69"/>
    </row>
    <row r="2369" spans="1:31" ht="22.5" customHeight="1">
      <c r="A2369" s="69"/>
      <c r="B2369" s="69"/>
      <c r="C2369" s="69"/>
      <c r="D2369" s="69"/>
      <c r="E2369" s="185"/>
      <c r="F2369" s="69"/>
      <c r="G2369" s="185"/>
      <c r="H2369" s="69"/>
      <c r="I2369" s="69"/>
      <c r="J2369" s="69"/>
      <c r="K2369" s="69"/>
      <c r="L2369" s="69"/>
      <c r="M2369" s="69"/>
      <c r="N2369" s="69"/>
      <c r="O2369" s="69"/>
      <c r="P2369" s="69"/>
      <c r="Q2369" s="69"/>
      <c r="R2369" s="69"/>
      <c r="S2369" s="69"/>
      <c r="T2369" s="69"/>
      <c r="U2369" s="69"/>
      <c r="V2369" s="69"/>
      <c r="W2369" s="69"/>
      <c r="X2369" s="69"/>
      <c r="Y2369" s="69"/>
      <c r="Z2369" s="69"/>
      <c r="AA2369" s="69"/>
      <c r="AB2369" s="69"/>
      <c r="AC2369" s="69"/>
      <c r="AD2369" s="69"/>
      <c r="AE2369" s="69"/>
    </row>
    <row r="2370" spans="1:31" ht="22.5" customHeight="1">
      <c r="A2370" s="69"/>
      <c r="B2370" s="69"/>
      <c r="C2370" s="69"/>
      <c r="D2370" s="69"/>
      <c r="E2370" s="185"/>
      <c r="F2370" s="69"/>
      <c r="G2370" s="185"/>
      <c r="H2370" s="69"/>
      <c r="I2370" s="69"/>
      <c r="J2370" s="69"/>
      <c r="K2370" s="69"/>
      <c r="L2370" s="69"/>
      <c r="M2370" s="69"/>
      <c r="N2370" s="69"/>
      <c r="O2370" s="69"/>
      <c r="P2370" s="69"/>
      <c r="Q2370" s="69"/>
      <c r="R2370" s="69"/>
      <c r="S2370" s="69"/>
      <c r="T2370" s="69"/>
      <c r="U2370" s="69"/>
      <c r="V2370" s="69"/>
      <c r="W2370" s="69"/>
      <c r="X2370" s="69"/>
      <c r="Y2370" s="69"/>
      <c r="Z2370" s="69"/>
      <c r="AA2370" s="69"/>
      <c r="AB2370" s="69"/>
      <c r="AC2370" s="69"/>
      <c r="AD2370" s="69"/>
      <c r="AE2370" s="69"/>
    </row>
    <row r="2371" spans="1:31" ht="22.5" customHeight="1">
      <c r="A2371" s="69"/>
      <c r="B2371" s="69"/>
      <c r="C2371" s="69"/>
      <c r="D2371" s="69"/>
      <c r="E2371" s="185"/>
      <c r="F2371" s="69"/>
      <c r="G2371" s="185"/>
      <c r="H2371" s="69"/>
      <c r="I2371" s="69"/>
      <c r="J2371" s="69"/>
      <c r="K2371" s="69"/>
      <c r="L2371" s="69"/>
      <c r="M2371" s="69"/>
      <c r="N2371" s="69"/>
      <c r="O2371" s="69"/>
      <c r="P2371" s="69"/>
      <c r="Q2371" s="69"/>
      <c r="R2371" s="69"/>
      <c r="S2371" s="69"/>
      <c r="T2371" s="69"/>
      <c r="U2371" s="69"/>
      <c r="V2371" s="69"/>
      <c r="W2371" s="69"/>
      <c r="X2371" s="69"/>
      <c r="Y2371" s="69"/>
      <c r="Z2371" s="69"/>
      <c r="AA2371" s="69"/>
      <c r="AB2371" s="69"/>
      <c r="AC2371" s="69"/>
      <c r="AD2371" s="69"/>
      <c r="AE2371" s="69"/>
    </row>
    <row r="2372" spans="1:31" ht="22.5" customHeight="1">
      <c r="A2372" s="69"/>
      <c r="B2372" s="69"/>
      <c r="C2372" s="69"/>
      <c r="D2372" s="69"/>
      <c r="E2372" s="185"/>
      <c r="F2372" s="69"/>
      <c r="G2372" s="185"/>
      <c r="H2372" s="69"/>
      <c r="I2372" s="69"/>
      <c r="J2372" s="69"/>
      <c r="K2372" s="69"/>
      <c r="L2372" s="69"/>
      <c r="M2372" s="69"/>
      <c r="N2372" s="69"/>
      <c r="O2372" s="69"/>
      <c r="P2372" s="69"/>
      <c r="Q2372" s="69"/>
      <c r="R2372" s="69"/>
      <c r="S2372" s="69"/>
      <c r="T2372" s="69"/>
      <c r="U2372" s="69"/>
      <c r="V2372" s="69"/>
      <c r="W2372" s="69"/>
      <c r="X2372" s="69"/>
      <c r="Y2372" s="69"/>
      <c r="Z2372" s="69"/>
      <c r="AA2372" s="69"/>
      <c r="AB2372" s="69"/>
      <c r="AC2372" s="69"/>
      <c r="AD2372" s="69"/>
      <c r="AE2372" s="69"/>
    </row>
    <row r="2373" spans="1:31" ht="22.5" customHeight="1">
      <c r="A2373" s="69"/>
      <c r="B2373" s="69"/>
      <c r="C2373" s="69"/>
      <c r="D2373" s="69"/>
      <c r="E2373" s="185"/>
      <c r="F2373" s="69"/>
      <c r="G2373" s="185"/>
      <c r="H2373" s="69"/>
      <c r="I2373" s="69"/>
      <c r="J2373" s="69"/>
      <c r="K2373" s="69"/>
      <c r="L2373" s="69"/>
      <c r="M2373" s="69"/>
      <c r="N2373" s="69"/>
      <c r="O2373" s="69"/>
      <c r="P2373" s="69"/>
      <c r="Q2373" s="69"/>
      <c r="R2373" s="69"/>
      <c r="S2373" s="69"/>
      <c r="T2373" s="69"/>
      <c r="U2373" s="69"/>
      <c r="V2373" s="69"/>
      <c r="W2373" s="69"/>
      <c r="X2373" s="69"/>
      <c r="Y2373" s="69"/>
      <c r="Z2373" s="69"/>
      <c r="AA2373" s="69"/>
      <c r="AB2373" s="69"/>
      <c r="AC2373" s="69"/>
      <c r="AD2373" s="69"/>
      <c r="AE2373" s="69"/>
    </row>
    <row r="2374" spans="1:31" ht="22.5" customHeight="1">
      <c r="A2374" s="69"/>
      <c r="B2374" s="69"/>
      <c r="C2374" s="69"/>
      <c r="D2374" s="69"/>
      <c r="E2374" s="185"/>
      <c r="F2374" s="69"/>
      <c r="G2374" s="185"/>
      <c r="H2374" s="69"/>
      <c r="I2374" s="69"/>
      <c r="J2374" s="69"/>
      <c r="K2374" s="69"/>
      <c r="L2374" s="69"/>
      <c r="M2374" s="69"/>
      <c r="N2374" s="69"/>
      <c r="O2374" s="69"/>
      <c r="P2374" s="69"/>
      <c r="Q2374" s="69"/>
      <c r="R2374" s="69"/>
      <c r="S2374" s="69"/>
      <c r="T2374" s="69"/>
      <c r="U2374" s="69"/>
      <c r="V2374" s="69"/>
      <c r="W2374" s="69"/>
      <c r="X2374" s="69"/>
      <c r="Y2374" s="69"/>
      <c r="Z2374" s="69"/>
      <c r="AA2374" s="69"/>
      <c r="AB2374" s="69"/>
      <c r="AC2374" s="69"/>
      <c r="AD2374" s="69"/>
      <c r="AE2374" s="69"/>
    </row>
    <row r="2375" spans="1:31" ht="22.5" customHeight="1">
      <c r="A2375" s="69"/>
      <c r="B2375" s="69"/>
      <c r="C2375" s="69"/>
      <c r="D2375" s="69"/>
      <c r="E2375" s="185"/>
      <c r="F2375" s="69"/>
      <c r="G2375" s="185"/>
      <c r="H2375" s="69"/>
      <c r="I2375" s="69"/>
      <c r="J2375" s="69"/>
      <c r="K2375" s="69"/>
      <c r="L2375" s="69"/>
      <c r="M2375" s="69"/>
      <c r="N2375" s="69"/>
      <c r="O2375" s="69"/>
      <c r="P2375" s="69"/>
      <c r="Q2375" s="69"/>
      <c r="R2375" s="69"/>
      <c r="S2375" s="69"/>
      <c r="T2375" s="69"/>
      <c r="U2375" s="69"/>
      <c r="V2375" s="69"/>
      <c r="W2375" s="69"/>
      <c r="X2375" s="69"/>
      <c r="Y2375" s="69"/>
      <c r="Z2375" s="69"/>
      <c r="AA2375" s="69"/>
      <c r="AB2375" s="69"/>
      <c r="AC2375" s="69"/>
      <c r="AD2375" s="69"/>
      <c r="AE2375" s="69"/>
    </row>
    <row r="2376" spans="1:31" ht="22.5" customHeight="1">
      <c r="A2376" s="69"/>
      <c r="B2376" s="69"/>
      <c r="C2376" s="69"/>
      <c r="D2376" s="69"/>
      <c r="E2376" s="185"/>
      <c r="F2376" s="69"/>
      <c r="G2376" s="185"/>
      <c r="H2376" s="69"/>
      <c r="I2376" s="69"/>
      <c r="J2376" s="69"/>
      <c r="K2376" s="69"/>
      <c r="L2376" s="69"/>
      <c r="M2376" s="69"/>
      <c r="N2376" s="69"/>
      <c r="O2376" s="69"/>
      <c r="P2376" s="69"/>
      <c r="Q2376" s="69"/>
      <c r="R2376" s="69"/>
      <c r="S2376" s="69"/>
      <c r="T2376" s="69"/>
      <c r="U2376" s="69"/>
      <c r="V2376" s="69"/>
      <c r="W2376" s="69"/>
      <c r="X2376" s="69"/>
      <c r="Y2376" s="69"/>
      <c r="Z2376" s="69"/>
      <c r="AA2376" s="69"/>
      <c r="AB2376" s="69"/>
      <c r="AC2376" s="69"/>
      <c r="AD2376" s="69"/>
      <c r="AE2376" s="69"/>
    </row>
    <row r="2377" spans="1:31" ht="22.5" customHeight="1">
      <c r="A2377" s="69"/>
      <c r="B2377" s="69"/>
      <c r="C2377" s="69"/>
      <c r="D2377" s="69"/>
      <c r="E2377" s="185"/>
      <c r="F2377" s="69"/>
      <c r="G2377" s="185"/>
      <c r="H2377" s="69"/>
      <c r="I2377" s="69"/>
      <c r="J2377" s="69"/>
      <c r="K2377" s="69"/>
      <c r="L2377" s="69"/>
      <c r="M2377" s="69"/>
      <c r="N2377" s="69"/>
      <c r="O2377" s="69"/>
      <c r="P2377" s="69"/>
      <c r="Q2377" s="69"/>
      <c r="R2377" s="69"/>
      <c r="S2377" s="69"/>
      <c r="T2377" s="69"/>
      <c r="U2377" s="69"/>
      <c r="V2377" s="69"/>
      <c r="W2377" s="69"/>
      <c r="X2377" s="69"/>
      <c r="Y2377" s="69"/>
      <c r="Z2377" s="69"/>
      <c r="AA2377" s="69"/>
      <c r="AB2377" s="69"/>
      <c r="AC2377" s="69"/>
      <c r="AD2377" s="69"/>
      <c r="AE2377" s="69"/>
    </row>
    <row r="2378" spans="1:31" ht="22.5" customHeight="1">
      <c r="A2378" s="69"/>
      <c r="B2378" s="69"/>
      <c r="C2378" s="69"/>
      <c r="D2378" s="69"/>
      <c r="E2378" s="185"/>
      <c r="F2378" s="69"/>
      <c r="G2378" s="185"/>
      <c r="H2378" s="69"/>
      <c r="I2378" s="69"/>
      <c r="J2378" s="69"/>
      <c r="K2378" s="69"/>
      <c r="L2378" s="69"/>
      <c r="M2378" s="69"/>
      <c r="N2378" s="69"/>
      <c r="O2378" s="69"/>
      <c r="P2378" s="69"/>
      <c r="Q2378" s="69"/>
      <c r="R2378" s="69"/>
      <c r="S2378" s="69"/>
      <c r="T2378" s="69"/>
      <c r="U2378" s="69"/>
      <c r="V2378" s="69"/>
      <c r="W2378" s="69"/>
      <c r="X2378" s="69"/>
      <c r="Y2378" s="69"/>
      <c r="Z2378" s="69"/>
      <c r="AA2378" s="69"/>
      <c r="AB2378" s="69"/>
      <c r="AC2378" s="69"/>
      <c r="AD2378" s="69"/>
      <c r="AE2378" s="69"/>
    </row>
    <row r="2379" spans="1:31" ht="22.5" customHeight="1">
      <c r="A2379" s="69"/>
      <c r="B2379" s="69"/>
      <c r="C2379" s="69"/>
      <c r="D2379" s="69"/>
      <c r="E2379" s="185"/>
      <c r="F2379" s="69"/>
      <c r="G2379" s="185"/>
      <c r="H2379" s="69"/>
      <c r="I2379" s="69"/>
      <c r="J2379" s="69"/>
      <c r="K2379" s="69"/>
      <c r="L2379" s="69"/>
      <c r="M2379" s="69"/>
      <c r="N2379" s="69"/>
      <c r="O2379" s="69"/>
      <c r="P2379" s="69"/>
      <c r="Q2379" s="69"/>
      <c r="R2379" s="69"/>
      <c r="S2379" s="69"/>
      <c r="T2379" s="69"/>
      <c r="U2379" s="69"/>
      <c r="V2379" s="69"/>
      <c r="W2379" s="69"/>
      <c r="X2379" s="69"/>
      <c r="Y2379" s="69"/>
      <c r="Z2379" s="69"/>
      <c r="AA2379" s="69"/>
      <c r="AB2379" s="69"/>
      <c r="AC2379" s="69"/>
      <c r="AD2379" s="69"/>
      <c r="AE2379" s="69"/>
    </row>
    <row r="2380" spans="1:31" ht="22.5" customHeight="1">
      <c r="A2380" s="69"/>
      <c r="B2380" s="69"/>
      <c r="C2380" s="69"/>
      <c r="D2380" s="69"/>
      <c r="E2380" s="185"/>
      <c r="F2380" s="69"/>
      <c r="G2380" s="185"/>
      <c r="H2380" s="69"/>
      <c r="I2380" s="69"/>
      <c r="J2380" s="69"/>
      <c r="K2380" s="69"/>
      <c r="L2380" s="69"/>
      <c r="M2380" s="69"/>
      <c r="N2380" s="69"/>
      <c r="O2380" s="69"/>
      <c r="P2380" s="69"/>
      <c r="Q2380" s="69"/>
      <c r="R2380" s="69"/>
      <c r="S2380" s="69"/>
      <c r="T2380" s="69"/>
      <c r="U2380" s="69"/>
      <c r="V2380" s="69"/>
      <c r="W2380" s="69"/>
      <c r="X2380" s="69"/>
      <c r="Y2380" s="69"/>
      <c r="Z2380" s="69"/>
      <c r="AA2380" s="69"/>
      <c r="AB2380" s="69"/>
      <c r="AC2380" s="69"/>
      <c r="AD2380" s="69"/>
      <c r="AE2380" s="69"/>
    </row>
    <row r="2381" spans="1:31" ht="22.5" customHeight="1">
      <c r="A2381" s="69"/>
      <c r="B2381" s="69"/>
      <c r="C2381" s="69"/>
      <c r="D2381" s="69"/>
      <c r="E2381" s="185"/>
      <c r="F2381" s="69"/>
      <c r="G2381" s="185"/>
      <c r="H2381" s="69"/>
      <c r="I2381" s="69"/>
      <c r="J2381" s="69"/>
      <c r="K2381" s="69"/>
      <c r="L2381" s="69"/>
      <c r="M2381" s="69"/>
      <c r="N2381" s="69"/>
      <c r="O2381" s="69"/>
      <c r="P2381" s="69"/>
      <c r="Q2381" s="69"/>
      <c r="R2381" s="69"/>
      <c r="S2381" s="69"/>
      <c r="T2381" s="69"/>
      <c r="U2381" s="69"/>
      <c r="V2381" s="69"/>
      <c r="W2381" s="69"/>
      <c r="X2381" s="69"/>
      <c r="Y2381" s="69"/>
      <c r="Z2381" s="69"/>
      <c r="AA2381" s="69"/>
      <c r="AB2381" s="69"/>
      <c r="AC2381" s="69"/>
      <c r="AD2381" s="69"/>
      <c r="AE2381" s="69"/>
    </row>
    <row r="2382" spans="1:31" ht="22.5" customHeight="1">
      <c r="A2382" s="69"/>
      <c r="B2382" s="69"/>
      <c r="C2382" s="69"/>
      <c r="D2382" s="69"/>
      <c r="E2382" s="185"/>
      <c r="F2382" s="69"/>
      <c r="G2382" s="185"/>
      <c r="H2382" s="69"/>
      <c r="I2382" s="69"/>
      <c r="J2382" s="69"/>
      <c r="K2382" s="69"/>
      <c r="L2382" s="69"/>
      <c r="M2382" s="69"/>
      <c r="N2382" s="69"/>
      <c r="O2382" s="69"/>
      <c r="P2382" s="69"/>
      <c r="Q2382" s="69"/>
      <c r="R2382" s="69"/>
      <c r="S2382" s="69"/>
      <c r="T2382" s="69"/>
      <c r="U2382" s="69"/>
      <c r="V2382" s="69"/>
      <c r="W2382" s="69"/>
      <c r="X2382" s="69"/>
      <c r="Y2382" s="69"/>
      <c r="Z2382" s="69"/>
      <c r="AA2382" s="69"/>
      <c r="AB2382" s="69"/>
      <c r="AC2382" s="69"/>
      <c r="AD2382" s="69"/>
      <c r="AE2382" s="69"/>
    </row>
    <row r="2383" spans="1:31" ht="22.5" customHeight="1">
      <c r="A2383" s="69"/>
      <c r="B2383" s="69"/>
      <c r="C2383" s="69"/>
      <c r="D2383" s="69"/>
      <c r="E2383" s="185"/>
      <c r="F2383" s="69"/>
      <c r="G2383" s="185"/>
      <c r="H2383" s="69"/>
      <c r="I2383" s="69"/>
      <c r="J2383" s="69"/>
      <c r="K2383" s="69"/>
      <c r="L2383" s="69"/>
      <c r="M2383" s="69"/>
      <c r="N2383" s="69"/>
      <c r="O2383" s="69"/>
      <c r="P2383" s="69"/>
      <c r="Q2383" s="69"/>
      <c r="R2383" s="69"/>
      <c r="S2383" s="69"/>
      <c r="T2383" s="69"/>
      <c r="U2383" s="69"/>
      <c r="V2383" s="69"/>
      <c r="W2383" s="69"/>
      <c r="X2383" s="69"/>
      <c r="Y2383" s="69"/>
      <c r="Z2383" s="69"/>
      <c r="AA2383" s="69"/>
      <c r="AB2383" s="69"/>
      <c r="AC2383" s="69"/>
      <c r="AD2383" s="69"/>
      <c r="AE2383" s="69"/>
    </row>
    <row r="2384" spans="1:31" ht="22.5" customHeight="1">
      <c r="A2384" s="69"/>
      <c r="B2384" s="69"/>
      <c r="C2384" s="69"/>
      <c r="D2384" s="69"/>
      <c r="E2384" s="185"/>
      <c r="F2384" s="69"/>
      <c r="G2384" s="185"/>
      <c r="H2384" s="69"/>
      <c r="I2384" s="69"/>
      <c r="J2384" s="69"/>
      <c r="K2384" s="69"/>
      <c r="L2384" s="69"/>
      <c r="M2384" s="69"/>
      <c r="N2384" s="69"/>
      <c r="O2384" s="69"/>
      <c r="P2384" s="69"/>
      <c r="Q2384" s="69"/>
      <c r="R2384" s="69"/>
      <c r="S2384" s="69"/>
      <c r="T2384" s="69"/>
      <c r="U2384" s="69"/>
      <c r="V2384" s="69"/>
      <c r="W2384" s="69"/>
      <c r="X2384" s="69"/>
      <c r="Y2384" s="69"/>
      <c r="Z2384" s="69"/>
      <c r="AA2384" s="69"/>
      <c r="AB2384" s="69"/>
      <c r="AC2384" s="69"/>
      <c r="AD2384" s="69"/>
      <c r="AE2384" s="69"/>
    </row>
    <row r="2385" spans="1:31" ht="22.5" customHeight="1">
      <c r="A2385" s="69"/>
      <c r="B2385" s="69"/>
      <c r="C2385" s="69"/>
      <c r="D2385" s="69"/>
      <c r="E2385" s="185"/>
      <c r="F2385" s="69"/>
      <c r="G2385" s="185"/>
      <c r="H2385" s="69"/>
      <c r="I2385" s="69"/>
      <c r="J2385" s="69"/>
      <c r="K2385" s="69"/>
      <c r="L2385" s="69"/>
      <c r="M2385" s="69"/>
      <c r="N2385" s="69"/>
      <c r="O2385" s="69"/>
      <c r="P2385" s="69"/>
      <c r="Q2385" s="69"/>
      <c r="R2385" s="69"/>
      <c r="S2385" s="69"/>
      <c r="T2385" s="69"/>
      <c r="U2385" s="69"/>
      <c r="V2385" s="69"/>
      <c r="W2385" s="69"/>
      <c r="X2385" s="69"/>
      <c r="Y2385" s="69"/>
      <c r="Z2385" s="69"/>
      <c r="AA2385" s="69"/>
      <c r="AB2385" s="69"/>
      <c r="AC2385" s="69"/>
      <c r="AD2385" s="69"/>
      <c r="AE2385" s="69"/>
    </row>
    <row r="2386" spans="1:31" ht="22.5" customHeight="1">
      <c r="A2386" s="69"/>
      <c r="B2386" s="69"/>
      <c r="C2386" s="69"/>
      <c r="D2386" s="69"/>
      <c r="E2386" s="185"/>
      <c r="F2386" s="69"/>
      <c r="G2386" s="185"/>
      <c r="H2386" s="69"/>
      <c r="I2386" s="69"/>
      <c r="J2386" s="69"/>
      <c r="K2386" s="69"/>
      <c r="L2386" s="69"/>
      <c r="M2386" s="69"/>
      <c r="N2386" s="69"/>
      <c r="O2386" s="69"/>
      <c r="P2386" s="69"/>
      <c r="Q2386" s="69"/>
      <c r="R2386" s="69"/>
      <c r="S2386" s="69"/>
      <c r="T2386" s="69"/>
      <c r="U2386" s="69"/>
      <c r="V2386" s="69"/>
      <c r="W2386" s="69"/>
      <c r="X2386" s="69"/>
      <c r="Y2386" s="69"/>
      <c r="Z2386" s="69"/>
      <c r="AA2386" s="69"/>
      <c r="AB2386" s="69"/>
      <c r="AC2386" s="69"/>
      <c r="AD2386" s="69"/>
      <c r="AE2386" s="69"/>
    </row>
    <row r="2387" spans="1:31" ht="22.5" customHeight="1">
      <c r="A2387" s="69"/>
      <c r="B2387" s="69"/>
      <c r="C2387" s="69"/>
      <c r="D2387" s="69"/>
      <c r="E2387" s="185"/>
      <c r="F2387" s="69"/>
      <c r="G2387" s="185"/>
      <c r="H2387" s="69"/>
      <c r="I2387" s="69"/>
      <c r="J2387" s="69"/>
      <c r="K2387" s="69"/>
      <c r="L2387" s="69"/>
      <c r="M2387" s="69"/>
      <c r="N2387" s="69"/>
      <c r="O2387" s="69"/>
      <c r="P2387" s="69"/>
      <c r="Q2387" s="69"/>
      <c r="R2387" s="69"/>
      <c r="S2387" s="69"/>
      <c r="T2387" s="69"/>
      <c r="U2387" s="69"/>
      <c r="V2387" s="69"/>
      <c r="W2387" s="69"/>
      <c r="X2387" s="69"/>
      <c r="Y2387" s="69"/>
      <c r="Z2387" s="69"/>
      <c r="AA2387" s="69"/>
      <c r="AB2387" s="69"/>
      <c r="AC2387" s="69"/>
      <c r="AD2387" s="69"/>
      <c r="AE2387" s="69"/>
    </row>
    <row r="2388" spans="1:31" ht="22.5" customHeight="1">
      <c r="A2388" s="69"/>
      <c r="B2388" s="69"/>
      <c r="C2388" s="69"/>
      <c r="D2388" s="69"/>
      <c r="E2388" s="185"/>
      <c r="F2388" s="69"/>
      <c r="G2388" s="185"/>
      <c r="H2388" s="69"/>
      <c r="I2388" s="69"/>
      <c r="J2388" s="69"/>
      <c r="K2388" s="69"/>
      <c r="L2388" s="69"/>
      <c r="M2388" s="69"/>
      <c r="N2388" s="69"/>
      <c r="O2388" s="69"/>
      <c r="P2388" s="69"/>
      <c r="Q2388" s="69"/>
      <c r="R2388" s="69"/>
      <c r="S2388" s="69"/>
      <c r="T2388" s="69"/>
      <c r="U2388" s="69"/>
      <c r="V2388" s="69"/>
      <c r="W2388" s="69"/>
      <c r="X2388" s="69"/>
      <c r="Y2388" s="69"/>
      <c r="Z2388" s="69"/>
      <c r="AA2388" s="69"/>
      <c r="AB2388" s="69"/>
      <c r="AC2388" s="69"/>
      <c r="AD2388" s="69"/>
      <c r="AE2388" s="69"/>
    </row>
    <row r="2389" spans="1:31" ht="22.5" customHeight="1">
      <c r="A2389" s="69"/>
      <c r="B2389" s="69"/>
      <c r="C2389" s="69"/>
      <c r="D2389" s="69"/>
      <c r="E2389" s="185"/>
      <c r="F2389" s="69"/>
      <c r="G2389" s="185"/>
      <c r="H2389" s="69"/>
      <c r="I2389" s="69"/>
      <c r="J2389" s="69"/>
      <c r="K2389" s="69"/>
      <c r="L2389" s="69"/>
      <c r="M2389" s="69"/>
      <c r="N2389" s="69"/>
      <c r="O2389" s="69"/>
      <c r="P2389" s="69"/>
      <c r="Q2389" s="69"/>
      <c r="R2389" s="69"/>
      <c r="S2389" s="69"/>
      <c r="T2389" s="69"/>
      <c r="U2389" s="69"/>
      <c r="V2389" s="69"/>
      <c r="W2389" s="69"/>
      <c r="X2389" s="69"/>
      <c r="Y2389" s="69"/>
      <c r="Z2389" s="69"/>
      <c r="AA2389" s="69"/>
      <c r="AB2389" s="69"/>
      <c r="AC2389" s="69"/>
      <c r="AD2389" s="69"/>
      <c r="AE2389" s="69"/>
    </row>
    <row r="2390" spans="1:31" ht="22.5" customHeight="1">
      <c r="A2390" s="69"/>
      <c r="B2390" s="69"/>
      <c r="C2390" s="69"/>
      <c r="D2390" s="69"/>
      <c r="E2390" s="185"/>
      <c r="F2390" s="69"/>
      <c r="G2390" s="185"/>
      <c r="H2390" s="69"/>
      <c r="I2390" s="69"/>
      <c r="J2390" s="69"/>
      <c r="K2390" s="69"/>
      <c r="L2390" s="69"/>
      <c r="M2390" s="69"/>
      <c r="N2390" s="69"/>
      <c r="O2390" s="69"/>
      <c r="P2390" s="69"/>
      <c r="Q2390" s="69"/>
      <c r="R2390" s="69"/>
      <c r="S2390" s="69"/>
      <c r="T2390" s="69"/>
      <c r="U2390" s="69"/>
      <c r="V2390" s="69"/>
      <c r="W2390" s="69"/>
      <c r="X2390" s="69"/>
      <c r="Y2390" s="69"/>
      <c r="Z2390" s="69"/>
      <c r="AA2390" s="69"/>
      <c r="AB2390" s="69"/>
      <c r="AC2390" s="69"/>
      <c r="AD2390" s="69"/>
      <c r="AE2390" s="69"/>
    </row>
    <row r="2391" spans="1:31" ht="22.5" customHeight="1">
      <c r="A2391" s="69"/>
      <c r="B2391" s="69"/>
      <c r="C2391" s="69"/>
      <c r="D2391" s="69"/>
      <c r="E2391" s="185"/>
      <c r="F2391" s="69"/>
      <c r="G2391" s="185"/>
      <c r="H2391" s="69"/>
      <c r="I2391" s="69"/>
      <c r="J2391" s="69"/>
      <c r="K2391" s="69"/>
      <c r="L2391" s="69"/>
      <c r="M2391" s="69"/>
      <c r="N2391" s="69"/>
      <c r="O2391" s="69"/>
      <c r="P2391" s="69"/>
      <c r="Q2391" s="69"/>
      <c r="R2391" s="69"/>
      <c r="S2391" s="69"/>
      <c r="T2391" s="69"/>
      <c r="U2391" s="69"/>
      <c r="V2391" s="69"/>
      <c r="W2391" s="69"/>
      <c r="X2391" s="69"/>
      <c r="Y2391" s="69"/>
      <c r="Z2391" s="69"/>
      <c r="AA2391" s="69"/>
      <c r="AB2391" s="69"/>
      <c r="AC2391" s="69"/>
      <c r="AD2391" s="69"/>
      <c r="AE2391" s="69"/>
    </row>
    <row r="2392" spans="1:31" ht="22.5" customHeight="1">
      <c r="A2392" s="69"/>
      <c r="B2392" s="69"/>
      <c r="C2392" s="69"/>
      <c r="D2392" s="69"/>
      <c r="E2392" s="185"/>
      <c r="F2392" s="69"/>
      <c r="G2392" s="185"/>
      <c r="H2392" s="69"/>
      <c r="I2392" s="69"/>
      <c r="J2392" s="69"/>
      <c r="K2392" s="69"/>
      <c r="L2392" s="69"/>
      <c r="M2392" s="69"/>
      <c r="N2392" s="69"/>
      <c r="O2392" s="69"/>
      <c r="P2392" s="69"/>
      <c r="Q2392" s="69"/>
      <c r="R2392" s="69"/>
      <c r="S2392" s="69"/>
      <c r="T2392" s="69"/>
      <c r="U2392" s="69"/>
      <c r="V2392" s="69"/>
      <c r="W2392" s="69"/>
      <c r="X2392" s="69"/>
      <c r="Y2392" s="69"/>
      <c r="Z2392" s="69"/>
      <c r="AA2392" s="69"/>
      <c r="AB2392" s="69"/>
      <c r="AC2392" s="69"/>
      <c r="AD2392" s="69"/>
      <c r="AE2392" s="69"/>
    </row>
    <row r="2393" spans="1:31" ht="22.5" customHeight="1">
      <c r="A2393" s="69"/>
      <c r="B2393" s="69"/>
      <c r="C2393" s="69"/>
      <c r="D2393" s="69"/>
      <c r="E2393" s="185"/>
      <c r="F2393" s="69"/>
      <c r="G2393" s="185"/>
      <c r="H2393" s="69"/>
      <c r="I2393" s="69"/>
      <c r="J2393" s="69"/>
      <c r="K2393" s="69"/>
      <c r="L2393" s="69"/>
      <c r="M2393" s="69"/>
      <c r="N2393" s="69"/>
      <c r="O2393" s="69"/>
      <c r="P2393" s="69"/>
      <c r="Q2393" s="69"/>
      <c r="R2393" s="69"/>
      <c r="S2393" s="69"/>
      <c r="T2393" s="69"/>
      <c r="U2393" s="69"/>
      <c r="V2393" s="69"/>
      <c r="W2393" s="69"/>
      <c r="X2393" s="69"/>
      <c r="Y2393" s="69"/>
      <c r="Z2393" s="69"/>
      <c r="AA2393" s="69"/>
      <c r="AB2393" s="69"/>
      <c r="AC2393" s="69"/>
      <c r="AD2393" s="69"/>
      <c r="AE2393" s="69"/>
    </row>
    <row r="2394" spans="1:31" ht="22.5" customHeight="1">
      <c r="A2394" s="69"/>
      <c r="B2394" s="69"/>
      <c r="C2394" s="69"/>
      <c r="D2394" s="69"/>
      <c r="E2394" s="185"/>
      <c r="F2394" s="69"/>
      <c r="G2394" s="185"/>
      <c r="H2394" s="69"/>
      <c r="I2394" s="69"/>
      <c r="J2394" s="69"/>
      <c r="K2394" s="69"/>
      <c r="L2394" s="69"/>
      <c r="M2394" s="69"/>
      <c r="N2394" s="69"/>
      <c r="O2394" s="69"/>
      <c r="P2394" s="69"/>
      <c r="Q2394" s="69"/>
      <c r="R2394" s="69"/>
      <c r="S2394" s="69"/>
      <c r="T2394" s="69"/>
      <c r="U2394" s="69"/>
      <c r="V2394" s="69"/>
      <c r="W2394" s="69"/>
      <c r="X2394" s="69"/>
      <c r="Y2394" s="69"/>
      <c r="Z2394" s="69"/>
      <c r="AA2394" s="69"/>
      <c r="AB2394" s="69"/>
      <c r="AC2394" s="69"/>
      <c r="AD2394" s="69"/>
      <c r="AE2394" s="69"/>
    </row>
    <row r="2395" spans="1:31" ht="22.5" customHeight="1">
      <c r="A2395" s="69"/>
      <c r="B2395" s="69"/>
      <c r="C2395" s="69"/>
      <c r="D2395" s="69"/>
      <c r="E2395" s="185"/>
      <c r="F2395" s="69"/>
      <c r="G2395" s="185"/>
      <c r="H2395" s="69"/>
      <c r="I2395" s="69"/>
      <c r="J2395" s="69"/>
      <c r="K2395" s="69"/>
      <c r="L2395" s="69"/>
      <c r="M2395" s="69"/>
      <c r="N2395" s="69"/>
      <c r="O2395" s="69"/>
      <c r="P2395" s="69"/>
      <c r="Q2395" s="69"/>
      <c r="R2395" s="69"/>
      <c r="S2395" s="69"/>
      <c r="T2395" s="69"/>
      <c r="U2395" s="69"/>
      <c r="V2395" s="69"/>
      <c r="W2395" s="69"/>
      <c r="X2395" s="69"/>
      <c r="Y2395" s="69"/>
      <c r="Z2395" s="69"/>
      <c r="AA2395" s="69"/>
      <c r="AB2395" s="69"/>
      <c r="AC2395" s="69"/>
      <c r="AD2395" s="69"/>
      <c r="AE2395" s="69"/>
    </row>
    <row r="2396" spans="1:31" ht="22.5" customHeight="1">
      <c r="A2396" s="69"/>
      <c r="B2396" s="69"/>
      <c r="C2396" s="69"/>
      <c r="D2396" s="69"/>
      <c r="E2396" s="185"/>
      <c r="F2396" s="69"/>
      <c r="G2396" s="185"/>
      <c r="H2396" s="69"/>
      <c r="I2396" s="69"/>
      <c r="J2396" s="69"/>
      <c r="K2396" s="69"/>
      <c r="L2396" s="69"/>
      <c r="M2396" s="69"/>
      <c r="N2396" s="69"/>
      <c r="O2396" s="69"/>
      <c r="P2396" s="69"/>
      <c r="Q2396" s="69"/>
      <c r="R2396" s="69"/>
      <c r="S2396" s="69"/>
      <c r="T2396" s="69"/>
      <c r="U2396" s="69"/>
      <c r="V2396" s="69"/>
      <c r="W2396" s="69"/>
      <c r="X2396" s="69"/>
      <c r="Y2396" s="69"/>
      <c r="Z2396" s="69"/>
      <c r="AA2396" s="69"/>
      <c r="AB2396" s="69"/>
      <c r="AC2396" s="69"/>
      <c r="AD2396" s="69"/>
      <c r="AE2396" s="69"/>
    </row>
    <row r="2397" spans="1:31" ht="22.5" customHeight="1">
      <c r="A2397" s="69"/>
      <c r="B2397" s="69"/>
      <c r="C2397" s="69"/>
      <c r="D2397" s="69"/>
      <c r="E2397" s="185"/>
      <c r="F2397" s="69"/>
      <c r="G2397" s="185"/>
      <c r="H2397" s="69"/>
      <c r="I2397" s="69"/>
      <c r="J2397" s="69"/>
      <c r="K2397" s="69"/>
      <c r="L2397" s="69"/>
      <c r="M2397" s="69"/>
      <c r="N2397" s="69"/>
      <c r="O2397" s="69"/>
      <c r="P2397" s="69"/>
      <c r="Q2397" s="69"/>
      <c r="R2397" s="69"/>
      <c r="S2397" s="69"/>
      <c r="T2397" s="69"/>
      <c r="U2397" s="69"/>
      <c r="V2397" s="69"/>
      <c r="W2397" s="69"/>
      <c r="X2397" s="69"/>
      <c r="Y2397" s="69"/>
      <c r="Z2397" s="69"/>
      <c r="AA2397" s="69"/>
      <c r="AB2397" s="69"/>
      <c r="AC2397" s="69"/>
      <c r="AD2397" s="69"/>
      <c r="AE2397" s="69"/>
    </row>
    <row r="2398" spans="1:31" ht="22.5" customHeight="1">
      <c r="A2398" s="69"/>
      <c r="B2398" s="69"/>
      <c r="C2398" s="69"/>
      <c r="D2398" s="69"/>
      <c r="E2398" s="185"/>
      <c r="F2398" s="69"/>
      <c r="G2398" s="185"/>
      <c r="H2398" s="69"/>
      <c r="I2398" s="69"/>
      <c r="J2398" s="69"/>
      <c r="K2398" s="69"/>
      <c r="L2398" s="69"/>
      <c r="M2398" s="69"/>
      <c r="N2398" s="69"/>
      <c r="O2398" s="69"/>
      <c r="P2398" s="69"/>
      <c r="Q2398" s="69"/>
      <c r="R2398" s="69"/>
      <c r="S2398" s="69"/>
      <c r="T2398" s="69"/>
      <c r="U2398" s="69"/>
      <c r="V2398" s="69"/>
      <c r="W2398" s="69"/>
      <c r="X2398" s="69"/>
      <c r="Y2398" s="69"/>
      <c r="Z2398" s="69"/>
      <c r="AA2398" s="69"/>
      <c r="AB2398" s="69"/>
      <c r="AC2398" s="69"/>
      <c r="AD2398" s="69"/>
      <c r="AE2398" s="69"/>
    </row>
    <row r="2399" spans="1:31" ht="22.5" customHeight="1">
      <c r="A2399" s="69"/>
      <c r="B2399" s="69"/>
      <c r="C2399" s="69"/>
      <c r="D2399" s="69"/>
      <c r="E2399" s="185"/>
      <c r="F2399" s="69"/>
      <c r="G2399" s="185"/>
      <c r="H2399" s="69"/>
      <c r="I2399" s="69"/>
      <c r="J2399" s="69"/>
      <c r="K2399" s="69"/>
      <c r="L2399" s="69"/>
      <c r="M2399" s="69"/>
      <c r="N2399" s="69"/>
      <c r="O2399" s="69"/>
      <c r="P2399" s="69"/>
      <c r="Q2399" s="69"/>
      <c r="R2399" s="69"/>
      <c r="S2399" s="69"/>
      <c r="T2399" s="69"/>
      <c r="U2399" s="69"/>
      <c r="V2399" s="69"/>
      <c r="W2399" s="69"/>
      <c r="X2399" s="69"/>
      <c r="Y2399" s="69"/>
      <c r="Z2399" s="69"/>
      <c r="AA2399" s="69"/>
      <c r="AB2399" s="69"/>
      <c r="AC2399" s="69"/>
      <c r="AD2399" s="69"/>
      <c r="AE2399" s="69"/>
    </row>
    <row r="2400" spans="1:31" ht="22.5" customHeight="1">
      <c r="A2400" s="69"/>
      <c r="B2400" s="69"/>
      <c r="C2400" s="69"/>
      <c r="D2400" s="69"/>
      <c r="E2400" s="185"/>
      <c r="F2400" s="69"/>
      <c r="G2400" s="185"/>
      <c r="H2400" s="69"/>
      <c r="I2400" s="69"/>
      <c r="J2400" s="69"/>
      <c r="K2400" s="69"/>
      <c r="L2400" s="69"/>
      <c r="M2400" s="69"/>
      <c r="N2400" s="69"/>
      <c r="O2400" s="69"/>
      <c r="P2400" s="69"/>
      <c r="Q2400" s="69"/>
      <c r="R2400" s="69"/>
      <c r="S2400" s="69"/>
      <c r="T2400" s="69"/>
      <c r="U2400" s="69"/>
      <c r="V2400" s="69"/>
      <c r="W2400" s="69"/>
      <c r="X2400" s="69"/>
      <c r="Y2400" s="69"/>
      <c r="Z2400" s="69"/>
      <c r="AA2400" s="69"/>
      <c r="AB2400" s="69"/>
      <c r="AC2400" s="69"/>
      <c r="AD2400" s="69"/>
      <c r="AE2400" s="69"/>
    </row>
    <row r="2401" spans="1:31" ht="22.5" customHeight="1">
      <c r="A2401" s="69"/>
      <c r="B2401" s="69"/>
      <c r="C2401" s="69"/>
      <c r="D2401" s="69"/>
      <c r="E2401" s="185"/>
      <c r="F2401" s="69"/>
      <c r="G2401" s="185"/>
      <c r="H2401" s="69"/>
      <c r="I2401" s="69"/>
      <c r="J2401" s="69"/>
      <c r="K2401" s="69"/>
      <c r="L2401" s="69"/>
      <c r="M2401" s="69"/>
      <c r="N2401" s="69"/>
      <c r="O2401" s="69"/>
      <c r="P2401" s="69"/>
      <c r="Q2401" s="69"/>
      <c r="R2401" s="69"/>
      <c r="S2401" s="69"/>
      <c r="T2401" s="69"/>
      <c r="U2401" s="69"/>
      <c r="V2401" s="69"/>
      <c r="W2401" s="69"/>
      <c r="X2401" s="69"/>
      <c r="Y2401" s="69"/>
      <c r="Z2401" s="69"/>
      <c r="AA2401" s="69"/>
      <c r="AB2401" s="69"/>
      <c r="AC2401" s="69"/>
      <c r="AD2401" s="69"/>
      <c r="AE2401" s="69"/>
    </row>
    <row r="2402" spans="1:31" ht="22.5" customHeight="1">
      <c r="A2402" s="69"/>
      <c r="B2402" s="69"/>
      <c r="C2402" s="69"/>
      <c r="D2402" s="69"/>
      <c r="E2402" s="185"/>
      <c r="F2402" s="69"/>
      <c r="G2402" s="185"/>
      <c r="H2402" s="69"/>
      <c r="I2402" s="69"/>
      <c r="J2402" s="69"/>
      <c r="K2402" s="69"/>
      <c r="L2402" s="69"/>
      <c r="M2402" s="69"/>
      <c r="N2402" s="69"/>
      <c r="O2402" s="69"/>
      <c r="P2402" s="69"/>
      <c r="Q2402" s="69"/>
      <c r="R2402" s="69"/>
      <c r="S2402" s="69"/>
      <c r="T2402" s="69"/>
      <c r="U2402" s="69"/>
      <c r="V2402" s="69"/>
      <c r="W2402" s="69"/>
      <c r="X2402" s="69"/>
      <c r="Y2402" s="69"/>
      <c r="Z2402" s="69"/>
      <c r="AA2402" s="69"/>
      <c r="AB2402" s="69"/>
      <c r="AC2402" s="69"/>
      <c r="AD2402" s="69"/>
      <c r="AE2402" s="69"/>
    </row>
    <row r="2403" spans="1:31" ht="22.5" customHeight="1">
      <c r="A2403" s="69"/>
      <c r="B2403" s="69"/>
      <c r="C2403" s="69"/>
      <c r="D2403" s="69"/>
      <c r="E2403" s="185"/>
      <c r="F2403" s="69"/>
      <c r="G2403" s="185"/>
      <c r="H2403" s="69"/>
      <c r="I2403" s="69"/>
      <c r="J2403" s="69"/>
      <c r="K2403" s="69"/>
      <c r="L2403" s="69"/>
      <c r="M2403" s="69"/>
      <c r="N2403" s="69"/>
      <c r="O2403" s="69"/>
      <c r="P2403" s="69"/>
      <c r="Q2403" s="69"/>
      <c r="R2403" s="69"/>
      <c r="S2403" s="69"/>
      <c r="T2403" s="69"/>
      <c r="U2403" s="69"/>
      <c r="V2403" s="69"/>
      <c r="W2403" s="69"/>
      <c r="X2403" s="69"/>
      <c r="Y2403" s="69"/>
      <c r="Z2403" s="69"/>
      <c r="AA2403" s="69"/>
      <c r="AB2403" s="69"/>
      <c r="AC2403" s="69"/>
      <c r="AD2403" s="69"/>
      <c r="AE2403" s="69"/>
    </row>
    <row r="2404" spans="1:31" ht="22.5" customHeight="1">
      <c r="A2404" s="69"/>
      <c r="B2404" s="69"/>
      <c r="C2404" s="69"/>
      <c r="D2404" s="69"/>
      <c r="E2404" s="185"/>
      <c r="F2404" s="69"/>
      <c r="G2404" s="185"/>
      <c r="H2404" s="69"/>
      <c r="I2404" s="69"/>
      <c r="J2404" s="69"/>
      <c r="K2404" s="69"/>
      <c r="L2404" s="69"/>
      <c r="M2404" s="69"/>
      <c r="N2404" s="69"/>
      <c r="O2404" s="69"/>
      <c r="P2404" s="69"/>
      <c r="Q2404" s="69"/>
      <c r="R2404" s="69"/>
      <c r="S2404" s="69"/>
      <c r="T2404" s="69"/>
      <c r="U2404" s="69"/>
      <c r="V2404" s="69"/>
      <c r="W2404" s="69"/>
      <c r="X2404" s="69"/>
      <c r="Y2404" s="69"/>
      <c r="Z2404" s="69"/>
      <c r="AA2404" s="69"/>
      <c r="AB2404" s="69"/>
      <c r="AC2404" s="69"/>
      <c r="AD2404" s="69"/>
      <c r="AE2404" s="69"/>
    </row>
    <row r="2405" spans="1:31" ht="22.5" customHeight="1">
      <c r="A2405" s="69"/>
      <c r="B2405" s="69"/>
      <c r="C2405" s="69"/>
      <c r="D2405" s="69"/>
      <c r="E2405" s="185"/>
      <c r="F2405" s="69"/>
      <c r="G2405" s="185"/>
      <c r="H2405" s="69"/>
      <c r="I2405" s="69"/>
      <c r="J2405" s="69"/>
      <c r="K2405" s="69"/>
      <c r="L2405" s="69"/>
      <c r="M2405" s="69"/>
      <c r="N2405" s="69"/>
      <c r="O2405" s="69"/>
      <c r="P2405" s="69"/>
      <c r="Q2405" s="69"/>
      <c r="R2405" s="69"/>
      <c r="S2405" s="69"/>
      <c r="T2405" s="69"/>
      <c r="U2405" s="69"/>
      <c r="V2405" s="69"/>
      <c r="W2405" s="69"/>
      <c r="X2405" s="69"/>
      <c r="Y2405" s="69"/>
      <c r="Z2405" s="69"/>
      <c r="AA2405" s="69"/>
      <c r="AB2405" s="69"/>
      <c r="AC2405" s="69"/>
      <c r="AD2405" s="69"/>
      <c r="AE2405" s="69"/>
    </row>
    <row r="2406" spans="1:31" ht="22.5" customHeight="1">
      <c r="A2406" s="69"/>
      <c r="B2406" s="69"/>
      <c r="C2406" s="69"/>
      <c r="D2406" s="69"/>
      <c r="E2406" s="185"/>
      <c r="F2406" s="69"/>
      <c r="G2406" s="185"/>
      <c r="H2406" s="69"/>
      <c r="I2406" s="69"/>
      <c r="J2406" s="69"/>
      <c r="K2406" s="69"/>
      <c r="L2406" s="69"/>
      <c r="M2406" s="69"/>
      <c r="N2406" s="69"/>
      <c r="O2406" s="69"/>
      <c r="P2406" s="69"/>
      <c r="Q2406" s="69"/>
      <c r="R2406" s="69"/>
      <c r="S2406" s="69"/>
      <c r="T2406" s="69"/>
      <c r="U2406" s="69"/>
      <c r="V2406" s="69"/>
      <c r="W2406" s="69"/>
      <c r="X2406" s="69"/>
      <c r="Y2406" s="69"/>
      <c r="Z2406" s="69"/>
      <c r="AA2406" s="69"/>
      <c r="AB2406" s="69"/>
      <c r="AC2406" s="69"/>
      <c r="AD2406" s="69"/>
      <c r="AE2406" s="69"/>
    </row>
    <row r="2407" spans="1:31" ht="22.5" customHeight="1">
      <c r="A2407" s="69"/>
      <c r="B2407" s="69"/>
      <c r="C2407" s="69"/>
      <c r="D2407" s="69"/>
      <c r="E2407" s="185"/>
      <c r="F2407" s="69"/>
      <c r="G2407" s="185"/>
      <c r="H2407" s="69"/>
      <c r="I2407" s="69"/>
      <c r="J2407" s="69"/>
      <c r="K2407" s="69"/>
      <c r="L2407" s="69"/>
      <c r="M2407" s="69"/>
      <c r="N2407" s="69"/>
      <c r="O2407" s="69"/>
      <c r="P2407" s="69"/>
      <c r="Q2407" s="69"/>
      <c r="R2407" s="69"/>
      <c r="S2407" s="69"/>
      <c r="T2407" s="69"/>
      <c r="U2407" s="69"/>
      <c r="V2407" s="69"/>
      <c r="W2407" s="69"/>
      <c r="X2407" s="69"/>
      <c r="Y2407" s="69"/>
      <c r="Z2407" s="69"/>
      <c r="AA2407" s="69"/>
      <c r="AB2407" s="69"/>
      <c r="AC2407" s="69"/>
      <c r="AD2407" s="69"/>
      <c r="AE2407" s="69"/>
    </row>
    <row r="2408" spans="1:31" ht="22.5" customHeight="1">
      <c r="A2408" s="69"/>
      <c r="B2408" s="69"/>
      <c r="C2408" s="69"/>
      <c r="D2408" s="69"/>
      <c r="E2408" s="185"/>
      <c r="F2408" s="69"/>
      <c r="G2408" s="185"/>
      <c r="H2408" s="69"/>
      <c r="I2408" s="69"/>
      <c r="J2408" s="69"/>
      <c r="K2408" s="69"/>
      <c r="L2408" s="69"/>
      <c r="M2408" s="69"/>
      <c r="N2408" s="69"/>
      <c r="O2408" s="69"/>
      <c r="P2408" s="69"/>
      <c r="Q2408" s="69"/>
      <c r="R2408" s="69"/>
      <c r="S2408" s="69"/>
      <c r="T2408" s="69"/>
      <c r="U2408" s="69"/>
      <c r="V2408" s="69"/>
      <c r="W2408" s="69"/>
      <c r="X2408" s="69"/>
      <c r="Y2408" s="69"/>
      <c r="Z2408" s="69"/>
      <c r="AA2408" s="69"/>
      <c r="AB2408" s="69"/>
      <c r="AC2408" s="69"/>
      <c r="AD2408" s="69"/>
      <c r="AE2408" s="69"/>
    </row>
    <row r="2409" spans="1:31" ht="22.5" customHeight="1">
      <c r="A2409" s="69"/>
      <c r="B2409" s="69"/>
      <c r="C2409" s="69"/>
      <c r="D2409" s="69"/>
      <c r="E2409" s="185"/>
      <c r="F2409" s="69"/>
      <c r="G2409" s="185"/>
      <c r="H2409" s="69"/>
      <c r="I2409" s="69"/>
      <c r="J2409" s="69"/>
      <c r="K2409" s="69"/>
      <c r="L2409" s="69"/>
      <c r="M2409" s="69"/>
      <c r="N2409" s="69"/>
      <c r="O2409" s="69"/>
      <c r="P2409" s="69"/>
      <c r="Q2409" s="69"/>
      <c r="R2409" s="69"/>
      <c r="S2409" s="69"/>
      <c r="T2409" s="69"/>
      <c r="U2409" s="69"/>
      <c r="V2409" s="69"/>
      <c r="W2409" s="69"/>
      <c r="X2409" s="69"/>
      <c r="Y2409" s="69"/>
      <c r="Z2409" s="69"/>
      <c r="AA2409" s="69"/>
      <c r="AB2409" s="69"/>
      <c r="AC2409" s="69"/>
      <c r="AD2409" s="69"/>
      <c r="AE2409" s="69"/>
    </row>
    <row r="2410" spans="1:31" ht="22.5" customHeight="1">
      <c r="A2410" s="69"/>
      <c r="B2410" s="69"/>
      <c r="C2410" s="69"/>
      <c r="D2410" s="69"/>
      <c r="E2410" s="185"/>
      <c r="F2410" s="69"/>
      <c r="G2410" s="185"/>
      <c r="H2410" s="69"/>
      <c r="I2410" s="69"/>
      <c r="J2410" s="69"/>
      <c r="K2410" s="69"/>
      <c r="L2410" s="69"/>
      <c r="M2410" s="69"/>
      <c r="N2410" s="69"/>
      <c r="O2410" s="69"/>
      <c r="P2410" s="69"/>
      <c r="Q2410" s="69"/>
      <c r="R2410" s="69"/>
      <c r="S2410" s="69"/>
      <c r="T2410" s="69"/>
      <c r="U2410" s="69"/>
      <c r="V2410" s="69"/>
      <c r="W2410" s="69"/>
      <c r="X2410" s="69"/>
      <c r="Y2410" s="69"/>
      <c r="Z2410" s="69"/>
      <c r="AA2410" s="69"/>
      <c r="AB2410" s="69"/>
      <c r="AC2410" s="69"/>
      <c r="AD2410" s="69"/>
      <c r="AE2410" s="69"/>
    </row>
    <row r="2411" spans="1:31" ht="22.5" customHeight="1">
      <c r="A2411" s="69"/>
      <c r="B2411" s="69"/>
      <c r="C2411" s="69"/>
      <c r="D2411" s="69"/>
      <c r="E2411" s="185"/>
      <c r="F2411" s="69"/>
      <c r="G2411" s="185"/>
      <c r="H2411" s="69"/>
      <c r="I2411" s="69"/>
      <c r="J2411" s="69"/>
      <c r="K2411" s="69"/>
      <c r="L2411" s="69"/>
      <c r="M2411" s="69"/>
      <c r="N2411" s="69"/>
      <c r="O2411" s="69"/>
      <c r="P2411" s="69"/>
      <c r="Q2411" s="69"/>
      <c r="R2411" s="69"/>
      <c r="S2411" s="69"/>
      <c r="T2411" s="69"/>
      <c r="U2411" s="69"/>
      <c r="V2411" s="69"/>
      <c r="W2411" s="69"/>
      <c r="X2411" s="69"/>
      <c r="Y2411" s="69"/>
      <c r="Z2411" s="69"/>
      <c r="AA2411" s="69"/>
      <c r="AB2411" s="69"/>
      <c r="AC2411" s="69"/>
      <c r="AD2411" s="69"/>
      <c r="AE2411" s="69"/>
    </row>
    <row r="2412" spans="1:31" ht="22.5" customHeight="1">
      <c r="A2412" s="69"/>
      <c r="B2412" s="69"/>
      <c r="C2412" s="69"/>
      <c r="D2412" s="69"/>
      <c r="E2412" s="185"/>
      <c r="F2412" s="69"/>
      <c r="G2412" s="185"/>
      <c r="H2412" s="69"/>
      <c r="I2412" s="69"/>
      <c r="J2412" s="69"/>
      <c r="K2412" s="69"/>
      <c r="L2412" s="69"/>
      <c r="M2412" s="69"/>
      <c r="N2412" s="69"/>
      <c r="O2412" s="69"/>
      <c r="P2412" s="69"/>
      <c r="Q2412" s="69"/>
      <c r="R2412" s="69"/>
      <c r="S2412" s="69"/>
      <c r="T2412" s="69"/>
      <c r="U2412" s="69"/>
      <c r="V2412" s="69"/>
      <c r="W2412" s="69"/>
      <c r="X2412" s="69"/>
      <c r="Y2412" s="69"/>
      <c r="Z2412" s="69"/>
      <c r="AA2412" s="69"/>
      <c r="AB2412" s="69"/>
      <c r="AC2412" s="69"/>
      <c r="AD2412" s="69"/>
      <c r="AE2412" s="69"/>
    </row>
    <row r="2413" spans="1:31" ht="22.5" customHeight="1">
      <c r="A2413" s="69"/>
      <c r="B2413" s="69"/>
      <c r="C2413" s="69"/>
      <c r="D2413" s="69"/>
      <c r="E2413" s="185"/>
      <c r="F2413" s="69"/>
      <c r="G2413" s="185"/>
      <c r="H2413" s="69"/>
      <c r="I2413" s="69"/>
      <c r="J2413" s="69"/>
      <c r="K2413" s="69"/>
      <c r="L2413" s="69"/>
      <c r="M2413" s="69"/>
      <c r="N2413" s="69"/>
      <c r="O2413" s="69"/>
      <c r="P2413" s="69"/>
      <c r="Q2413" s="69"/>
      <c r="R2413" s="69"/>
      <c r="S2413" s="69"/>
      <c r="T2413" s="69"/>
      <c r="U2413" s="69"/>
      <c r="V2413" s="69"/>
      <c r="W2413" s="69"/>
      <c r="X2413" s="69"/>
      <c r="Y2413" s="69"/>
      <c r="Z2413" s="69"/>
      <c r="AA2413" s="69"/>
      <c r="AB2413" s="69"/>
      <c r="AC2413" s="69"/>
      <c r="AD2413" s="69"/>
      <c r="AE2413" s="69"/>
    </row>
    <row r="2414" spans="1:31" ht="22.5" customHeight="1">
      <c r="A2414" s="69"/>
      <c r="B2414" s="69"/>
      <c r="C2414" s="69"/>
      <c r="D2414" s="69"/>
      <c r="E2414" s="185"/>
      <c r="F2414" s="69"/>
      <c r="G2414" s="185"/>
      <c r="H2414" s="69"/>
      <c r="I2414" s="69"/>
      <c r="J2414" s="69"/>
      <c r="K2414" s="69"/>
      <c r="L2414" s="69"/>
      <c r="M2414" s="69"/>
      <c r="N2414" s="69"/>
      <c r="O2414" s="69"/>
      <c r="P2414" s="69"/>
      <c r="Q2414" s="69"/>
      <c r="R2414" s="69"/>
      <c r="S2414" s="69"/>
      <c r="T2414" s="69"/>
      <c r="U2414" s="69"/>
      <c r="V2414" s="69"/>
      <c r="W2414" s="69"/>
      <c r="X2414" s="69"/>
      <c r="Y2414" s="69"/>
      <c r="Z2414" s="69"/>
      <c r="AA2414" s="69"/>
      <c r="AB2414" s="69"/>
      <c r="AC2414" s="69"/>
      <c r="AD2414" s="69"/>
      <c r="AE2414" s="69"/>
    </row>
    <row r="2415" spans="1:31" ht="22.5" customHeight="1">
      <c r="A2415" s="69"/>
      <c r="B2415" s="69"/>
      <c r="C2415" s="69"/>
      <c r="D2415" s="69"/>
      <c r="E2415" s="185"/>
      <c r="F2415" s="69"/>
      <c r="G2415" s="185"/>
      <c r="H2415" s="69"/>
      <c r="I2415" s="69"/>
      <c r="J2415" s="69"/>
      <c r="K2415" s="69"/>
      <c r="L2415" s="69"/>
      <c r="M2415" s="69"/>
      <c r="N2415" s="69"/>
      <c r="O2415" s="69"/>
      <c r="P2415" s="69"/>
      <c r="Q2415" s="69"/>
      <c r="R2415" s="69"/>
      <c r="S2415" s="69"/>
      <c r="T2415" s="69"/>
      <c r="U2415" s="69"/>
      <c r="V2415" s="69"/>
      <c r="W2415" s="69"/>
      <c r="X2415" s="69"/>
      <c r="Y2415" s="69"/>
      <c r="Z2415" s="69"/>
      <c r="AA2415" s="69"/>
      <c r="AB2415" s="69"/>
      <c r="AC2415" s="69"/>
      <c r="AD2415" s="69"/>
      <c r="AE2415" s="69"/>
    </row>
    <row r="2416" spans="1:31" ht="22.5" customHeight="1">
      <c r="A2416" s="69"/>
      <c r="B2416" s="69"/>
      <c r="C2416" s="69"/>
      <c r="D2416" s="69"/>
      <c r="E2416" s="185"/>
      <c r="F2416" s="69"/>
      <c r="G2416" s="185"/>
      <c r="H2416" s="69"/>
      <c r="I2416" s="69"/>
      <c r="J2416" s="69"/>
      <c r="K2416" s="69"/>
      <c r="L2416" s="69"/>
      <c r="M2416" s="69"/>
      <c r="N2416" s="69"/>
      <c r="O2416" s="69"/>
      <c r="P2416" s="69"/>
      <c r="Q2416" s="69"/>
      <c r="R2416" s="69"/>
      <c r="S2416" s="69"/>
      <c r="T2416" s="69"/>
      <c r="U2416" s="69"/>
      <c r="V2416" s="69"/>
      <c r="W2416" s="69"/>
      <c r="X2416" s="69"/>
      <c r="Y2416" s="69"/>
      <c r="Z2416" s="69"/>
      <c r="AA2416" s="69"/>
      <c r="AB2416" s="69"/>
      <c r="AC2416" s="69"/>
      <c r="AD2416" s="69"/>
      <c r="AE2416" s="69"/>
    </row>
    <row r="2417" spans="1:31" ht="22.5" customHeight="1">
      <c r="A2417" s="69"/>
      <c r="B2417" s="69"/>
      <c r="C2417" s="69"/>
      <c r="D2417" s="69"/>
      <c r="E2417" s="185"/>
      <c r="F2417" s="69"/>
      <c r="G2417" s="185"/>
      <c r="H2417" s="69"/>
      <c r="I2417" s="69"/>
      <c r="J2417" s="69"/>
      <c r="K2417" s="69"/>
      <c r="L2417" s="69"/>
      <c r="M2417" s="69"/>
      <c r="N2417" s="69"/>
      <c r="O2417" s="69"/>
      <c r="P2417" s="69"/>
      <c r="Q2417" s="69"/>
      <c r="R2417" s="69"/>
      <c r="S2417" s="69"/>
      <c r="T2417" s="69"/>
      <c r="U2417" s="69"/>
      <c r="V2417" s="69"/>
      <c r="W2417" s="69"/>
      <c r="X2417" s="69"/>
      <c r="Y2417" s="69"/>
      <c r="Z2417" s="69"/>
      <c r="AA2417" s="69"/>
      <c r="AB2417" s="69"/>
      <c r="AC2417" s="69"/>
      <c r="AD2417" s="69"/>
      <c r="AE2417" s="69"/>
    </row>
    <row r="2418" spans="1:31" ht="22.5" customHeight="1">
      <c r="A2418" s="69"/>
      <c r="B2418" s="69"/>
      <c r="C2418" s="69"/>
      <c r="D2418" s="69"/>
      <c r="E2418" s="185"/>
      <c r="F2418" s="69"/>
      <c r="G2418" s="185"/>
      <c r="H2418" s="69"/>
      <c r="I2418" s="69"/>
      <c r="J2418" s="69"/>
      <c r="K2418" s="69"/>
      <c r="L2418" s="69"/>
      <c r="M2418" s="69"/>
      <c r="N2418" s="69"/>
      <c r="O2418" s="69"/>
      <c r="P2418" s="69"/>
      <c r="Q2418" s="69"/>
      <c r="R2418" s="69"/>
      <c r="S2418" s="69"/>
      <c r="T2418" s="69"/>
      <c r="U2418" s="69"/>
      <c r="V2418" s="69"/>
      <c r="W2418" s="69"/>
      <c r="X2418" s="69"/>
      <c r="Y2418" s="69"/>
      <c r="Z2418" s="69"/>
      <c r="AA2418" s="69"/>
      <c r="AB2418" s="69"/>
      <c r="AC2418" s="69"/>
      <c r="AD2418" s="69"/>
      <c r="AE2418" s="69"/>
    </row>
    <row r="2419" spans="1:31" ht="22.5" customHeight="1">
      <c r="A2419" s="69"/>
      <c r="B2419" s="69"/>
      <c r="C2419" s="69"/>
      <c r="D2419" s="69"/>
      <c r="E2419" s="185"/>
      <c r="F2419" s="69"/>
      <c r="G2419" s="185"/>
      <c r="H2419" s="69"/>
      <c r="I2419" s="69"/>
      <c r="J2419" s="69"/>
      <c r="K2419" s="69"/>
      <c r="L2419" s="69"/>
      <c r="M2419" s="69"/>
      <c r="N2419" s="69"/>
      <c r="O2419" s="69"/>
      <c r="P2419" s="69"/>
      <c r="Q2419" s="69"/>
      <c r="R2419" s="69"/>
      <c r="S2419" s="69"/>
      <c r="T2419" s="69"/>
      <c r="U2419" s="69"/>
      <c r="V2419" s="69"/>
      <c r="W2419" s="69"/>
      <c r="X2419" s="69"/>
      <c r="Y2419" s="69"/>
      <c r="Z2419" s="69"/>
      <c r="AA2419" s="69"/>
      <c r="AB2419" s="69"/>
      <c r="AC2419" s="69"/>
      <c r="AD2419" s="69"/>
      <c r="AE2419" s="69"/>
    </row>
    <row r="2420" spans="1:31" ht="22.5" customHeight="1">
      <c r="A2420" s="69"/>
      <c r="B2420" s="69"/>
      <c r="C2420" s="69"/>
      <c r="D2420" s="69"/>
      <c r="E2420" s="185"/>
      <c r="F2420" s="69"/>
      <c r="G2420" s="185"/>
      <c r="H2420" s="69"/>
      <c r="I2420" s="69"/>
      <c r="J2420" s="69"/>
      <c r="K2420" s="69"/>
      <c r="L2420" s="69"/>
      <c r="M2420" s="69"/>
      <c r="N2420" s="69"/>
      <c r="O2420" s="69"/>
      <c r="P2420" s="69"/>
      <c r="Q2420" s="69"/>
      <c r="R2420" s="69"/>
      <c r="S2420" s="69"/>
      <c r="T2420" s="69"/>
      <c r="U2420" s="69"/>
      <c r="V2420" s="69"/>
      <c r="W2420" s="69"/>
      <c r="X2420" s="69"/>
      <c r="Y2420" s="69"/>
      <c r="Z2420" s="69"/>
      <c r="AA2420" s="69"/>
      <c r="AB2420" s="69"/>
      <c r="AC2420" s="69"/>
      <c r="AD2420" s="69"/>
      <c r="AE2420" s="69"/>
    </row>
    <row r="2421" spans="1:31" ht="22.5" customHeight="1">
      <c r="A2421" s="69"/>
      <c r="B2421" s="69"/>
      <c r="C2421" s="69"/>
      <c r="D2421" s="69"/>
      <c r="E2421" s="185"/>
      <c r="F2421" s="69"/>
      <c r="G2421" s="185"/>
      <c r="H2421" s="69"/>
      <c r="I2421" s="69"/>
      <c r="J2421" s="69"/>
      <c r="K2421" s="69"/>
      <c r="L2421" s="69"/>
      <c r="M2421" s="69"/>
      <c r="N2421" s="69"/>
      <c r="O2421" s="69"/>
      <c r="P2421" s="69"/>
      <c r="Q2421" s="69"/>
      <c r="R2421" s="69"/>
      <c r="S2421" s="69"/>
      <c r="T2421" s="69"/>
      <c r="U2421" s="69"/>
      <c r="V2421" s="69"/>
      <c r="W2421" s="69"/>
      <c r="X2421" s="69"/>
      <c r="Y2421" s="69"/>
      <c r="Z2421" s="69"/>
      <c r="AA2421" s="69"/>
      <c r="AB2421" s="69"/>
      <c r="AC2421" s="69"/>
      <c r="AD2421" s="69"/>
      <c r="AE2421" s="69"/>
    </row>
    <row r="2422" spans="1:31" ht="22.5" customHeight="1">
      <c r="A2422" s="69"/>
      <c r="B2422" s="69"/>
      <c r="C2422" s="69"/>
      <c r="D2422" s="69"/>
      <c r="E2422" s="185"/>
      <c r="F2422" s="69"/>
      <c r="G2422" s="185"/>
      <c r="H2422" s="69"/>
      <c r="I2422" s="69"/>
      <c r="J2422" s="69"/>
      <c r="K2422" s="69"/>
      <c r="L2422" s="69"/>
      <c r="M2422" s="69"/>
      <c r="N2422" s="69"/>
      <c r="O2422" s="69"/>
      <c r="P2422" s="69"/>
      <c r="Q2422" s="69"/>
      <c r="R2422" s="69"/>
      <c r="S2422" s="69"/>
      <c r="T2422" s="69"/>
      <c r="U2422" s="69"/>
      <c r="V2422" s="69"/>
      <c r="W2422" s="69"/>
      <c r="X2422" s="69"/>
      <c r="Y2422" s="69"/>
      <c r="Z2422" s="69"/>
      <c r="AA2422" s="69"/>
      <c r="AB2422" s="69"/>
      <c r="AC2422" s="69"/>
      <c r="AD2422" s="69"/>
      <c r="AE2422" s="69"/>
    </row>
    <row r="2423" spans="1:31" ht="22.5" customHeight="1">
      <c r="A2423" s="69"/>
      <c r="B2423" s="69"/>
      <c r="C2423" s="69"/>
      <c r="D2423" s="69"/>
      <c r="E2423" s="185"/>
      <c r="F2423" s="69"/>
      <c r="G2423" s="185"/>
      <c r="H2423" s="69"/>
      <c r="I2423" s="69"/>
      <c r="J2423" s="69"/>
      <c r="K2423" s="69"/>
      <c r="L2423" s="69"/>
      <c r="M2423" s="69"/>
      <c r="N2423" s="69"/>
      <c r="O2423" s="69"/>
      <c r="P2423" s="69"/>
      <c r="Q2423" s="69"/>
      <c r="R2423" s="69"/>
      <c r="S2423" s="69"/>
      <c r="T2423" s="69"/>
      <c r="U2423" s="69"/>
      <c r="V2423" s="69"/>
      <c r="W2423" s="69"/>
      <c r="X2423" s="69"/>
      <c r="Y2423" s="69"/>
      <c r="Z2423" s="69"/>
      <c r="AA2423" s="69"/>
      <c r="AB2423" s="69"/>
      <c r="AC2423" s="69"/>
      <c r="AD2423" s="69"/>
      <c r="AE2423" s="69"/>
    </row>
    <row r="2424" spans="1:31" ht="22.5" customHeight="1">
      <c r="A2424" s="69"/>
      <c r="B2424" s="69"/>
      <c r="C2424" s="69"/>
      <c r="D2424" s="69"/>
      <c r="E2424" s="185"/>
      <c r="F2424" s="69"/>
      <c r="G2424" s="185"/>
      <c r="H2424" s="69"/>
      <c r="I2424" s="69"/>
      <c r="J2424" s="69"/>
      <c r="K2424" s="69"/>
      <c r="L2424" s="69"/>
      <c r="M2424" s="69"/>
      <c r="N2424" s="69"/>
      <c r="O2424" s="69"/>
      <c r="P2424" s="69"/>
      <c r="Q2424" s="69"/>
      <c r="R2424" s="69"/>
      <c r="S2424" s="69"/>
      <c r="T2424" s="69"/>
      <c r="U2424" s="69"/>
      <c r="V2424" s="69"/>
      <c r="W2424" s="69"/>
      <c r="X2424" s="69"/>
      <c r="Y2424" s="69"/>
      <c r="Z2424" s="69"/>
      <c r="AA2424" s="69"/>
      <c r="AB2424" s="69"/>
      <c r="AC2424" s="69"/>
      <c r="AD2424" s="69"/>
      <c r="AE2424" s="69"/>
    </row>
    <row r="2425" spans="1:31" ht="22.5" customHeight="1">
      <c r="A2425" s="69"/>
      <c r="B2425" s="69"/>
      <c r="C2425" s="69"/>
      <c r="D2425" s="69"/>
      <c r="E2425" s="185"/>
      <c r="F2425" s="69"/>
      <c r="G2425" s="185"/>
      <c r="H2425" s="69"/>
      <c r="I2425" s="69"/>
      <c r="J2425" s="69"/>
      <c r="K2425" s="69"/>
      <c r="L2425" s="69"/>
      <c r="M2425" s="69"/>
      <c r="N2425" s="69"/>
      <c r="O2425" s="69"/>
      <c r="P2425" s="69"/>
      <c r="Q2425" s="69"/>
      <c r="R2425" s="69"/>
      <c r="S2425" s="69"/>
      <c r="T2425" s="69"/>
      <c r="U2425" s="69"/>
      <c r="V2425" s="69"/>
      <c r="W2425" s="69"/>
      <c r="X2425" s="69"/>
      <c r="Y2425" s="69"/>
      <c r="Z2425" s="69"/>
      <c r="AA2425" s="69"/>
      <c r="AB2425" s="69"/>
      <c r="AC2425" s="69"/>
      <c r="AD2425" s="69"/>
      <c r="AE2425" s="69"/>
    </row>
    <row r="2426" spans="1:31" ht="22.5" customHeight="1">
      <c r="A2426" s="69"/>
      <c r="B2426" s="69"/>
      <c r="C2426" s="69"/>
      <c r="D2426" s="69"/>
      <c r="E2426" s="185"/>
      <c r="F2426" s="69"/>
      <c r="G2426" s="185"/>
      <c r="H2426" s="69"/>
      <c r="I2426" s="69"/>
      <c r="J2426" s="69"/>
      <c r="K2426" s="69"/>
      <c r="L2426" s="69"/>
      <c r="M2426" s="69"/>
      <c r="N2426" s="69"/>
      <c r="O2426" s="69"/>
      <c r="P2426" s="69"/>
      <c r="Q2426" s="69"/>
      <c r="R2426" s="69"/>
      <c r="S2426" s="69"/>
      <c r="T2426" s="69"/>
      <c r="U2426" s="69"/>
      <c r="V2426" s="69"/>
      <c r="W2426" s="69"/>
      <c r="X2426" s="69"/>
      <c r="Y2426" s="69"/>
      <c r="Z2426" s="69"/>
      <c r="AA2426" s="69"/>
      <c r="AB2426" s="69"/>
      <c r="AC2426" s="69"/>
      <c r="AD2426" s="69"/>
      <c r="AE2426" s="69"/>
    </row>
    <row r="2427" spans="1:31" ht="22.5" customHeight="1">
      <c r="A2427" s="69"/>
      <c r="B2427" s="69"/>
      <c r="C2427" s="69"/>
      <c r="D2427" s="69"/>
      <c r="E2427" s="185"/>
      <c r="F2427" s="69"/>
      <c r="G2427" s="185"/>
      <c r="H2427" s="69"/>
      <c r="I2427" s="69"/>
      <c r="J2427" s="69"/>
      <c r="K2427" s="69"/>
      <c r="L2427" s="69"/>
      <c r="M2427" s="69"/>
      <c r="N2427" s="69"/>
      <c r="O2427" s="69"/>
      <c r="P2427" s="69"/>
      <c r="Q2427" s="69"/>
      <c r="R2427" s="69"/>
      <c r="S2427" s="69"/>
      <c r="T2427" s="69"/>
      <c r="U2427" s="69"/>
      <c r="V2427" s="69"/>
      <c r="W2427" s="69"/>
      <c r="X2427" s="69"/>
      <c r="Y2427" s="69"/>
      <c r="Z2427" s="69"/>
      <c r="AA2427" s="69"/>
      <c r="AB2427" s="69"/>
      <c r="AC2427" s="69"/>
      <c r="AD2427" s="69"/>
      <c r="AE2427" s="69"/>
    </row>
    <row r="2428" spans="1:31" ht="22.5" customHeight="1">
      <c r="A2428" s="69"/>
      <c r="B2428" s="69"/>
      <c r="C2428" s="69"/>
      <c r="D2428" s="69"/>
      <c r="E2428" s="185"/>
      <c r="F2428" s="69"/>
      <c r="G2428" s="185"/>
      <c r="H2428" s="69"/>
      <c r="I2428" s="69"/>
      <c r="J2428" s="69"/>
      <c r="K2428" s="69"/>
      <c r="L2428" s="69"/>
      <c r="M2428" s="69"/>
      <c r="N2428" s="69"/>
      <c r="O2428" s="69"/>
      <c r="P2428" s="69"/>
      <c r="Q2428" s="69"/>
      <c r="R2428" s="69"/>
      <c r="S2428" s="69"/>
      <c r="T2428" s="69"/>
      <c r="U2428" s="69"/>
      <c r="V2428" s="69"/>
      <c r="W2428" s="69"/>
      <c r="X2428" s="69"/>
      <c r="Y2428" s="69"/>
      <c r="Z2428" s="69"/>
      <c r="AA2428" s="69"/>
      <c r="AB2428" s="69"/>
      <c r="AC2428" s="69"/>
      <c r="AD2428" s="69"/>
      <c r="AE2428" s="69"/>
    </row>
    <row r="2429" spans="1:31" ht="22.5" customHeight="1">
      <c r="A2429" s="69"/>
      <c r="B2429" s="69"/>
      <c r="C2429" s="69"/>
      <c r="D2429" s="69"/>
      <c r="E2429" s="185"/>
      <c r="F2429" s="69"/>
      <c r="G2429" s="185"/>
      <c r="H2429" s="69"/>
      <c r="I2429" s="69"/>
      <c r="J2429" s="69"/>
      <c r="K2429" s="69"/>
      <c r="L2429" s="69"/>
      <c r="M2429" s="69"/>
      <c r="N2429" s="69"/>
      <c r="O2429" s="69"/>
      <c r="P2429" s="69"/>
      <c r="Q2429" s="69"/>
      <c r="R2429" s="69"/>
      <c r="S2429" s="69"/>
      <c r="T2429" s="69"/>
      <c r="U2429" s="69"/>
      <c r="V2429" s="69"/>
      <c r="W2429" s="69"/>
      <c r="X2429" s="69"/>
      <c r="Y2429" s="69"/>
      <c r="Z2429" s="69"/>
      <c r="AA2429" s="69"/>
      <c r="AB2429" s="69"/>
      <c r="AC2429" s="69"/>
      <c r="AD2429" s="69"/>
      <c r="AE2429" s="69"/>
    </row>
    <row r="2430" spans="1:31" ht="22.5" customHeight="1">
      <c r="A2430" s="69"/>
      <c r="B2430" s="69"/>
      <c r="C2430" s="69"/>
      <c r="D2430" s="69"/>
      <c r="E2430" s="185"/>
      <c r="F2430" s="69"/>
      <c r="G2430" s="185"/>
      <c r="H2430" s="69"/>
      <c r="I2430" s="69"/>
      <c r="J2430" s="69"/>
      <c r="K2430" s="69"/>
      <c r="L2430" s="69"/>
      <c r="M2430" s="69"/>
      <c r="N2430" s="69"/>
      <c r="O2430" s="69"/>
      <c r="P2430" s="69"/>
      <c r="Q2430" s="69"/>
      <c r="R2430" s="69"/>
      <c r="S2430" s="69"/>
      <c r="T2430" s="69"/>
      <c r="U2430" s="69"/>
      <c r="V2430" s="69"/>
      <c r="W2430" s="69"/>
      <c r="X2430" s="69"/>
      <c r="Y2430" s="69"/>
      <c r="Z2430" s="69"/>
      <c r="AA2430" s="69"/>
      <c r="AB2430" s="69"/>
      <c r="AC2430" s="69"/>
      <c r="AD2430" s="69"/>
      <c r="AE2430" s="69"/>
    </row>
    <row r="2431" spans="1:31" ht="22.5" customHeight="1">
      <c r="A2431" s="69"/>
      <c r="B2431" s="69"/>
      <c r="C2431" s="69"/>
      <c r="D2431" s="69"/>
      <c r="E2431" s="185"/>
      <c r="F2431" s="69"/>
      <c r="G2431" s="185"/>
      <c r="H2431" s="69"/>
      <c r="I2431" s="69"/>
      <c r="J2431" s="69"/>
      <c r="K2431" s="69"/>
      <c r="L2431" s="69"/>
      <c r="M2431" s="69"/>
      <c r="N2431" s="69"/>
      <c r="O2431" s="69"/>
      <c r="P2431" s="69"/>
      <c r="Q2431" s="69"/>
      <c r="R2431" s="69"/>
      <c r="S2431" s="69"/>
      <c r="T2431" s="69"/>
      <c r="U2431" s="69"/>
      <c r="V2431" s="69"/>
      <c r="W2431" s="69"/>
      <c r="X2431" s="69"/>
      <c r="Y2431" s="69"/>
      <c r="Z2431" s="69"/>
      <c r="AA2431" s="69"/>
      <c r="AB2431" s="69"/>
      <c r="AC2431" s="69"/>
      <c r="AD2431" s="69"/>
      <c r="AE2431" s="69"/>
    </row>
    <row r="2432" spans="1:31" ht="22.5" customHeight="1">
      <c r="A2432" s="69"/>
      <c r="B2432" s="69"/>
      <c r="C2432" s="69"/>
      <c r="D2432" s="69"/>
      <c r="E2432" s="185"/>
      <c r="F2432" s="69"/>
      <c r="G2432" s="185"/>
      <c r="H2432" s="69"/>
      <c r="I2432" s="69"/>
      <c r="J2432" s="69"/>
      <c r="K2432" s="69"/>
      <c r="L2432" s="69"/>
      <c r="M2432" s="69"/>
      <c r="N2432" s="69"/>
      <c r="O2432" s="69"/>
      <c r="P2432" s="69"/>
      <c r="Q2432" s="69"/>
      <c r="R2432" s="69"/>
      <c r="S2432" s="69"/>
      <c r="T2432" s="69"/>
      <c r="U2432" s="69"/>
      <c r="V2432" s="69"/>
      <c r="W2432" s="69"/>
      <c r="X2432" s="69"/>
      <c r="Y2432" s="69"/>
      <c r="Z2432" s="69"/>
      <c r="AA2432" s="69"/>
      <c r="AB2432" s="69"/>
      <c r="AC2432" s="69"/>
      <c r="AD2432" s="69"/>
      <c r="AE2432" s="69"/>
    </row>
    <row r="2433" spans="1:31" ht="22.5" customHeight="1">
      <c r="A2433" s="69"/>
      <c r="B2433" s="69"/>
      <c r="C2433" s="69"/>
      <c r="D2433" s="69"/>
      <c r="E2433" s="185"/>
      <c r="F2433" s="69"/>
      <c r="G2433" s="185"/>
      <c r="H2433" s="69"/>
      <c r="I2433" s="69"/>
      <c r="J2433" s="69"/>
      <c r="K2433" s="69"/>
      <c r="L2433" s="69"/>
      <c r="M2433" s="69"/>
      <c r="N2433" s="69"/>
      <c r="O2433" s="69"/>
      <c r="P2433" s="69"/>
      <c r="Q2433" s="69"/>
      <c r="R2433" s="69"/>
      <c r="S2433" s="69"/>
      <c r="T2433" s="69"/>
      <c r="U2433" s="69"/>
      <c r="V2433" s="69"/>
      <c r="W2433" s="69"/>
      <c r="X2433" s="69"/>
      <c r="Y2433" s="69"/>
      <c r="Z2433" s="69"/>
      <c r="AA2433" s="69"/>
      <c r="AB2433" s="69"/>
      <c r="AC2433" s="69"/>
      <c r="AD2433" s="69"/>
      <c r="AE2433" s="69"/>
    </row>
    <row r="2434" spans="1:31" ht="22.5" customHeight="1">
      <c r="A2434" s="69"/>
      <c r="B2434" s="69"/>
      <c r="C2434" s="69"/>
      <c r="D2434" s="69"/>
      <c r="E2434" s="185"/>
      <c r="F2434" s="69"/>
      <c r="G2434" s="185"/>
      <c r="H2434" s="69"/>
      <c r="I2434" s="69"/>
      <c r="J2434" s="69"/>
      <c r="K2434" s="69"/>
      <c r="L2434" s="69"/>
      <c r="M2434" s="69"/>
      <c r="N2434" s="69"/>
      <c r="O2434" s="69"/>
      <c r="P2434" s="69"/>
      <c r="Q2434" s="69"/>
      <c r="R2434" s="69"/>
      <c r="S2434" s="69"/>
      <c r="T2434" s="69"/>
      <c r="U2434" s="69"/>
      <c r="V2434" s="69"/>
      <c r="W2434" s="69"/>
      <c r="X2434" s="69"/>
      <c r="Y2434" s="69"/>
      <c r="Z2434" s="69"/>
      <c r="AA2434" s="69"/>
      <c r="AB2434" s="69"/>
      <c r="AC2434" s="69"/>
      <c r="AD2434" s="69"/>
      <c r="AE2434" s="69"/>
    </row>
    <row r="2435" spans="1:31" ht="22.5" customHeight="1">
      <c r="A2435" s="69"/>
      <c r="B2435" s="69"/>
      <c r="C2435" s="69"/>
      <c r="D2435" s="69"/>
      <c r="E2435" s="185"/>
      <c r="F2435" s="69"/>
      <c r="G2435" s="185"/>
      <c r="H2435" s="69"/>
      <c r="I2435" s="69"/>
      <c r="J2435" s="69"/>
      <c r="K2435" s="69"/>
      <c r="L2435" s="69"/>
      <c r="M2435" s="69"/>
      <c r="N2435" s="69"/>
      <c r="O2435" s="69"/>
      <c r="P2435" s="69"/>
      <c r="Q2435" s="69"/>
      <c r="R2435" s="69"/>
      <c r="S2435" s="69"/>
      <c r="T2435" s="69"/>
      <c r="U2435" s="69"/>
      <c r="V2435" s="69"/>
      <c r="W2435" s="69"/>
      <c r="X2435" s="69"/>
      <c r="Y2435" s="69"/>
      <c r="Z2435" s="69"/>
      <c r="AA2435" s="69"/>
      <c r="AB2435" s="69"/>
      <c r="AC2435" s="69"/>
      <c r="AD2435" s="69"/>
      <c r="AE2435" s="69"/>
    </row>
    <row r="2436" spans="1:31" ht="22.5" customHeight="1">
      <c r="A2436" s="69"/>
      <c r="B2436" s="69"/>
      <c r="C2436" s="69"/>
      <c r="D2436" s="69"/>
      <c r="E2436" s="185"/>
      <c r="F2436" s="69"/>
      <c r="G2436" s="185"/>
      <c r="H2436" s="69"/>
      <c r="I2436" s="69"/>
      <c r="J2436" s="69"/>
      <c r="K2436" s="69"/>
      <c r="L2436" s="69"/>
      <c r="M2436" s="69"/>
      <c r="N2436" s="69"/>
      <c r="O2436" s="69"/>
      <c r="P2436" s="69"/>
      <c r="Q2436" s="69"/>
      <c r="R2436" s="69"/>
      <c r="S2436" s="69"/>
      <c r="T2436" s="69"/>
      <c r="U2436" s="69"/>
      <c r="V2436" s="69"/>
      <c r="W2436" s="69"/>
      <c r="X2436" s="69"/>
      <c r="Y2436" s="69"/>
      <c r="Z2436" s="69"/>
      <c r="AA2436" s="69"/>
      <c r="AB2436" s="69"/>
      <c r="AC2436" s="69"/>
      <c r="AD2436" s="69"/>
      <c r="AE2436" s="69"/>
    </row>
    <row r="2437" spans="1:31" ht="22.5" customHeight="1">
      <c r="A2437" s="69"/>
      <c r="B2437" s="69"/>
      <c r="C2437" s="69"/>
      <c r="D2437" s="69"/>
      <c r="E2437" s="185"/>
      <c r="F2437" s="69"/>
      <c r="G2437" s="185"/>
      <c r="H2437" s="69"/>
      <c r="I2437" s="69"/>
      <c r="J2437" s="69"/>
      <c r="K2437" s="69"/>
      <c r="L2437" s="69"/>
      <c r="M2437" s="69"/>
      <c r="N2437" s="69"/>
      <c r="O2437" s="69"/>
      <c r="P2437" s="69"/>
      <c r="Q2437" s="69"/>
      <c r="R2437" s="69"/>
      <c r="S2437" s="69"/>
      <c r="T2437" s="69"/>
      <c r="U2437" s="69"/>
      <c r="V2437" s="69"/>
      <c r="W2437" s="69"/>
      <c r="X2437" s="69"/>
      <c r="Y2437" s="69"/>
      <c r="Z2437" s="69"/>
      <c r="AA2437" s="69"/>
      <c r="AB2437" s="69"/>
      <c r="AC2437" s="69"/>
      <c r="AD2437" s="69"/>
      <c r="AE2437" s="69"/>
    </row>
    <row r="2438" spans="1:31" ht="22.5" customHeight="1">
      <c r="A2438" s="69"/>
      <c r="B2438" s="69"/>
      <c r="C2438" s="69"/>
      <c r="D2438" s="69"/>
      <c r="E2438" s="185"/>
      <c r="F2438" s="69"/>
      <c r="G2438" s="185"/>
      <c r="H2438" s="69"/>
      <c r="I2438" s="69"/>
      <c r="J2438" s="69"/>
      <c r="K2438" s="69"/>
      <c r="L2438" s="69"/>
      <c r="M2438" s="69"/>
      <c r="N2438" s="69"/>
      <c r="O2438" s="69"/>
      <c r="P2438" s="69"/>
      <c r="Q2438" s="69"/>
      <c r="R2438" s="69"/>
      <c r="S2438" s="69"/>
      <c r="T2438" s="69"/>
      <c r="U2438" s="69"/>
      <c r="V2438" s="69"/>
      <c r="W2438" s="69"/>
      <c r="X2438" s="69"/>
      <c r="Y2438" s="69"/>
      <c r="Z2438" s="69"/>
      <c r="AA2438" s="69"/>
      <c r="AB2438" s="69"/>
      <c r="AC2438" s="69"/>
      <c r="AD2438" s="69"/>
      <c r="AE2438" s="69"/>
    </row>
    <row r="2439" spans="1:31" ht="22.5" customHeight="1">
      <c r="A2439" s="69"/>
      <c r="B2439" s="69"/>
      <c r="C2439" s="69"/>
      <c r="D2439" s="69"/>
      <c r="E2439" s="185"/>
      <c r="F2439" s="69"/>
      <c r="G2439" s="185"/>
      <c r="H2439" s="69"/>
      <c r="I2439" s="69"/>
      <c r="J2439" s="69"/>
      <c r="K2439" s="69"/>
      <c r="L2439" s="69"/>
      <c r="M2439" s="69"/>
      <c r="N2439" s="69"/>
      <c r="O2439" s="69"/>
      <c r="P2439" s="69"/>
      <c r="Q2439" s="69"/>
      <c r="R2439" s="69"/>
      <c r="S2439" s="69"/>
      <c r="T2439" s="69"/>
      <c r="U2439" s="69"/>
      <c r="V2439" s="69"/>
      <c r="W2439" s="69"/>
      <c r="X2439" s="69"/>
      <c r="Y2439" s="69"/>
      <c r="Z2439" s="69"/>
      <c r="AA2439" s="69"/>
      <c r="AB2439" s="69"/>
      <c r="AC2439" s="69"/>
      <c r="AD2439" s="69"/>
      <c r="AE2439" s="69"/>
    </row>
    <row r="2440" spans="1:31" ht="22.5" customHeight="1">
      <c r="A2440" s="69"/>
      <c r="B2440" s="69"/>
      <c r="C2440" s="69"/>
      <c r="D2440" s="69"/>
      <c r="E2440" s="185"/>
      <c r="F2440" s="69"/>
      <c r="G2440" s="185"/>
      <c r="H2440" s="69"/>
      <c r="I2440" s="69"/>
      <c r="J2440" s="69"/>
      <c r="K2440" s="69"/>
      <c r="L2440" s="69"/>
      <c r="M2440" s="69"/>
      <c r="N2440" s="69"/>
      <c r="O2440" s="69"/>
      <c r="P2440" s="69"/>
      <c r="Q2440" s="69"/>
      <c r="R2440" s="69"/>
      <c r="S2440" s="69"/>
      <c r="T2440" s="69"/>
      <c r="U2440" s="69"/>
      <c r="V2440" s="69"/>
      <c r="W2440" s="69"/>
      <c r="X2440" s="69"/>
      <c r="Y2440" s="69"/>
      <c r="Z2440" s="69"/>
      <c r="AA2440" s="69"/>
      <c r="AB2440" s="69"/>
      <c r="AC2440" s="69"/>
      <c r="AD2440" s="69"/>
      <c r="AE2440" s="69"/>
    </row>
    <row r="2441" spans="1:31" ht="22.5" customHeight="1">
      <c r="A2441" s="69"/>
      <c r="B2441" s="69"/>
      <c r="C2441" s="69"/>
      <c r="D2441" s="69"/>
      <c r="E2441" s="185"/>
      <c r="F2441" s="69"/>
      <c r="G2441" s="185"/>
      <c r="H2441" s="69"/>
      <c r="I2441" s="69"/>
      <c r="J2441" s="69"/>
      <c r="K2441" s="69"/>
      <c r="L2441" s="69"/>
      <c r="M2441" s="69"/>
      <c r="N2441" s="69"/>
      <c r="O2441" s="69"/>
      <c r="P2441" s="69"/>
      <c r="Q2441" s="69"/>
      <c r="R2441" s="69"/>
      <c r="S2441" s="69"/>
      <c r="T2441" s="69"/>
      <c r="U2441" s="69"/>
      <c r="V2441" s="69"/>
      <c r="W2441" s="69"/>
      <c r="X2441" s="69"/>
      <c r="Y2441" s="69"/>
      <c r="Z2441" s="69"/>
      <c r="AA2441" s="69"/>
      <c r="AB2441" s="69"/>
      <c r="AC2441" s="69"/>
      <c r="AD2441" s="69"/>
      <c r="AE2441" s="69"/>
    </row>
    <row r="2442" spans="1:31" ht="22.5" customHeight="1">
      <c r="A2442" s="69"/>
      <c r="B2442" s="69"/>
      <c r="C2442" s="69"/>
      <c r="D2442" s="69"/>
      <c r="E2442" s="185"/>
      <c r="F2442" s="69"/>
      <c r="G2442" s="185"/>
      <c r="H2442" s="69"/>
      <c r="I2442" s="69"/>
      <c r="J2442" s="69"/>
      <c r="K2442" s="69"/>
      <c r="L2442" s="69"/>
      <c r="M2442" s="69"/>
      <c r="N2442" s="69"/>
      <c r="O2442" s="69"/>
      <c r="P2442" s="69"/>
      <c r="Q2442" s="69"/>
      <c r="R2442" s="69"/>
      <c r="S2442" s="69"/>
      <c r="T2442" s="69"/>
      <c r="U2442" s="69"/>
      <c r="V2442" s="69"/>
      <c r="W2442" s="69"/>
      <c r="X2442" s="69"/>
      <c r="Y2442" s="69"/>
      <c r="Z2442" s="69"/>
      <c r="AA2442" s="69"/>
      <c r="AB2442" s="69"/>
      <c r="AC2442" s="69"/>
      <c r="AD2442" s="69"/>
      <c r="AE2442" s="69"/>
    </row>
    <row r="2443" spans="1:31" ht="22.5" customHeight="1">
      <c r="A2443" s="69"/>
      <c r="B2443" s="69"/>
      <c r="C2443" s="69"/>
      <c r="D2443" s="69"/>
      <c r="E2443" s="185"/>
      <c r="F2443" s="69"/>
      <c r="G2443" s="185"/>
      <c r="H2443" s="69"/>
      <c r="I2443" s="69"/>
      <c r="J2443" s="69"/>
      <c r="K2443" s="69"/>
      <c r="L2443" s="69"/>
      <c r="M2443" s="69"/>
      <c r="N2443" s="69"/>
      <c r="O2443" s="69"/>
      <c r="P2443" s="69"/>
      <c r="Q2443" s="69"/>
      <c r="R2443" s="69"/>
      <c r="S2443" s="69"/>
      <c r="T2443" s="69"/>
      <c r="U2443" s="69"/>
      <c r="V2443" s="69"/>
      <c r="W2443" s="69"/>
      <c r="X2443" s="69"/>
      <c r="Y2443" s="69"/>
      <c r="Z2443" s="69"/>
      <c r="AA2443" s="69"/>
      <c r="AB2443" s="69"/>
      <c r="AC2443" s="69"/>
      <c r="AD2443" s="69"/>
      <c r="AE2443" s="69"/>
    </row>
    <row r="2444" spans="1:31" ht="22.5" customHeight="1">
      <c r="A2444" s="69"/>
      <c r="B2444" s="69"/>
      <c r="C2444" s="69"/>
      <c r="D2444" s="69"/>
      <c r="E2444" s="185"/>
      <c r="F2444" s="69"/>
      <c r="G2444" s="185"/>
      <c r="H2444" s="69"/>
      <c r="I2444" s="69"/>
      <c r="J2444" s="69"/>
      <c r="K2444" s="69"/>
      <c r="L2444" s="69"/>
      <c r="M2444" s="69"/>
      <c r="N2444" s="69"/>
      <c r="O2444" s="69"/>
      <c r="P2444" s="69"/>
      <c r="Q2444" s="69"/>
      <c r="R2444" s="69"/>
      <c r="S2444" s="69"/>
      <c r="T2444" s="69"/>
      <c r="U2444" s="69"/>
      <c r="V2444" s="69"/>
      <c r="W2444" s="69"/>
      <c r="X2444" s="69"/>
      <c r="Y2444" s="69"/>
      <c r="Z2444" s="69"/>
      <c r="AA2444" s="69"/>
      <c r="AB2444" s="69"/>
      <c r="AC2444" s="69"/>
      <c r="AD2444" s="69"/>
      <c r="AE2444" s="69"/>
    </row>
    <row r="2445" spans="1:31" ht="22.5" customHeight="1">
      <c r="A2445" s="69"/>
      <c r="B2445" s="69"/>
      <c r="C2445" s="69"/>
      <c r="D2445" s="69"/>
      <c r="E2445" s="185"/>
      <c r="F2445" s="69"/>
      <c r="G2445" s="185"/>
      <c r="H2445" s="69"/>
      <c r="I2445" s="69"/>
      <c r="J2445" s="69"/>
      <c r="K2445" s="69"/>
      <c r="L2445" s="69"/>
      <c r="M2445" s="69"/>
      <c r="N2445" s="69"/>
      <c r="O2445" s="69"/>
      <c r="P2445" s="69"/>
      <c r="Q2445" s="69"/>
      <c r="R2445" s="69"/>
      <c r="S2445" s="69"/>
      <c r="T2445" s="69"/>
      <c r="U2445" s="69"/>
      <c r="V2445" s="69"/>
      <c r="W2445" s="69"/>
      <c r="X2445" s="69"/>
      <c r="Y2445" s="69"/>
      <c r="Z2445" s="69"/>
      <c r="AA2445" s="69"/>
      <c r="AB2445" s="69"/>
      <c r="AC2445" s="69"/>
      <c r="AD2445" s="69"/>
      <c r="AE2445" s="69"/>
    </row>
    <row r="2446" spans="1:31" ht="22.5" customHeight="1">
      <c r="A2446" s="69"/>
      <c r="B2446" s="69"/>
      <c r="C2446" s="69"/>
      <c r="D2446" s="69"/>
      <c r="E2446" s="185"/>
      <c r="F2446" s="69"/>
      <c r="G2446" s="185"/>
      <c r="H2446" s="69"/>
      <c r="I2446" s="69"/>
      <c r="J2446" s="69"/>
      <c r="K2446" s="69"/>
      <c r="L2446" s="69"/>
      <c r="M2446" s="69"/>
      <c r="N2446" s="69"/>
      <c r="O2446" s="69"/>
      <c r="P2446" s="69"/>
      <c r="Q2446" s="69"/>
      <c r="R2446" s="69"/>
      <c r="S2446" s="69"/>
      <c r="T2446" s="69"/>
      <c r="U2446" s="69"/>
      <c r="V2446" s="69"/>
      <c r="W2446" s="69"/>
      <c r="X2446" s="69"/>
      <c r="Y2446" s="69"/>
      <c r="Z2446" s="69"/>
      <c r="AA2446" s="69"/>
      <c r="AB2446" s="69"/>
      <c r="AC2446" s="69"/>
      <c r="AD2446" s="69"/>
      <c r="AE2446" s="69"/>
    </row>
    <row r="2447" spans="1:31" ht="22.5" customHeight="1">
      <c r="A2447" s="69"/>
      <c r="B2447" s="69"/>
      <c r="C2447" s="69"/>
      <c r="D2447" s="69"/>
      <c r="E2447" s="185"/>
      <c r="F2447" s="69"/>
      <c r="G2447" s="185"/>
      <c r="H2447" s="69"/>
      <c r="I2447" s="69"/>
      <c r="J2447" s="69"/>
      <c r="K2447" s="69"/>
      <c r="L2447" s="69"/>
      <c r="M2447" s="69"/>
      <c r="N2447" s="69"/>
      <c r="O2447" s="69"/>
      <c r="P2447" s="69"/>
      <c r="Q2447" s="69"/>
      <c r="R2447" s="69"/>
      <c r="S2447" s="69"/>
      <c r="T2447" s="69"/>
      <c r="U2447" s="69"/>
      <c r="V2447" s="69"/>
      <c r="W2447" s="69"/>
      <c r="X2447" s="69"/>
      <c r="Y2447" s="69"/>
      <c r="Z2447" s="69"/>
      <c r="AA2447" s="69"/>
      <c r="AB2447" s="69"/>
      <c r="AC2447" s="69"/>
      <c r="AD2447" s="69"/>
      <c r="AE2447" s="69"/>
    </row>
    <row r="2448" spans="1:31" ht="22.5" customHeight="1">
      <c r="A2448" s="69"/>
      <c r="B2448" s="69"/>
      <c r="C2448" s="69"/>
      <c r="D2448" s="69"/>
      <c r="E2448" s="185"/>
      <c r="F2448" s="69"/>
      <c r="G2448" s="185"/>
      <c r="H2448" s="69"/>
      <c r="I2448" s="69"/>
      <c r="J2448" s="69"/>
      <c r="K2448" s="69"/>
      <c r="L2448" s="69"/>
      <c r="M2448" s="69"/>
      <c r="N2448" s="69"/>
      <c r="O2448" s="69"/>
      <c r="P2448" s="69"/>
      <c r="Q2448" s="69"/>
      <c r="R2448" s="69"/>
      <c r="S2448" s="69"/>
      <c r="T2448" s="69"/>
      <c r="U2448" s="69"/>
      <c r="V2448" s="69"/>
      <c r="W2448" s="69"/>
      <c r="X2448" s="69"/>
      <c r="Y2448" s="69"/>
      <c r="Z2448" s="69"/>
      <c r="AA2448" s="69"/>
      <c r="AB2448" s="69"/>
      <c r="AC2448" s="69"/>
      <c r="AD2448" s="69"/>
      <c r="AE2448" s="69"/>
    </row>
    <row r="2449" spans="1:31" ht="22.5" customHeight="1">
      <c r="A2449" s="69"/>
      <c r="B2449" s="69"/>
      <c r="C2449" s="69"/>
      <c r="D2449" s="69"/>
      <c r="E2449" s="185"/>
      <c r="F2449" s="69"/>
      <c r="G2449" s="185"/>
      <c r="H2449" s="69"/>
      <c r="I2449" s="69"/>
      <c r="J2449" s="69"/>
      <c r="K2449" s="69"/>
      <c r="L2449" s="69"/>
      <c r="M2449" s="69"/>
      <c r="N2449" s="69"/>
      <c r="O2449" s="69"/>
      <c r="P2449" s="69"/>
      <c r="Q2449" s="69"/>
      <c r="R2449" s="69"/>
      <c r="S2449" s="69"/>
      <c r="T2449" s="69"/>
      <c r="U2449" s="69"/>
      <c r="V2449" s="69"/>
      <c r="W2449" s="69"/>
      <c r="X2449" s="69"/>
      <c r="Y2449" s="69"/>
      <c r="Z2449" s="69"/>
      <c r="AA2449" s="69"/>
      <c r="AB2449" s="69"/>
      <c r="AC2449" s="69"/>
      <c r="AD2449" s="69"/>
      <c r="AE2449" s="69"/>
    </row>
    <row r="2450" spans="1:31" ht="22.5" customHeight="1">
      <c r="A2450" s="69"/>
      <c r="B2450" s="69"/>
      <c r="C2450" s="69"/>
      <c r="D2450" s="69"/>
      <c r="E2450" s="185"/>
      <c r="F2450" s="69"/>
      <c r="G2450" s="185"/>
      <c r="H2450" s="69"/>
      <c r="I2450" s="69"/>
      <c r="J2450" s="69"/>
      <c r="K2450" s="69"/>
      <c r="L2450" s="69"/>
      <c r="M2450" s="69"/>
      <c r="N2450" s="69"/>
      <c r="O2450" s="69"/>
      <c r="P2450" s="69"/>
      <c r="Q2450" s="69"/>
      <c r="R2450" s="69"/>
      <c r="S2450" s="69"/>
      <c r="T2450" s="69"/>
      <c r="U2450" s="69"/>
      <c r="V2450" s="69"/>
      <c r="W2450" s="69"/>
      <c r="X2450" s="69"/>
      <c r="Y2450" s="69"/>
      <c r="Z2450" s="69"/>
      <c r="AA2450" s="69"/>
      <c r="AB2450" s="69"/>
      <c r="AC2450" s="69"/>
      <c r="AD2450" s="69"/>
      <c r="AE2450" s="69"/>
    </row>
    <row r="2451" spans="1:31" ht="22.5" customHeight="1">
      <c r="A2451" s="69"/>
      <c r="B2451" s="69"/>
      <c r="C2451" s="69"/>
      <c r="D2451" s="69"/>
      <c r="E2451" s="185"/>
      <c r="F2451" s="69"/>
      <c r="G2451" s="185"/>
      <c r="H2451" s="69"/>
      <c r="I2451" s="69"/>
      <c r="J2451" s="69"/>
      <c r="K2451" s="69"/>
      <c r="L2451" s="69"/>
      <c r="M2451" s="69"/>
      <c r="N2451" s="69"/>
      <c r="O2451" s="69"/>
      <c r="P2451" s="69"/>
      <c r="Q2451" s="69"/>
      <c r="R2451" s="69"/>
      <c r="S2451" s="69"/>
      <c r="T2451" s="69"/>
      <c r="U2451" s="69"/>
      <c r="V2451" s="69"/>
      <c r="W2451" s="69"/>
      <c r="X2451" s="69"/>
      <c r="Y2451" s="69"/>
      <c r="Z2451" s="69"/>
      <c r="AA2451" s="69"/>
      <c r="AB2451" s="69"/>
      <c r="AC2451" s="69"/>
      <c r="AD2451" s="69"/>
      <c r="AE2451" s="69"/>
    </row>
    <row r="2452" spans="1:31" ht="22.5" customHeight="1">
      <c r="A2452" s="69"/>
      <c r="B2452" s="69"/>
      <c r="C2452" s="69"/>
      <c r="D2452" s="69"/>
      <c r="E2452" s="185"/>
      <c r="F2452" s="69"/>
      <c r="G2452" s="185"/>
      <c r="H2452" s="69"/>
      <c r="I2452" s="69"/>
      <c r="J2452" s="69"/>
      <c r="K2452" s="69"/>
      <c r="L2452" s="69"/>
      <c r="M2452" s="69"/>
      <c r="N2452" s="69"/>
      <c r="O2452" s="69"/>
      <c r="P2452" s="69"/>
      <c r="Q2452" s="69"/>
      <c r="R2452" s="69"/>
      <c r="S2452" s="69"/>
      <c r="T2452" s="69"/>
      <c r="U2452" s="69"/>
      <c r="V2452" s="69"/>
      <c r="W2452" s="69"/>
      <c r="X2452" s="69"/>
      <c r="Y2452" s="69"/>
      <c r="Z2452" s="69"/>
      <c r="AA2452" s="69"/>
      <c r="AB2452" s="69"/>
      <c r="AC2452" s="69"/>
      <c r="AD2452" s="69"/>
      <c r="AE2452" s="69"/>
    </row>
    <row r="2453" spans="1:31" ht="22.5" customHeight="1">
      <c r="A2453" s="69"/>
      <c r="B2453" s="69"/>
      <c r="C2453" s="69"/>
      <c r="D2453" s="69"/>
      <c r="E2453" s="185"/>
      <c r="F2453" s="69"/>
      <c r="G2453" s="185"/>
      <c r="H2453" s="69"/>
      <c r="I2453" s="69"/>
      <c r="J2453" s="69"/>
      <c r="K2453" s="69"/>
      <c r="L2453" s="69"/>
      <c r="M2453" s="69"/>
      <c r="N2453" s="69"/>
      <c r="O2453" s="69"/>
      <c r="P2453" s="69"/>
      <c r="Q2453" s="69"/>
      <c r="R2453" s="69"/>
      <c r="S2453" s="69"/>
      <c r="T2453" s="69"/>
      <c r="U2453" s="69"/>
      <c r="V2453" s="69"/>
      <c r="W2453" s="69"/>
      <c r="X2453" s="69"/>
      <c r="Y2453" s="69"/>
      <c r="Z2453" s="69"/>
      <c r="AA2453" s="69"/>
      <c r="AB2453" s="69"/>
      <c r="AC2453" s="69"/>
      <c r="AD2453" s="69"/>
      <c r="AE2453" s="69"/>
    </row>
    <row r="2454" spans="1:31" ht="22.5" customHeight="1">
      <c r="A2454" s="69"/>
      <c r="B2454" s="69"/>
      <c r="C2454" s="69"/>
      <c r="D2454" s="69"/>
      <c r="E2454" s="185"/>
      <c r="F2454" s="69"/>
      <c r="G2454" s="185"/>
      <c r="H2454" s="69"/>
      <c r="I2454" s="69"/>
      <c r="J2454" s="69"/>
      <c r="K2454" s="69"/>
      <c r="L2454" s="69"/>
      <c r="M2454" s="69"/>
      <c r="N2454" s="69"/>
      <c r="O2454" s="69"/>
      <c r="P2454" s="69"/>
      <c r="Q2454" s="69"/>
      <c r="R2454" s="69"/>
      <c r="S2454" s="69"/>
      <c r="T2454" s="69"/>
      <c r="U2454" s="69"/>
      <c r="V2454" s="69"/>
      <c r="W2454" s="69"/>
      <c r="X2454" s="69"/>
      <c r="Y2454" s="69"/>
      <c r="Z2454" s="69"/>
      <c r="AA2454" s="69"/>
      <c r="AB2454" s="69"/>
      <c r="AC2454" s="69"/>
      <c r="AD2454" s="69"/>
      <c r="AE2454" s="69"/>
    </row>
    <row r="2455" spans="1:31" ht="22.5" customHeight="1">
      <c r="A2455" s="69"/>
      <c r="B2455" s="69"/>
      <c r="C2455" s="69"/>
      <c r="D2455" s="69"/>
      <c r="E2455" s="185"/>
      <c r="F2455" s="69"/>
      <c r="G2455" s="185"/>
      <c r="H2455" s="69"/>
      <c r="I2455" s="69"/>
      <c r="J2455" s="69"/>
      <c r="K2455" s="69"/>
      <c r="L2455" s="69"/>
      <c r="M2455" s="69"/>
      <c r="N2455" s="69"/>
      <c r="O2455" s="69"/>
      <c r="P2455" s="69"/>
      <c r="Q2455" s="69"/>
      <c r="R2455" s="69"/>
      <c r="S2455" s="69"/>
      <c r="T2455" s="69"/>
      <c r="U2455" s="69"/>
      <c r="V2455" s="69"/>
      <c r="W2455" s="69"/>
      <c r="X2455" s="69"/>
      <c r="Y2455" s="69"/>
      <c r="Z2455" s="69"/>
      <c r="AA2455" s="69"/>
      <c r="AB2455" s="69"/>
      <c r="AC2455" s="69"/>
      <c r="AD2455" s="69"/>
      <c r="AE2455" s="69"/>
    </row>
    <row r="2456" spans="1:31" ht="22.5" customHeight="1">
      <c r="A2456" s="69"/>
      <c r="B2456" s="69"/>
      <c r="C2456" s="69"/>
      <c r="D2456" s="69"/>
      <c r="E2456" s="185"/>
      <c r="F2456" s="69"/>
      <c r="G2456" s="185"/>
      <c r="H2456" s="69"/>
      <c r="I2456" s="69"/>
      <c r="J2456" s="69"/>
      <c r="K2456" s="69"/>
      <c r="L2456" s="69"/>
      <c r="M2456" s="69"/>
      <c r="N2456" s="69"/>
      <c r="O2456" s="69"/>
      <c r="P2456" s="69"/>
      <c r="Q2456" s="69"/>
      <c r="R2456" s="69"/>
      <c r="S2456" s="69"/>
      <c r="T2456" s="69"/>
      <c r="U2456" s="69"/>
      <c r="V2456" s="69"/>
      <c r="W2456" s="69"/>
      <c r="X2456" s="69"/>
      <c r="Y2456" s="69"/>
      <c r="Z2456" s="69"/>
      <c r="AA2456" s="69"/>
      <c r="AB2456" s="69"/>
      <c r="AC2456" s="69"/>
      <c r="AD2456" s="69"/>
      <c r="AE2456" s="69"/>
    </row>
    <row r="2457" spans="1:31" ht="22.5" customHeight="1">
      <c r="A2457" s="69"/>
      <c r="B2457" s="69"/>
      <c r="C2457" s="69"/>
      <c r="D2457" s="69"/>
      <c r="E2457" s="185"/>
      <c r="F2457" s="69"/>
      <c r="G2457" s="185"/>
      <c r="H2457" s="69"/>
      <c r="I2457" s="69"/>
      <c r="J2457" s="69"/>
      <c r="K2457" s="69"/>
      <c r="L2457" s="69"/>
      <c r="M2457" s="69"/>
      <c r="N2457" s="69"/>
      <c r="O2457" s="69"/>
      <c r="P2457" s="69"/>
      <c r="Q2457" s="69"/>
      <c r="R2457" s="69"/>
      <c r="S2457" s="69"/>
      <c r="T2457" s="69"/>
      <c r="U2457" s="69"/>
      <c r="V2457" s="69"/>
      <c r="W2457" s="69"/>
      <c r="X2457" s="69"/>
      <c r="Y2457" s="69"/>
      <c r="Z2457" s="69"/>
      <c r="AA2457" s="69"/>
      <c r="AB2457" s="69"/>
      <c r="AC2457" s="69"/>
      <c r="AD2457" s="69"/>
      <c r="AE2457" s="69"/>
    </row>
    <row r="2458" spans="1:31" ht="22.5" customHeight="1">
      <c r="A2458" s="69"/>
      <c r="B2458" s="69"/>
      <c r="C2458" s="69"/>
      <c r="D2458" s="69"/>
      <c r="E2458" s="185"/>
      <c r="F2458" s="69"/>
      <c r="G2458" s="185"/>
      <c r="H2458" s="69"/>
      <c r="I2458" s="69"/>
      <c r="J2458" s="69"/>
      <c r="K2458" s="69"/>
      <c r="L2458" s="69"/>
      <c r="M2458" s="69"/>
      <c r="N2458" s="69"/>
      <c r="O2458" s="69"/>
      <c r="P2458" s="69"/>
      <c r="Q2458" s="69"/>
      <c r="R2458" s="69"/>
      <c r="S2458" s="69"/>
      <c r="T2458" s="69"/>
      <c r="U2458" s="69"/>
      <c r="V2458" s="69"/>
      <c r="W2458" s="69"/>
      <c r="X2458" s="69"/>
      <c r="Y2458" s="69"/>
      <c r="Z2458" s="69"/>
      <c r="AA2458" s="69"/>
      <c r="AB2458" s="69"/>
      <c r="AC2458" s="69"/>
      <c r="AD2458" s="69"/>
      <c r="AE2458" s="69"/>
    </row>
    <row r="2459" spans="1:31" ht="22.5" customHeight="1">
      <c r="A2459" s="69"/>
      <c r="B2459" s="69"/>
      <c r="C2459" s="69"/>
      <c r="D2459" s="69"/>
      <c r="E2459" s="185"/>
      <c r="F2459" s="69"/>
      <c r="G2459" s="185"/>
      <c r="H2459" s="69"/>
      <c r="I2459" s="69"/>
      <c r="J2459" s="69"/>
      <c r="K2459" s="69"/>
      <c r="L2459" s="69"/>
      <c r="M2459" s="69"/>
      <c r="N2459" s="69"/>
      <c r="O2459" s="69"/>
      <c r="P2459" s="69"/>
      <c r="Q2459" s="69"/>
      <c r="R2459" s="69"/>
      <c r="S2459" s="69"/>
      <c r="T2459" s="69"/>
      <c r="U2459" s="69"/>
      <c r="V2459" s="69"/>
      <c r="W2459" s="69"/>
      <c r="X2459" s="69"/>
      <c r="Y2459" s="69"/>
      <c r="Z2459" s="69"/>
      <c r="AA2459" s="69"/>
      <c r="AB2459" s="69"/>
      <c r="AC2459" s="69"/>
      <c r="AD2459" s="69"/>
      <c r="AE2459" s="69"/>
    </row>
    <row r="2460" spans="1:31" ht="22.5" customHeight="1">
      <c r="A2460" s="69"/>
      <c r="B2460" s="69"/>
      <c r="C2460" s="69"/>
      <c r="D2460" s="69"/>
      <c r="E2460" s="185"/>
      <c r="F2460" s="69"/>
      <c r="G2460" s="185"/>
      <c r="H2460" s="69"/>
      <c r="I2460" s="69"/>
      <c r="J2460" s="69"/>
      <c r="K2460" s="69"/>
      <c r="L2460" s="69"/>
      <c r="M2460" s="69"/>
      <c r="N2460" s="69"/>
      <c r="O2460" s="69"/>
      <c r="P2460" s="69"/>
      <c r="Q2460" s="69"/>
      <c r="R2460" s="69"/>
      <c r="S2460" s="69"/>
      <c r="T2460" s="69"/>
      <c r="U2460" s="69"/>
      <c r="V2460" s="69"/>
      <c r="W2460" s="69"/>
      <c r="X2460" s="69"/>
      <c r="Y2460" s="69"/>
      <c r="Z2460" s="69"/>
      <c r="AA2460" s="69"/>
      <c r="AB2460" s="69"/>
      <c r="AC2460" s="69"/>
      <c r="AD2460" s="69"/>
      <c r="AE2460" s="69"/>
    </row>
    <row r="2461" spans="1:31" ht="22.5" customHeight="1">
      <c r="A2461" s="69"/>
      <c r="B2461" s="69"/>
      <c r="C2461" s="69"/>
      <c r="D2461" s="69"/>
      <c r="E2461" s="185"/>
      <c r="F2461" s="69"/>
      <c r="G2461" s="185"/>
      <c r="H2461" s="69"/>
      <c r="I2461" s="69"/>
      <c r="J2461" s="69"/>
      <c r="K2461" s="69"/>
      <c r="L2461" s="69"/>
      <c r="M2461" s="69"/>
      <c r="N2461" s="69"/>
      <c r="O2461" s="69"/>
      <c r="P2461" s="69"/>
      <c r="Q2461" s="69"/>
      <c r="R2461" s="69"/>
      <c r="S2461" s="69"/>
      <c r="T2461" s="69"/>
      <c r="U2461" s="69"/>
      <c r="V2461" s="69"/>
      <c r="W2461" s="69"/>
      <c r="X2461" s="69"/>
      <c r="Y2461" s="69"/>
      <c r="Z2461" s="69"/>
      <c r="AA2461" s="69"/>
      <c r="AB2461" s="69"/>
      <c r="AC2461" s="69"/>
      <c r="AD2461" s="69"/>
      <c r="AE2461" s="69"/>
    </row>
    <row r="2462" spans="1:31" ht="22.5" customHeight="1">
      <c r="A2462" s="69"/>
      <c r="B2462" s="69"/>
      <c r="C2462" s="69"/>
      <c r="D2462" s="69"/>
      <c r="E2462" s="185"/>
      <c r="F2462" s="69"/>
      <c r="G2462" s="185"/>
      <c r="H2462" s="69"/>
      <c r="I2462" s="69"/>
      <c r="J2462" s="69"/>
      <c r="K2462" s="69"/>
      <c r="L2462" s="69"/>
      <c r="M2462" s="69"/>
      <c r="N2462" s="69"/>
      <c r="O2462" s="69"/>
      <c r="P2462" s="69"/>
      <c r="Q2462" s="69"/>
      <c r="R2462" s="69"/>
      <c r="S2462" s="69"/>
      <c r="T2462" s="69"/>
      <c r="U2462" s="69"/>
      <c r="V2462" s="69"/>
      <c r="W2462" s="69"/>
      <c r="X2462" s="69"/>
      <c r="Y2462" s="69"/>
      <c r="Z2462" s="69"/>
      <c r="AA2462" s="69"/>
      <c r="AB2462" s="69"/>
      <c r="AC2462" s="69"/>
      <c r="AD2462" s="69"/>
      <c r="AE2462" s="69"/>
    </row>
    <row r="2463" spans="1:31" ht="22.5" customHeight="1">
      <c r="A2463" s="69"/>
      <c r="B2463" s="69"/>
      <c r="C2463" s="69"/>
      <c r="D2463" s="69"/>
      <c r="E2463" s="185"/>
      <c r="F2463" s="69"/>
      <c r="G2463" s="185"/>
      <c r="H2463" s="69"/>
      <c r="I2463" s="69"/>
      <c r="J2463" s="69"/>
      <c r="K2463" s="69"/>
      <c r="L2463" s="69"/>
      <c r="M2463" s="69"/>
      <c r="N2463" s="69"/>
      <c r="O2463" s="69"/>
      <c r="P2463" s="69"/>
      <c r="Q2463" s="69"/>
      <c r="R2463" s="69"/>
      <c r="S2463" s="69"/>
      <c r="T2463" s="69"/>
      <c r="U2463" s="69"/>
      <c r="V2463" s="69"/>
      <c r="W2463" s="69"/>
      <c r="X2463" s="69"/>
      <c r="Y2463" s="69"/>
      <c r="Z2463" s="69"/>
      <c r="AA2463" s="69"/>
      <c r="AB2463" s="69"/>
      <c r="AC2463" s="69"/>
      <c r="AD2463" s="69"/>
      <c r="AE2463" s="69"/>
    </row>
    <row r="2464" spans="1:31" ht="22.5" customHeight="1">
      <c r="A2464" s="69"/>
      <c r="B2464" s="69"/>
      <c r="C2464" s="69"/>
      <c r="D2464" s="69"/>
      <c r="E2464" s="185"/>
      <c r="F2464" s="69"/>
      <c r="G2464" s="185"/>
      <c r="H2464" s="69"/>
      <c r="I2464" s="69"/>
      <c r="J2464" s="69"/>
      <c r="K2464" s="69"/>
      <c r="L2464" s="69"/>
      <c r="M2464" s="69"/>
      <c r="N2464" s="69"/>
      <c r="O2464" s="69"/>
      <c r="P2464" s="69"/>
      <c r="Q2464" s="69"/>
      <c r="R2464" s="69"/>
      <c r="S2464" s="69"/>
      <c r="T2464" s="69"/>
      <c r="U2464" s="69"/>
      <c r="V2464" s="69"/>
      <c r="W2464" s="69"/>
      <c r="X2464" s="69"/>
      <c r="Y2464" s="69"/>
      <c r="Z2464" s="69"/>
      <c r="AA2464" s="69"/>
      <c r="AB2464" s="69"/>
      <c r="AC2464" s="69"/>
      <c r="AD2464" s="69"/>
      <c r="AE2464" s="69"/>
    </row>
    <row r="2465" spans="1:31" ht="22.5" customHeight="1">
      <c r="A2465" s="69"/>
      <c r="B2465" s="69"/>
      <c r="C2465" s="69"/>
      <c r="D2465" s="69"/>
      <c r="E2465" s="185"/>
      <c r="F2465" s="69"/>
      <c r="G2465" s="185"/>
      <c r="H2465" s="69"/>
      <c r="I2465" s="69"/>
      <c r="J2465" s="69"/>
      <c r="K2465" s="69"/>
      <c r="L2465" s="69"/>
      <c r="M2465" s="69"/>
      <c r="N2465" s="69"/>
      <c r="O2465" s="69"/>
      <c r="P2465" s="69"/>
      <c r="Q2465" s="69"/>
      <c r="R2465" s="69"/>
      <c r="S2465" s="69"/>
      <c r="T2465" s="69"/>
      <c r="U2465" s="69"/>
      <c r="V2465" s="69"/>
      <c r="W2465" s="69"/>
      <c r="X2465" s="69"/>
      <c r="Y2465" s="69"/>
      <c r="Z2465" s="69"/>
      <c r="AA2465" s="69"/>
      <c r="AB2465" s="69"/>
      <c r="AC2465" s="69"/>
      <c r="AD2465" s="69"/>
      <c r="AE2465" s="69"/>
    </row>
    <row r="2466" spans="1:31" ht="22.5" customHeight="1">
      <c r="A2466" s="69"/>
      <c r="B2466" s="69"/>
      <c r="C2466" s="69"/>
      <c r="D2466" s="69"/>
      <c r="E2466" s="185"/>
      <c r="F2466" s="69"/>
      <c r="G2466" s="185"/>
      <c r="H2466" s="69"/>
      <c r="I2466" s="69"/>
      <c r="J2466" s="69"/>
      <c r="K2466" s="69"/>
      <c r="L2466" s="69"/>
      <c r="M2466" s="69"/>
      <c r="N2466" s="69"/>
      <c r="O2466" s="69"/>
      <c r="P2466" s="69"/>
      <c r="Q2466" s="69"/>
      <c r="R2466" s="69"/>
      <c r="S2466" s="69"/>
      <c r="T2466" s="69"/>
      <c r="U2466" s="69"/>
      <c r="V2466" s="69"/>
      <c r="W2466" s="69"/>
      <c r="X2466" s="69"/>
      <c r="Y2466" s="69"/>
      <c r="Z2466" s="69"/>
      <c r="AA2466" s="69"/>
      <c r="AB2466" s="69"/>
      <c r="AC2466" s="69"/>
      <c r="AD2466" s="69"/>
      <c r="AE2466" s="69"/>
    </row>
    <row r="2467" spans="1:31" ht="22.5" customHeight="1">
      <c r="A2467" s="69"/>
      <c r="B2467" s="69"/>
      <c r="C2467" s="69"/>
      <c r="D2467" s="69"/>
      <c r="E2467" s="185"/>
      <c r="F2467" s="69"/>
      <c r="G2467" s="185"/>
      <c r="H2467" s="69"/>
      <c r="I2467" s="69"/>
      <c r="J2467" s="69"/>
      <c r="K2467" s="69"/>
      <c r="L2467" s="69"/>
      <c r="M2467" s="69"/>
      <c r="N2467" s="69"/>
      <c r="O2467" s="69"/>
      <c r="P2467" s="69"/>
      <c r="Q2467" s="69"/>
      <c r="R2467" s="69"/>
      <c r="S2467" s="69"/>
      <c r="T2467" s="69"/>
      <c r="U2467" s="69"/>
      <c r="V2467" s="69"/>
      <c r="W2467" s="69"/>
      <c r="X2467" s="69"/>
      <c r="Y2467" s="69"/>
      <c r="Z2467" s="69"/>
      <c r="AA2467" s="69"/>
      <c r="AB2467" s="69"/>
      <c r="AC2467" s="69"/>
      <c r="AD2467" s="69"/>
      <c r="AE2467" s="69"/>
    </row>
    <row r="2468" spans="1:31" ht="22.5" customHeight="1">
      <c r="A2468" s="69"/>
      <c r="B2468" s="69"/>
      <c r="C2468" s="69"/>
      <c r="D2468" s="69"/>
      <c r="E2468" s="185"/>
      <c r="F2468" s="69"/>
      <c r="G2468" s="185"/>
      <c r="H2468" s="69"/>
      <c r="I2468" s="69"/>
      <c r="J2468" s="69"/>
      <c r="K2468" s="69"/>
      <c r="L2468" s="69"/>
      <c r="M2468" s="69"/>
      <c r="N2468" s="69"/>
      <c r="O2468" s="69"/>
      <c r="P2468" s="69"/>
      <c r="Q2468" s="69"/>
      <c r="R2468" s="69"/>
      <c r="S2468" s="69"/>
      <c r="T2468" s="69"/>
      <c r="U2468" s="69"/>
      <c r="V2468" s="69"/>
      <c r="W2468" s="69"/>
      <c r="X2468" s="69"/>
      <c r="Y2468" s="69"/>
      <c r="Z2468" s="69"/>
      <c r="AA2468" s="69"/>
      <c r="AB2468" s="69"/>
      <c r="AC2468" s="69"/>
      <c r="AD2468" s="69"/>
      <c r="AE2468" s="69"/>
    </row>
    <row r="2469" spans="1:31" ht="22.5" customHeight="1">
      <c r="A2469" s="69"/>
      <c r="B2469" s="69"/>
      <c r="C2469" s="69"/>
      <c r="D2469" s="69"/>
      <c r="E2469" s="185"/>
      <c r="F2469" s="69"/>
      <c r="G2469" s="185"/>
      <c r="H2469" s="69"/>
      <c r="I2469" s="69"/>
      <c r="J2469" s="69"/>
      <c r="K2469" s="69"/>
      <c r="L2469" s="69"/>
      <c r="M2469" s="69"/>
      <c r="N2469" s="69"/>
      <c r="O2469" s="69"/>
      <c r="P2469" s="69"/>
      <c r="Q2469" s="69"/>
      <c r="R2469" s="69"/>
      <c r="S2469" s="69"/>
      <c r="T2469" s="69"/>
      <c r="U2469" s="69"/>
      <c r="V2469" s="69"/>
      <c r="W2469" s="69"/>
      <c r="X2469" s="69"/>
      <c r="Y2469" s="69"/>
      <c r="Z2469" s="69"/>
      <c r="AA2469" s="69"/>
      <c r="AB2469" s="69"/>
      <c r="AC2469" s="69"/>
      <c r="AD2469" s="69"/>
      <c r="AE2469" s="69"/>
    </row>
    <row r="2470" spans="1:31" ht="22.5" customHeight="1">
      <c r="A2470" s="69"/>
      <c r="B2470" s="69"/>
      <c r="C2470" s="69"/>
      <c r="D2470" s="69"/>
      <c r="E2470" s="185"/>
      <c r="F2470" s="69"/>
      <c r="G2470" s="185"/>
      <c r="H2470" s="69"/>
      <c r="I2470" s="69"/>
      <c r="J2470" s="69"/>
      <c r="K2470" s="69"/>
      <c r="L2470" s="69"/>
      <c r="M2470" s="69"/>
      <c r="N2470" s="69"/>
      <c r="O2470" s="69"/>
      <c r="P2470" s="69"/>
      <c r="Q2470" s="69"/>
      <c r="R2470" s="69"/>
      <c r="S2470" s="69"/>
      <c r="T2470" s="69"/>
      <c r="U2470" s="69"/>
      <c r="V2470" s="69"/>
      <c r="W2470" s="69"/>
      <c r="X2470" s="69"/>
      <c r="Y2470" s="69"/>
      <c r="Z2470" s="69"/>
      <c r="AA2470" s="69"/>
      <c r="AB2470" s="69"/>
      <c r="AC2470" s="69"/>
      <c r="AD2470" s="69"/>
      <c r="AE2470" s="69"/>
    </row>
    <row r="2471" spans="1:31" ht="22.5" customHeight="1">
      <c r="A2471" s="69"/>
      <c r="B2471" s="69"/>
      <c r="C2471" s="69"/>
      <c r="D2471" s="69"/>
      <c r="E2471" s="185"/>
      <c r="F2471" s="69"/>
      <c r="G2471" s="185"/>
      <c r="H2471" s="69"/>
      <c r="I2471" s="69"/>
      <c r="J2471" s="69"/>
      <c r="K2471" s="69"/>
      <c r="L2471" s="69"/>
      <c r="M2471" s="69"/>
      <c r="N2471" s="69"/>
      <c r="O2471" s="69"/>
      <c r="P2471" s="69"/>
      <c r="Q2471" s="69"/>
      <c r="R2471" s="69"/>
      <c r="S2471" s="69"/>
      <c r="T2471" s="69"/>
      <c r="U2471" s="69"/>
      <c r="V2471" s="69"/>
      <c r="W2471" s="69"/>
      <c r="X2471" s="69"/>
      <c r="Y2471" s="69"/>
      <c r="Z2471" s="69"/>
      <c r="AA2471" s="69"/>
      <c r="AB2471" s="69"/>
      <c r="AC2471" s="69"/>
      <c r="AD2471" s="69"/>
      <c r="AE2471" s="69"/>
    </row>
    <row r="2472" spans="1:31" ht="22.5" customHeight="1">
      <c r="A2472" s="69"/>
      <c r="B2472" s="69"/>
      <c r="C2472" s="69"/>
      <c r="D2472" s="69"/>
      <c r="E2472" s="185"/>
      <c r="F2472" s="69"/>
      <c r="G2472" s="185"/>
      <c r="H2472" s="69"/>
      <c r="I2472" s="69"/>
      <c r="J2472" s="69"/>
      <c r="K2472" s="69"/>
      <c r="L2472" s="69"/>
      <c r="M2472" s="69"/>
      <c r="N2472" s="69"/>
      <c r="O2472" s="69"/>
      <c r="P2472" s="69"/>
      <c r="Q2472" s="69"/>
      <c r="R2472" s="69"/>
      <c r="S2472" s="69"/>
      <c r="T2472" s="69"/>
      <c r="U2472" s="69"/>
      <c r="V2472" s="69"/>
      <c r="W2472" s="69"/>
      <c r="X2472" s="69"/>
      <c r="Y2472" s="69"/>
      <c r="Z2472" s="69"/>
      <c r="AA2472" s="69"/>
      <c r="AB2472" s="69"/>
      <c r="AC2472" s="69"/>
      <c r="AD2472" s="69"/>
      <c r="AE2472" s="69"/>
    </row>
    <row r="2473" spans="1:31" ht="22.5" customHeight="1">
      <c r="A2473" s="69"/>
      <c r="B2473" s="69"/>
      <c r="C2473" s="69"/>
      <c r="D2473" s="69"/>
      <c r="E2473" s="185"/>
      <c r="F2473" s="69"/>
      <c r="G2473" s="185"/>
      <c r="H2473" s="69"/>
      <c r="I2473" s="69"/>
      <c r="J2473" s="69"/>
      <c r="K2473" s="69"/>
      <c r="L2473" s="69"/>
      <c r="M2473" s="69"/>
      <c r="N2473" s="69"/>
      <c r="O2473" s="69"/>
      <c r="P2473" s="69"/>
      <c r="Q2473" s="69"/>
      <c r="R2473" s="69"/>
      <c r="S2473" s="69"/>
      <c r="T2473" s="69"/>
      <c r="U2473" s="69"/>
      <c r="V2473" s="69"/>
      <c r="W2473" s="69"/>
      <c r="X2473" s="69"/>
      <c r="Y2473" s="69"/>
      <c r="Z2473" s="69"/>
      <c r="AA2473" s="69"/>
      <c r="AB2473" s="69"/>
      <c r="AC2473" s="69"/>
      <c r="AD2473" s="69"/>
      <c r="AE2473" s="69"/>
    </row>
    <row r="2474" spans="1:31" ht="22.5" customHeight="1">
      <c r="A2474" s="69"/>
      <c r="B2474" s="69"/>
      <c r="C2474" s="69"/>
      <c r="D2474" s="69"/>
      <c r="E2474" s="185"/>
      <c r="F2474" s="69"/>
      <c r="G2474" s="185"/>
      <c r="H2474" s="69"/>
      <c r="I2474" s="69"/>
      <c r="J2474" s="69"/>
      <c r="K2474" s="69"/>
      <c r="L2474" s="69"/>
      <c r="M2474" s="69"/>
      <c r="N2474" s="69"/>
      <c r="O2474" s="69"/>
      <c r="P2474" s="69"/>
      <c r="Q2474" s="69"/>
      <c r="R2474" s="69"/>
      <c r="S2474" s="69"/>
      <c r="T2474" s="69"/>
      <c r="U2474" s="69"/>
      <c r="V2474" s="69"/>
      <c r="W2474" s="69"/>
      <c r="X2474" s="69"/>
      <c r="Y2474" s="69"/>
      <c r="Z2474" s="69"/>
      <c r="AA2474" s="69"/>
      <c r="AB2474" s="69"/>
      <c r="AC2474" s="69"/>
      <c r="AD2474" s="69"/>
      <c r="AE2474" s="69"/>
    </row>
    <row r="2475" spans="1:31" ht="22.5" customHeight="1">
      <c r="A2475" s="69"/>
      <c r="B2475" s="69"/>
      <c r="C2475" s="69"/>
      <c r="D2475" s="69"/>
      <c r="E2475" s="185"/>
      <c r="F2475" s="69"/>
      <c r="G2475" s="185"/>
      <c r="H2475" s="69"/>
      <c r="I2475" s="69"/>
      <c r="J2475" s="69"/>
      <c r="K2475" s="69"/>
      <c r="L2475" s="69"/>
      <c r="M2475" s="69"/>
      <c r="N2475" s="69"/>
      <c r="O2475" s="69"/>
      <c r="P2475" s="69"/>
      <c r="Q2475" s="69"/>
      <c r="R2475" s="69"/>
      <c r="S2475" s="69"/>
      <c r="T2475" s="69"/>
      <c r="U2475" s="69"/>
      <c r="V2475" s="69"/>
      <c r="W2475" s="69"/>
      <c r="X2475" s="69"/>
      <c r="Y2475" s="69"/>
      <c r="Z2475" s="69"/>
      <c r="AA2475" s="69"/>
      <c r="AB2475" s="69"/>
      <c r="AC2475" s="69"/>
      <c r="AD2475" s="69"/>
      <c r="AE2475" s="69"/>
    </row>
    <row r="2476" spans="1:31" ht="22.5" customHeight="1">
      <c r="A2476" s="69"/>
      <c r="B2476" s="69"/>
      <c r="C2476" s="69"/>
      <c r="D2476" s="69"/>
      <c r="E2476" s="185"/>
      <c r="F2476" s="69"/>
      <c r="G2476" s="185"/>
      <c r="H2476" s="69"/>
      <c r="I2476" s="69"/>
      <c r="J2476" s="69"/>
      <c r="K2476" s="69"/>
      <c r="L2476" s="69"/>
      <c r="M2476" s="69"/>
      <c r="N2476" s="69"/>
      <c r="O2476" s="69"/>
      <c r="P2476" s="69"/>
      <c r="Q2476" s="69"/>
      <c r="R2476" s="69"/>
      <c r="S2476" s="69"/>
      <c r="T2476" s="69"/>
      <c r="U2476" s="69"/>
      <c r="V2476" s="69"/>
      <c r="W2476" s="69"/>
      <c r="X2476" s="69"/>
      <c r="Y2476" s="69"/>
      <c r="Z2476" s="69"/>
      <c r="AA2476" s="69"/>
      <c r="AB2476" s="69"/>
      <c r="AC2476" s="69"/>
      <c r="AD2476" s="69"/>
      <c r="AE2476" s="69"/>
    </row>
    <row r="2477" spans="1:31" ht="22.5" customHeight="1">
      <c r="A2477" s="69"/>
      <c r="B2477" s="69"/>
      <c r="C2477" s="69"/>
      <c r="D2477" s="69"/>
      <c r="E2477" s="185"/>
      <c r="F2477" s="69"/>
      <c r="G2477" s="185"/>
      <c r="H2477" s="69"/>
      <c r="I2477" s="69"/>
      <c r="J2477" s="69"/>
      <c r="K2477" s="69"/>
      <c r="L2477" s="69"/>
      <c r="M2477" s="69"/>
      <c r="N2477" s="69"/>
      <c r="O2477" s="69"/>
      <c r="P2477" s="69"/>
      <c r="Q2477" s="69"/>
      <c r="R2477" s="69"/>
      <c r="S2477" s="69"/>
      <c r="T2477" s="69"/>
      <c r="U2477" s="69"/>
      <c r="V2477" s="69"/>
      <c r="W2477" s="69"/>
      <c r="X2477" s="69"/>
      <c r="Y2477" s="69"/>
      <c r="Z2477" s="69"/>
      <c r="AA2477" s="69"/>
      <c r="AB2477" s="69"/>
      <c r="AC2477" s="69"/>
      <c r="AD2477" s="69"/>
      <c r="AE2477" s="69"/>
    </row>
    <row r="2478" spans="1:31" ht="22.5" customHeight="1">
      <c r="A2478" s="69"/>
      <c r="B2478" s="69"/>
      <c r="C2478" s="69"/>
      <c r="D2478" s="69"/>
      <c r="E2478" s="185"/>
      <c r="F2478" s="69"/>
      <c r="G2478" s="185"/>
      <c r="H2478" s="69"/>
      <c r="I2478" s="69"/>
      <c r="J2478" s="69"/>
      <c r="K2478" s="69"/>
      <c r="L2478" s="69"/>
      <c r="M2478" s="69"/>
      <c r="N2478" s="69"/>
      <c r="O2478" s="69"/>
      <c r="P2478" s="69"/>
      <c r="Q2478" s="69"/>
      <c r="R2478" s="69"/>
      <c r="S2478" s="69"/>
      <c r="T2478" s="69"/>
      <c r="U2478" s="69"/>
      <c r="V2478" s="69"/>
      <c r="W2478" s="69"/>
      <c r="X2478" s="69"/>
      <c r="Y2478" s="69"/>
      <c r="Z2478" s="69"/>
      <c r="AA2478" s="69"/>
      <c r="AB2478" s="69"/>
      <c r="AC2478" s="69"/>
      <c r="AD2478" s="69"/>
      <c r="AE2478" s="69"/>
    </row>
    <row r="2479" spans="1:31" ht="22.5" customHeight="1">
      <c r="A2479" s="69"/>
      <c r="B2479" s="69"/>
      <c r="C2479" s="69"/>
      <c r="D2479" s="69"/>
      <c r="E2479" s="185"/>
      <c r="F2479" s="69"/>
      <c r="G2479" s="185"/>
      <c r="H2479" s="69"/>
      <c r="I2479" s="69"/>
      <c r="J2479" s="69"/>
      <c r="K2479" s="69"/>
      <c r="L2479" s="69"/>
      <c r="M2479" s="69"/>
      <c r="N2479" s="69"/>
      <c r="O2479" s="69"/>
      <c r="P2479" s="69"/>
      <c r="Q2479" s="69"/>
      <c r="R2479" s="69"/>
      <c r="S2479" s="69"/>
      <c r="T2479" s="69"/>
      <c r="U2479" s="69"/>
      <c r="V2479" s="69"/>
      <c r="W2479" s="69"/>
      <c r="X2479" s="69"/>
      <c r="Y2479" s="69"/>
      <c r="Z2479" s="69"/>
      <c r="AA2479" s="69"/>
      <c r="AB2479" s="69"/>
      <c r="AC2479" s="69"/>
      <c r="AD2479" s="69"/>
      <c r="AE2479" s="69"/>
    </row>
    <row r="2480" spans="1:31" ht="22.5" customHeight="1">
      <c r="A2480" s="69"/>
      <c r="B2480" s="69"/>
      <c r="C2480" s="69"/>
      <c r="D2480" s="69"/>
      <c r="E2480" s="185"/>
      <c r="F2480" s="69"/>
      <c r="G2480" s="185"/>
      <c r="H2480" s="69"/>
      <c r="I2480" s="69"/>
      <c r="J2480" s="69"/>
      <c r="K2480" s="69"/>
      <c r="L2480" s="69"/>
      <c r="M2480" s="69"/>
      <c r="N2480" s="69"/>
      <c r="O2480" s="69"/>
      <c r="P2480" s="69"/>
      <c r="Q2480" s="69"/>
      <c r="R2480" s="69"/>
      <c r="S2480" s="69"/>
      <c r="T2480" s="69"/>
      <c r="U2480" s="69"/>
      <c r="V2480" s="69"/>
      <c r="W2480" s="69"/>
      <c r="X2480" s="69"/>
      <c r="Y2480" s="69"/>
      <c r="Z2480" s="69"/>
      <c r="AA2480" s="69"/>
      <c r="AB2480" s="69"/>
      <c r="AC2480" s="69"/>
      <c r="AD2480" s="69"/>
      <c r="AE2480" s="69"/>
    </row>
    <row r="2481" spans="1:31" ht="22.5" customHeight="1">
      <c r="A2481" s="69"/>
      <c r="B2481" s="69"/>
      <c r="C2481" s="69"/>
      <c r="D2481" s="69"/>
      <c r="E2481" s="185"/>
      <c r="F2481" s="69"/>
      <c r="G2481" s="185"/>
      <c r="H2481" s="69"/>
      <c r="I2481" s="69"/>
      <c r="J2481" s="69"/>
      <c r="K2481" s="69"/>
      <c r="L2481" s="69"/>
      <c r="M2481" s="69"/>
      <c r="N2481" s="69"/>
      <c r="O2481" s="69"/>
      <c r="P2481" s="69"/>
      <c r="Q2481" s="69"/>
      <c r="R2481" s="69"/>
      <c r="S2481" s="69"/>
      <c r="T2481" s="69"/>
      <c r="U2481" s="69"/>
      <c r="V2481" s="69"/>
      <c r="W2481" s="69"/>
      <c r="X2481" s="69"/>
      <c r="Y2481" s="69"/>
      <c r="Z2481" s="69"/>
      <c r="AA2481" s="69"/>
      <c r="AB2481" s="69"/>
      <c r="AC2481" s="69"/>
      <c r="AD2481" s="69"/>
      <c r="AE2481" s="69"/>
    </row>
    <row r="2482" spans="1:31" ht="22.5" customHeight="1">
      <c r="A2482" s="69"/>
      <c r="B2482" s="69"/>
      <c r="C2482" s="69"/>
      <c r="D2482" s="69"/>
      <c r="E2482" s="185"/>
      <c r="F2482" s="69"/>
      <c r="G2482" s="185"/>
      <c r="H2482" s="69"/>
      <c r="I2482" s="69"/>
      <c r="J2482" s="69"/>
      <c r="K2482" s="69"/>
      <c r="L2482" s="69"/>
      <c r="M2482" s="69"/>
      <c r="N2482" s="69"/>
      <c r="O2482" s="69"/>
      <c r="P2482" s="69"/>
      <c r="Q2482" s="69"/>
      <c r="R2482" s="69"/>
      <c r="S2482" s="69"/>
      <c r="T2482" s="69"/>
      <c r="U2482" s="69"/>
      <c r="V2482" s="69"/>
      <c r="W2482" s="69"/>
      <c r="X2482" s="69"/>
      <c r="Y2482" s="69"/>
      <c r="Z2482" s="69"/>
      <c r="AA2482" s="69"/>
      <c r="AB2482" s="69"/>
      <c r="AC2482" s="69"/>
      <c r="AD2482" s="69"/>
      <c r="AE2482" s="69"/>
    </row>
    <row r="2483" spans="1:31" ht="22.5" customHeight="1">
      <c r="A2483" s="69"/>
      <c r="B2483" s="69"/>
      <c r="C2483" s="69"/>
      <c r="D2483" s="69"/>
      <c r="E2483" s="185"/>
      <c r="F2483" s="69"/>
      <c r="G2483" s="185"/>
      <c r="H2483" s="69"/>
      <c r="I2483" s="69"/>
      <c r="J2483" s="69"/>
      <c r="K2483" s="69"/>
      <c r="L2483" s="69"/>
      <c r="M2483" s="69"/>
      <c r="N2483" s="69"/>
      <c r="O2483" s="69"/>
      <c r="P2483" s="69"/>
      <c r="Q2483" s="69"/>
      <c r="R2483" s="69"/>
      <c r="S2483" s="69"/>
      <c r="T2483" s="69"/>
      <c r="U2483" s="69"/>
      <c r="V2483" s="69"/>
      <c r="W2483" s="69"/>
      <c r="X2483" s="69"/>
      <c r="Y2483" s="69"/>
      <c r="Z2483" s="69"/>
      <c r="AA2483" s="69"/>
      <c r="AB2483" s="69"/>
      <c r="AC2483" s="69"/>
      <c r="AD2483" s="69"/>
      <c r="AE2483" s="69"/>
    </row>
    <row r="2484" spans="1:31" ht="22.5" customHeight="1">
      <c r="A2484" s="69"/>
      <c r="B2484" s="69"/>
      <c r="C2484" s="69"/>
      <c r="D2484" s="69"/>
      <c r="E2484" s="185"/>
      <c r="F2484" s="69"/>
      <c r="G2484" s="185"/>
      <c r="H2484" s="69"/>
      <c r="I2484" s="69"/>
      <c r="J2484" s="69"/>
      <c r="K2484" s="69"/>
      <c r="L2484" s="69"/>
      <c r="M2484" s="69"/>
      <c r="N2484" s="69"/>
      <c r="O2484" s="69"/>
      <c r="P2484" s="69"/>
      <c r="Q2484" s="69"/>
      <c r="R2484" s="69"/>
      <c r="S2484" s="69"/>
      <c r="T2484" s="69"/>
      <c r="U2484" s="69"/>
      <c r="V2484" s="69"/>
      <c r="W2484" s="69"/>
      <c r="X2484" s="69"/>
      <c r="Y2484" s="69"/>
      <c r="Z2484" s="69"/>
      <c r="AA2484" s="69"/>
      <c r="AB2484" s="69"/>
      <c r="AC2484" s="69"/>
      <c r="AD2484" s="69"/>
      <c r="AE2484" s="69"/>
    </row>
    <row r="2485" spans="1:31" ht="22.5" customHeight="1">
      <c r="A2485" s="69"/>
      <c r="B2485" s="69"/>
      <c r="C2485" s="69"/>
      <c r="D2485" s="69"/>
      <c r="E2485" s="185"/>
      <c r="F2485" s="69"/>
      <c r="G2485" s="185"/>
      <c r="H2485" s="69"/>
      <c r="I2485" s="69"/>
      <c r="J2485" s="69"/>
      <c r="K2485" s="69"/>
      <c r="L2485" s="69"/>
      <c r="M2485" s="69"/>
      <c r="N2485" s="69"/>
      <c r="O2485" s="69"/>
      <c r="P2485" s="69"/>
      <c r="Q2485" s="69"/>
      <c r="R2485" s="69"/>
      <c r="S2485" s="69"/>
      <c r="T2485" s="69"/>
      <c r="U2485" s="69"/>
      <c r="V2485" s="69"/>
      <c r="W2485" s="69"/>
      <c r="X2485" s="69"/>
      <c r="Y2485" s="69"/>
      <c r="Z2485" s="69"/>
      <c r="AA2485" s="69"/>
      <c r="AB2485" s="69"/>
      <c r="AC2485" s="69"/>
      <c r="AD2485" s="69"/>
      <c r="AE2485" s="69"/>
    </row>
    <row r="2486" spans="1:31" ht="22.5" customHeight="1">
      <c r="A2486" s="69"/>
      <c r="B2486" s="69"/>
      <c r="C2486" s="69"/>
      <c r="D2486" s="69"/>
      <c r="E2486" s="185"/>
      <c r="F2486" s="69"/>
      <c r="G2486" s="185"/>
      <c r="H2486" s="69"/>
      <c r="I2486" s="69"/>
      <c r="J2486" s="69"/>
      <c r="K2486" s="69"/>
      <c r="L2486" s="69"/>
      <c r="M2486" s="69"/>
      <c r="N2486" s="69"/>
      <c r="O2486" s="69"/>
      <c r="P2486" s="69"/>
      <c r="Q2486" s="69"/>
      <c r="R2486" s="69"/>
      <c r="S2486" s="69"/>
      <c r="T2486" s="69"/>
      <c r="U2486" s="69"/>
      <c r="V2486" s="69"/>
      <c r="W2486" s="69"/>
      <c r="X2486" s="69"/>
      <c r="Y2486" s="69"/>
      <c r="Z2486" s="69"/>
      <c r="AA2486" s="69"/>
      <c r="AB2486" s="69"/>
      <c r="AC2486" s="69"/>
      <c r="AD2486" s="69"/>
      <c r="AE2486" s="69"/>
    </row>
    <row r="2487" spans="1:31" ht="22.5" customHeight="1">
      <c r="A2487" s="69"/>
      <c r="B2487" s="69"/>
      <c r="C2487" s="69"/>
      <c r="D2487" s="69"/>
      <c r="E2487" s="185"/>
      <c r="F2487" s="69"/>
      <c r="G2487" s="185"/>
      <c r="H2487" s="69"/>
      <c r="I2487" s="69"/>
      <c r="J2487" s="69"/>
      <c r="K2487" s="69"/>
      <c r="L2487" s="69"/>
      <c r="M2487" s="69"/>
      <c r="N2487" s="69"/>
      <c r="O2487" s="69"/>
      <c r="P2487" s="69"/>
      <c r="Q2487" s="69"/>
      <c r="R2487" s="69"/>
      <c r="S2487" s="69"/>
      <c r="T2487" s="69"/>
      <c r="U2487" s="69"/>
      <c r="V2487" s="69"/>
      <c r="W2487" s="69"/>
      <c r="X2487" s="69"/>
      <c r="Y2487" s="69"/>
      <c r="Z2487" s="69"/>
      <c r="AA2487" s="69"/>
      <c r="AB2487" s="69"/>
      <c r="AC2487" s="69"/>
      <c r="AD2487" s="69"/>
      <c r="AE2487" s="69"/>
    </row>
    <row r="2488" spans="1:31" ht="22.5" customHeight="1">
      <c r="A2488" s="69"/>
      <c r="B2488" s="69"/>
      <c r="C2488" s="69"/>
      <c r="D2488" s="69"/>
      <c r="E2488" s="185"/>
      <c r="F2488" s="69"/>
      <c r="G2488" s="185"/>
      <c r="H2488" s="69"/>
      <c r="I2488" s="69"/>
      <c r="J2488" s="69"/>
      <c r="K2488" s="69"/>
      <c r="L2488" s="69"/>
      <c r="M2488" s="69"/>
      <c r="N2488" s="69"/>
      <c r="O2488" s="69"/>
      <c r="P2488" s="69"/>
      <c r="Q2488" s="69"/>
      <c r="R2488" s="69"/>
      <c r="S2488" s="69"/>
      <c r="T2488" s="69"/>
      <c r="U2488" s="69"/>
      <c r="V2488" s="69"/>
      <c r="W2488" s="69"/>
      <c r="X2488" s="69"/>
      <c r="Y2488" s="69"/>
      <c r="Z2488" s="69"/>
      <c r="AA2488" s="69"/>
      <c r="AB2488" s="69"/>
      <c r="AC2488" s="69"/>
      <c r="AD2488" s="69"/>
      <c r="AE2488" s="69"/>
    </row>
    <row r="2489" spans="1:31" ht="22.5" customHeight="1">
      <c r="A2489" s="69"/>
      <c r="B2489" s="69"/>
      <c r="C2489" s="69"/>
      <c r="D2489" s="69"/>
      <c r="E2489" s="185"/>
      <c r="F2489" s="69"/>
      <c r="G2489" s="185"/>
      <c r="H2489" s="69"/>
      <c r="I2489" s="69"/>
      <c r="J2489" s="69"/>
      <c r="K2489" s="69"/>
      <c r="L2489" s="69"/>
      <c r="M2489" s="69"/>
      <c r="N2489" s="69"/>
      <c r="O2489" s="69"/>
      <c r="P2489" s="69"/>
      <c r="Q2489" s="69"/>
      <c r="R2489" s="69"/>
      <c r="S2489" s="69"/>
      <c r="T2489" s="69"/>
      <c r="U2489" s="69"/>
      <c r="V2489" s="69"/>
      <c r="W2489" s="69"/>
      <c r="X2489" s="69"/>
      <c r="Y2489" s="69"/>
      <c r="Z2489" s="69"/>
      <c r="AA2489" s="69"/>
      <c r="AB2489" s="69"/>
      <c r="AC2489" s="69"/>
      <c r="AD2489" s="69"/>
      <c r="AE2489" s="69"/>
    </row>
    <row r="2490" spans="1:31" ht="22.5" customHeight="1">
      <c r="A2490" s="69"/>
      <c r="B2490" s="69"/>
      <c r="C2490" s="69"/>
      <c r="D2490" s="69"/>
      <c r="E2490" s="185"/>
      <c r="F2490" s="69"/>
      <c r="G2490" s="185"/>
      <c r="H2490" s="69"/>
      <c r="I2490" s="69"/>
      <c r="J2490" s="69"/>
      <c r="K2490" s="69"/>
      <c r="L2490" s="69"/>
      <c r="M2490" s="69"/>
      <c r="N2490" s="69"/>
      <c r="O2490" s="69"/>
      <c r="P2490" s="69"/>
      <c r="Q2490" s="69"/>
      <c r="R2490" s="69"/>
      <c r="S2490" s="69"/>
      <c r="T2490" s="69"/>
      <c r="U2490" s="69"/>
      <c r="V2490" s="69"/>
      <c r="W2490" s="69"/>
      <c r="X2490" s="69"/>
      <c r="Y2490" s="69"/>
      <c r="Z2490" s="69"/>
      <c r="AA2490" s="69"/>
      <c r="AB2490" s="69"/>
      <c r="AC2490" s="69"/>
      <c r="AD2490" s="69"/>
      <c r="AE2490" s="69"/>
    </row>
    <row r="2491" spans="1:31" ht="22.5" customHeight="1">
      <c r="A2491" s="69"/>
      <c r="B2491" s="69"/>
      <c r="C2491" s="69"/>
      <c r="D2491" s="69"/>
      <c r="E2491" s="185"/>
      <c r="F2491" s="69"/>
      <c r="G2491" s="185"/>
      <c r="H2491" s="69"/>
      <c r="I2491" s="69"/>
      <c r="J2491" s="69"/>
      <c r="K2491" s="69"/>
      <c r="L2491" s="69"/>
      <c r="M2491" s="69"/>
      <c r="N2491" s="69"/>
      <c r="O2491" s="69"/>
      <c r="P2491" s="69"/>
      <c r="Q2491" s="69"/>
      <c r="R2491" s="69"/>
      <c r="S2491" s="69"/>
      <c r="T2491" s="69"/>
      <c r="U2491" s="69"/>
      <c r="V2491" s="69"/>
      <c r="W2491" s="69"/>
      <c r="X2491" s="69"/>
      <c r="Y2491" s="69"/>
      <c r="Z2491" s="69"/>
      <c r="AA2491" s="69"/>
      <c r="AB2491" s="69"/>
      <c r="AC2491" s="69"/>
      <c r="AD2491" s="69"/>
      <c r="AE2491" s="69"/>
    </row>
    <row r="2492" spans="1:31" ht="22.5" customHeight="1">
      <c r="A2492" s="69"/>
      <c r="B2492" s="69"/>
      <c r="C2492" s="69"/>
      <c r="D2492" s="69"/>
      <c r="E2492" s="185"/>
      <c r="F2492" s="69"/>
      <c r="G2492" s="185"/>
      <c r="H2492" s="69"/>
      <c r="I2492" s="69"/>
      <c r="J2492" s="69"/>
      <c r="K2492" s="69"/>
      <c r="L2492" s="69"/>
      <c r="M2492" s="69"/>
      <c r="N2492" s="69"/>
      <c r="O2492" s="69"/>
      <c r="P2492" s="69"/>
      <c r="Q2492" s="69"/>
      <c r="R2492" s="69"/>
      <c r="S2492" s="69"/>
      <c r="T2492" s="69"/>
      <c r="U2492" s="69"/>
      <c r="V2492" s="69"/>
      <c r="W2492" s="69"/>
      <c r="X2492" s="69"/>
      <c r="Y2492" s="69"/>
      <c r="Z2492" s="69"/>
      <c r="AA2492" s="69"/>
      <c r="AB2492" s="69"/>
      <c r="AC2492" s="69"/>
      <c r="AD2492" s="69"/>
      <c r="AE2492" s="69"/>
    </row>
    <row r="2493" spans="1:31" ht="22.5" customHeight="1">
      <c r="A2493" s="69"/>
      <c r="B2493" s="69"/>
      <c r="C2493" s="69"/>
      <c r="D2493" s="69"/>
      <c r="E2493" s="185"/>
      <c r="F2493" s="69"/>
      <c r="G2493" s="185"/>
      <c r="H2493" s="69"/>
      <c r="I2493" s="69"/>
      <c r="J2493" s="69"/>
      <c r="K2493" s="69"/>
      <c r="L2493" s="69"/>
      <c r="M2493" s="69"/>
      <c r="N2493" s="69"/>
      <c r="O2493" s="69"/>
      <c r="P2493" s="69"/>
      <c r="Q2493" s="69"/>
      <c r="R2493" s="69"/>
      <c r="S2493" s="69"/>
      <c r="T2493" s="69"/>
      <c r="U2493" s="69"/>
      <c r="V2493" s="69"/>
      <c r="W2493" s="69"/>
      <c r="X2493" s="69"/>
      <c r="Y2493" s="69"/>
      <c r="Z2493" s="69"/>
      <c r="AA2493" s="69"/>
      <c r="AB2493" s="69"/>
      <c r="AC2493" s="69"/>
      <c r="AD2493" s="69"/>
      <c r="AE2493" s="69"/>
    </row>
    <row r="2494" spans="1:31" ht="22.5" customHeight="1">
      <c r="A2494" s="69"/>
      <c r="B2494" s="69"/>
      <c r="C2494" s="69"/>
      <c r="D2494" s="69"/>
      <c r="E2494" s="185"/>
      <c r="F2494" s="69"/>
      <c r="G2494" s="185"/>
      <c r="H2494" s="69"/>
      <c r="I2494" s="69"/>
      <c r="J2494" s="69"/>
      <c r="K2494" s="69"/>
      <c r="L2494" s="69"/>
      <c r="M2494" s="69"/>
      <c r="N2494" s="69"/>
      <c r="O2494" s="69"/>
      <c r="P2494" s="69"/>
      <c r="Q2494" s="69"/>
      <c r="R2494" s="69"/>
      <c r="S2494" s="69"/>
      <c r="T2494" s="69"/>
      <c r="U2494" s="69"/>
      <c r="V2494" s="69"/>
      <c r="W2494" s="69"/>
      <c r="X2494" s="69"/>
      <c r="Y2494" s="69"/>
      <c r="Z2494" s="69"/>
      <c r="AA2494" s="69"/>
      <c r="AB2494" s="69"/>
      <c r="AC2494" s="69"/>
      <c r="AD2494" s="69"/>
      <c r="AE2494" s="69"/>
    </row>
    <row r="2495" spans="1:31" ht="22.5" customHeight="1">
      <c r="A2495" s="69"/>
      <c r="B2495" s="69"/>
      <c r="C2495" s="69"/>
      <c r="D2495" s="69"/>
      <c r="E2495" s="185"/>
      <c r="F2495" s="69"/>
      <c r="G2495" s="185"/>
      <c r="H2495" s="69"/>
      <c r="I2495" s="69"/>
      <c r="J2495" s="69"/>
      <c r="K2495" s="69"/>
      <c r="L2495" s="69"/>
      <c r="M2495" s="69"/>
      <c r="N2495" s="69"/>
      <c r="O2495" s="69"/>
      <c r="P2495" s="69"/>
      <c r="Q2495" s="69"/>
      <c r="R2495" s="69"/>
      <c r="S2495" s="69"/>
      <c r="T2495" s="69"/>
      <c r="U2495" s="69"/>
      <c r="V2495" s="69"/>
      <c r="W2495" s="69"/>
      <c r="X2495" s="69"/>
      <c r="Y2495" s="69"/>
      <c r="Z2495" s="69"/>
      <c r="AA2495" s="69"/>
      <c r="AB2495" s="69"/>
      <c r="AC2495" s="69"/>
      <c r="AD2495" s="69"/>
      <c r="AE2495" s="69"/>
    </row>
    <row r="2496" spans="1:31" ht="22.5" customHeight="1">
      <c r="A2496" s="69"/>
      <c r="B2496" s="69"/>
      <c r="C2496" s="69"/>
      <c r="D2496" s="69"/>
      <c r="E2496" s="185"/>
      <c r="F2496" s="69"/>
      <c r="G2496" s="185"/>
      <c r="H2496" s="69"/>
      <c r="I2496" s="69"/>
      <c r="J2496" s="69"/>
      <c r="K2496" s="69"/>
      <c r="L2496" s="69"/>
      <c r="M2496" s="69"/>
      <c r="N2496" s="69"/>
      <c r="O2496" s="69"/>
      <c r="P2496" s="69"/>
      <c r="Q2496" s="69"/>
      <c r="R2496" s="69"/>
      <c r="S2496" s="69"/>
      <c r="T2496" s="69"/>
      <c r="U2496" s="69"/>
      <c r="V2496" s="69"/>
      <c r="W2496" s="69"/>
      <c r="X2496" s="69"/>
      <c r="Y2496" s="69"/>
      <c r="Z2496" s="69"/>
      <c r="AA2496" s="69"/>
      <c r="AB2496" s="69"/>
      <c r="AC2496" s="69"/>
      <c r="AD2496" s="69"/>
      <c r="AE2496" s="69"/>
    </row>
    <row r="2497" spans="1:31" ht="22.5" customHeight="1">
      <c r="A2497" s="69"/>
      <c r="B2497" s="69"/>
      <c r="C2497" s="69"/>
      <c r="D2497" s="69"/>
      <c r="E2497" s="185"/>
      <c r="F2497" s="69"/>
      <c r="G2497" s="185"/>
      <c r="H2497" s="69"/>
      <c r="I2497" s="69"/>
      <c r="J2497" s="69"/>
      <c r="K2497" s="69"/>
      <c r="L2497" s="69"/>
      <c r="M2497" s="69"/>
      <c r="N2497" s="69"/>
      <c r="O2497" s="69"/>
      <c r="P2497" s="69"/>
      <c r="Q2497" s="69"/>
      <c r="R2497" s="69"/>
      <c r="S2497" s="69"/>
      <c r="T2497" s="69"/>
      <c r="U2497" s="69"/>
      <c r="V2497" s="69"/>
      <c r="W2497" s="69"/>
      <c r="X2497" s="69"/>
      <c r="Y2497" s="69"/>
      <c r="Z2497" s="69"/>
      <c r="AA2497" s="69"/>
      <c r="AB2497" s="69"/>
      <c r="AC2497" s="69"/>
      <c r="AD2497" s="69"/>
      <c r="AE2497" s="69"/>
    </row>
    <row r="2498" spans="1:31" ht="22.5" customHeight="1">
      <c r="A2498" s="69"/>
      <c r="B2498" s="69"/>
      <c r="C2498" s="69"/>
      <c r="D2498" s="69"/>
      <c r="E2498" s="185"/>
      <c r="F2498" s="69"/>
      <c r="G2498" s="185"/>
      <c r="H2498" s="69"/>
      <c r="I2498" s="69"/>
      <c r="J2498" s="69"/>
      <c r="K2498" s="69"/>
      <c r="L2498" s="69"/>
      <c r="M2498" s="69"/>
      <c r="N2498" s="69"/>
      <c r="O2498" s="69"/>
      <c r="P2498" s="69"/>
      <c r="Q2498" s="69"/>
      <c r="R2498" s="69"/>
      <c r="S2498" s="69"/>
      <c r="T2498" s="69"/>
      <c r="U2498" s="69"/>
      <c r="V2498" s="69"/>
      <c r="W2498" s="69"/>
      <c r="X2498" s="69"/>
      <c r="Y2498" s="69"/>
      <c r="Z2498" s="69"/>
      <c r="AA2498" s="69"/>
      <c r="AB2498" s="69"/>
      <c r="AC2498" s="69"/>
      <c r="AD2498" s="69"/>
      <c r="AE2498" s="69"/>
    </row>
    <row r="2499" spans="1:31" ht="22.5" customHeight="1">
      <c r="A2499" s="69"/>
      <c r="B2499" s="69"/>
      <c r="C2499" s="69"/>
      <c r="D2499" s="69"/>
      <c r="E2499" s="185"/>
      <c r="F2499" s="69"/>
      <c r="G2499" s="185"/>
      <c r="H2499" s="69"/>
      <c r="I2499" s="69"/>
      <c r="J2499" s="69"/>
      <c r="K2499" s="69"/>
      <c r="L2499" s="69"/>
      <c r="M2499" s="69"/>
      <c r="N2499" s="69"/>
      <c r="O2499" s="69"/>
      <c r="P2499" s="69"/>
      <c r="Q2499" s="69"/>
      <c r="R2499" s="69"/>
      <c r="S2499" s="69"/>
      <c r="T2499" s="69"/>
      <c r="U2499" s="69"/>
      <c r="V2499" s="69"/>
      <c r="W2499" s="69"/>
      <c r="X2499" s="69"/>
      <c r="Y2499" s="69"/>
      <c r="Z2499" s="69"/>
      <c r="AA2499" s="69"/>
      <c r="AB2499" s="69"/>
      <c r="AC2499" s="69"/>
      <c r="AD2499" s="69"/>
      <c r="AE2499" s="69"/>
    </row>
    <row r="2500" spans="1:31" ht="22.5" customHeight="1">
      <c r="A2500" s="69"/>
      <c r="B2500" s="69"/>
      <c r="C2500" s="69"/>
      <c r="D2500" s="69"/>
      <c r="E2500" s="185"/>
      <c r="F2500" s="69"/>
      <c r="G2500" s="185"/>
      <c r="H2500" s="69"/>
      <c r="I2500" s="69"/>
      <c r="J2500" s="69"/>
      <c r="K2500" s="69"/>
      <c r="L2500" s="69"/>
      <c r="M2500" s="69"/>
      <c r="N2500" s="69"/>
      <c r="O2500" s="69"/>
      <c r="P2500" s="69"/>
      <c r="Q2500" s="69"/>
      <c r="R2500" s="69"/>
      <c r="S2500" s="69"/>
      <c r="T2500" s="69"/>
      <c r="U2500" s="69"/>
      <c r="V2500" s="69"/>
      <c r="W2500" s="69"/>
      <c r="X2500" s="69"/>
      <c r="Y2500" s="69"/>
      <c r="Z2500" s="69"/>
      <c r="AA2500" s="69"/>
      <c r="AB2500" s="69"/>
      <c r="AC2500" s="69"/>
      <c r="AD2500" s="69"/>
      <c r="AE2500" s="69"/>
    </row>
    <row r="2501" spans="1:31" ht="22.5" customHeight="1">
      <c r="A2501" s="69"/>
      <c r="B2501" s="69"/>
      <c r="C2501" s="69"/>
      <c r="D2501" s="69"/>
      <c r="E2501" s="185"/>
      <c r="F2501" s="69"/>
      <c r="G2501" s="185"/>
      <c r="H2501" s="69"/>
      <c r="I2501" s="69"/>
      <c r="J2501" s="69"/>
      <c r="K2501" s="69"/>
      <c r="L2501" s="69"/>
      <c r="M2501" s="69"/>
      <c r="N2501" s="69"/>
      <c r="O2501" s="69"/>
      <c r="P2501" s="69"/>
      <c r="Q2501" s="69"/>
      <c r="R2501" s="69"/>
      <c r="S2501" s="69"/>
      <c r="T2501" s="69"/>
      <c r="U2501" s="69"/>
      <c r="V2501" s="69"/>
      <c r="W2501" s="69"/>
      <c r="X2501" s="69"/>
      <c r="Y2501" s="69"/>
      <c r="Z2501" s="69"/>
      <c r="AA2501" s="69"/>
      <c r="AB2501" s="69"/>
      <c r="AC2501" s="69"/>
      <c r="AD2501" s="69"/>
      <c r="AE2501" s="69"/>
    </row>
    <row r="2502" spans="1:31" ht="22.5" customHeight="1">
      <c r="A2502" s="69"/>
      <c r="B2502" s="69"/>
      <c r="C2502" s="69"/>
      <c r="D2502" s="69"/>
      <c r="E2502" s="185"/>
      <c r="F2502" s="69"/>
      <c r="G2502" s="185"/>
      <c r="H2502" s="69"/>
      <c r="I2502" s="69"/>
      <c r="J2502" s="69"/>
      <c r="K2502" s="69"/>
      <c r="L2502" s="69"/>
      <c r="M2502" s="69"/>
      <c r="N2502" s="69"/>
      <c r="O2502" s="69"/>
      <c r="P2502" s="69"/>
      <c r="Q2502" s="69"/>
      <c r="R2502" s="69"/>
      <c r="S2502" s="69"/>
      <c r="T2502" s="69"/>
      <c r="U2502" s="69"/>
      <c r="V2502" s="69"/>
      <c r="W2502" s="69"/>
      <c r="X2502" s="69"/>
      <c r="Y2502" s="69"/>
      <c r="Z2502" s="69"/>
      <c r="AA2502" s="69"/>
      <c r="AB2502" s="69"/>
      <c r="AC2502" s="69"/>
      <c r="AD2502" s="69"/>
      <c r="AE2502" s="69"/>
    </row>
    <row r="2503" spans="1:31" ht="22.5" customHeight="1">
      <c r="A2503" s="69"/>
      <c r="B2503" s="69"/>
      <c r="C2503" s="69"/>
      <c r="D2503" s="69"/>
      <c r="E2503" s="185"/>
      <c r="F2503" s="69"/>
      <c r="G2503" s="185"/>
      <c r="H2503" s="69"/>
      <c r="I2503" s="69"/>
      <c r="J2503" s="69"/>
      <c r="K2503" s="69"/>
      <c r="L2503" s="69"/>
      <c r="M2503" s="69"/>
      <c r="N2503" s="69"/>
      <c r="O2503" s="69"/>
      <c r="P2503" s="69"/>
      <c r="Q2503" s="69"/>
      <c r="R2503" s="69"/>
      <c r="S2503" s="69"/>
      <c r="T2503" s="69"/>
      <c r="U2503" s="69"/>
      <c r="V2503" s="69"/>
      <c r="W2503" s="69"/>
      <c r="X2503" s="69"/>
      <c r="Y2503" s="69"/>
      <c r="Z2503" s="69"/>
      <c r="AA2503" s="69"/>
      <c r="AB2503" s="69"/>
      <c r="AC2503" s="69"/>
      <c r="AD2503" s="69"/>
      <c r="AE2503" s="69"/>
    </row>
    <row r="2504" spans="1:31" ht="22.5" customHeight="1">
      <c r="A2504" s="69"/>
      <c r="B2504" s="69"/>
      <c r="C2504" s="69"/>
      <c r="D2504" s="69"/>
      <c r="E2504" s="185"/>
      <c r="F2504" s="69"/>
      <c r="G2504" s="185"/>
      <c r="H2504" s="69"/>
      <c r="I2504" s="69"/>
      <c r="J2504" s="69"/>
      <c r="K2504" s="69"/>
      <c r="L2504" s="69"/>
      <c r="M2504" s="69"/>
      <c r="N2504" s="69"/>
      <c r="O2504" s="69"/>
      <c r="P2504" s="69"/>
      <c r="Q2504" s="69"/>
      <c r="R2504" s="69"/>
      <c r="S2504" s="69"/>
      <c r="T2504" s="69"/>
      <c r="U2504" s="69"/>
      <c r="V2504" s="69"/>
      <c r="W2504" s="69"/>
      <c r="X2504" s="69"/>
      <c r="Y2504" s="69"/>
      <c r="Z2504" s="69"/>
      <c r="AA2504" s="69"/>
      <c r="AB2504" s="69"/>
      <c r="AC2504" s="69"/>
      <c r="AD2504" s="69"/>
      <c r="AE2504" s="69"/>
    </row>
    <row r="2505" spans="1:31" ht="22.5" customHeight="1">
      <c r="A2505" s="69"/>
      <c r="B2505" s="69"/>
      <c r="C2505" s="69"/>
      <c r="D2505" s="69"/>
      <c r="E2505" s="185"/>
      <c r="F2505" s="69"/>
      <c r="G2505" s="185"/>
      <c r="H2505" s="69"/>
      <c r="I2505" s="69"/>
      <c r="J2505" s="69"/>
      <c r="K2505" s="69"/>
      <c r="L2505" s="69"/>
      <c r="M2505" s="69"/>
      <c r="N2505" s="69"/>
      <c r="O2505" s="69"/>
      <c r="P2505" s="69"/>
      <c r="Q2505" s="69"/>
      <c r="R2505" s="69"/>
      <c r="S2505" s="69"/>
      <c r="T2505" s="69"/>
      <c r="U2505" s="69"/>
      <c r="V2505" s="69"/>
      <c r="W2505" s="69"/>
      <c r="X2505" s="69"/>
      <c r="Y2505" s="69"/>
      <c r="Z2505" s="69"/>
      <c r="AA2505" s="69"/>
      <c r="AB2505" s="69"/>
      <c r="AC2505" s="69"/>
      <c r="AD2505" s="69"/>
      <c r="AE2505" s="69"/>
    </row>
    <row r="2506" spans="1:31" ht="22.5" customHeight="1">
      <c r="A2506" s="69"/>
      <c r="B2506" s="69"/>
      <c r="C2506" s="69"/>
      <c r="D2506" s="69"/>
      <c r="E2506" s="185"/>
      <c r="F2506" s="69"/>
      <c r="G2506" s="185"/>
      <c r="H2506" s="69"/>
      <c r="I2506" s="69"/>
      <c r="J2506" s="69"/>
      <c r="K2506" s="69"/>
      <c r="L2506" s="69"/>
      <c r="M2506" s="69"/>
      <c r="N2506" s="69"/>
      <c r="O2506" s="69"/>
      <c r="P2506" s="69"/>
      <c r="Q2506" s="69"/>
      <c r="R2506" s="69"/>
      <c r="S2506" s="69"/>
      <c r="T2506" s="69"/>
      <c r="U2506" s="69"/>
      <c r="V2506" s="69"/>
      <c r="W2506" s="69"/>
      <c r="X2506" s="69"/>
      <c r="Y2506" s="69"/>
      <c r="Z2506" s="69"/>
      <c r="AA2506" s="69"/>
      <c r="AB2506" s="69"/>
      <c r="AC2506" s="69"/>
      <c r="AD2506" s="69"/>
      <c r="AE2506" s="69"/>
    </row>
    <row r="2507" spans="1:31" ht="22.5" customHeight="1">
      <c r="A2507" s="69"/>
      <c r="B2507" s="69"/>
      <c r="C2507" s="69"/>
      <c r="D2507" s="69"/>
      <c r="E2507" s="185"/>
      <c r="F2507" s="69"/>
      <c r="G2507" s="185"/>
      <c r="H2507" s="69"/>
      <c r="I2507" s="69"/>
      <c r="J2507" s="69"/>
      <c r="K2507" s="69"/>
      <c r="L2507" s="69"/>
      <c r="M2507" s="69"/>
      <c r="N2507" s="69"/>
      <c r="O2507" s="69"/>
      <c r="P2507" s="69"/>
      <c r="Q2507" s="69"/>
      <c r="R2507" s="69"/>
      <c r="S2507" s="69"/>
      <c r="T2507" s="69"/>
      <c r="U2507" s="69"/>
      <c r="V2507" s="69"/>
      <c r="W2507" s="69"/>
      <c r="X2507" s="69"/>
      <c r="Y2507" s="69"/>
      <c r="Z2507" s="69"/>
      <c r="AA2507" s="69"/>
      <c r="AB2507" s="69"/>
      <c r="AC2507" s="69"/>
      <c r="AD2507" s="69"/>
      <c r="AE2507" s="69"/>
    </row>
    <row r="2508" spans="1:31" ht="22.5" customHeight="1">
      <c r="A2508" s="69"/>
      <c r="B2508" s="69"/>
      <c r="C2508" s="69"/>
      <c r="D2508" s="69"/>
      <c r="E2508" s="185"/>
      <c r="F2508" s="69"/>
      <c r="G2508" s="185"/>
      <c r="H2508" s="69"/>
      <c r="I2508" s="69"/>
      <c r="J2508" s="69"/>
      <c r="K2508" s="69"/>
      <c r="L2508" s="69"/>
      <c r="M2508" s="69"/>
      <c r="N2508" s="69"/>
      <c r="O2508" s="69"/>
      <c r="P2508" s="69"/>
      <c r="Q2508" s="69"/>
      <c r="R2508" s="69"/>
      <c r="S2508" s="69"/>
      <c r="T2508" s="69"/>
      <c r="U2508" s="69"/>
      <c r="V2508" s="69"/>
      <c r="W2508" s="69"/>
      <c r="X2508" s="69"/>
      <c r="Y2508" s="69"/>
      <c r="Z2508" s="69"/>
      <c r="AA2508" s="69"/>
      <c r="AB2508" s="69"/>
      <c r="AC2508" s="69"/>
      <c r="AD2508" s="69"/>
      <c r="AE2508" s="69"/>
    </row>
    <row r="2509" spans="1:31" ht="22.5" customHeight="1">
      <c r="A2509" s="69"/>
      <c r="B2509" s="69"/>
      <c r="C2509" s="69"/>
      <c r="D2509" s="69"/>
      <c r="E2509" s="185"/>
      <c r="F2509" s="69"/>
      <c r="G2509" s="185"/>
      <c r="H2509" s="69"/>
      <c r="I2509" s="69"/>
      <c r="J2509" s="69"/>
      <c r="K2509" s="69"/>
      <c r="L2509" s="69"/>
      <c r="M2509" s="69"/>
      <c r="N2509" s="69"/>
      <c r="O2509" s="69"/>
      <c r="P2509" s="69"/>
      <c r="Q2509" s="69"/>
      <c r="R2509" s="69"/>
      <c r="S2509" s="69"/>
      <c r="T2509" s="69"/>
      <c r="U2509" s="69"/>
      <c r="V2509" s="69"/>
      <c r="W2509" s="69"/>
      <c r="X2509" s="69"/>
      <c r="Y2509" s="69"/>
      <c r="Z2509" s="69"/>
      <c r="AA2509" s="69"/>
      <c r="AB2509" s="69"/>
      <c r="AC2509" s="69"/>
      <c r="AD2509" s="69"/>
      <c r="AE2509" s="69"/>
    </row>
    <row r="2510" spans="1:31" ht="22.5" customHeight="1">
      <c r="A2510" s="69"/>
      <c r="B2510" s="69"/>
      <c r="C2510" s="69"/>
      <c r="D2510" s="69"/>
      <c r="E2510" s="185"/>
      <c r="F2510" s="69"/>
      <c r="G2510" s="185"/>
      <c r="H2510" s="69"/>
      <c r="I2510" s="69"/>
      <c r="J2510" s="69"/>
      <c r="K2510" s="69"/>
      <c r="L2510" s="69"/>
      <c r="M2510" s="69"/>
      <c r="N2510" s="69"/>
      <c r="O2510" s="69"/>
      <c r="P2510" s="69"/>
      <c r="Q2510" s="69"/>
      <c r="R2510" s="69"/>
      <c r="S2510" s="69"/>
      <c r="T2510" s="69"/>
      <c r="U2510" s="69"/>
      <c r="V2510" s="69"/>
      <c r="W2510" s="69"/>
      <c r="X2510" s="69"/>
      <c r="Y2510" s="69"/>
      <c r="Z2510" s="69"/>
      <c r="AA2510" s="69"/>
      <c r="AB2510" s="69"/>
      <c r="AC2510" s="69"/>
      <c r="AD2510" s="69"/>
      <c r="AE2510" s="69"/>
    </row>
    <row r="2511" spans="1:31" ht="22.5" customHeight="1">
      <c r="A2511" s="69"/>
      <c r="B2511" s="69"/>
      <c r="C2511" s="69"/>
      <c r="D2511" s="69"/>
      <c r="E2511" s="185"/>
      <c r="F2511" s="69"/>
      <c r="G2511" s="185"/>
      <c r="H2511" s="69"/>
      <c r="I2511" s="69"/>
      <c r="J2511" s="69"/>
      <c r="K2511" s="69"/>
      <c r="L2511" s="69"/>
      <c r="M2511" s="69"/>
      <c r="N2511" s="69"/>
      <c r="O2511" s="69"/>
      <c r="P2511" s="69"/>
      <c r="Q2511" s="69"/>
      <c r="R2511" s="69"/>
      <c r="S2511" s="69"/>
      <c r="T2511" s="69"/>
      <c r="U2511" s="69"/>
      <c r="V2511" s="69"/>
      <c r="W2511" s="69"/>
      <c r="X2511" s="69"/>
      <c r="Y2511" s="69"/>
      <c r="Z2511" s="69"/>
      <c r="AA2511" s="69"/>
      <c r="AB2511" s="69"/>
      <c r="AC2511" s="69"/>
      <c r="AD2511" s="69"/>
      <c r="AE2511" s="69"/>
    </row>
    <row r="2512" spans="1:31" ht="22.5" customHeight="1">
      <c r="A2512" s="69"/>
      <c r="B2512" s="69"/>
      <c r="C2512" s="69"/>
      <c r="D2512" s="69"/>
      <c r="E2512" s="185"/>
      <c r="F2512" s="69"/>
      <c r="G2512" s="185"/>
      <c r="H2512" s="69"/>
      <c r="I2512" s="69"/>
      <c r="J2512" s="69"/>
      <c r="K2512" s="69"/>
      <c r="L2512" s="69"/>
      <c r="M2512" s="69"/>
      <c r="N2512" s="69"/>
      <c r="O2512" s="69"/>
      <c r="P2512" s="69"/>
      <c r="Q2512" s="69"/>
      <c r="R2512" s="69"/>
      <c r="S2512" s="69"/>
      <c r="T2512" s="69"/>
      <c r="U2512" s="69"/>
      <c r="V2512" s="69"/>
      <c r="W2512" s="69"/>
      <c r="X2512" s="69"/>
      <c r="Y2512" s="69"/>
      <c r="Z2512" s="69"/>
      <c r="AA2512" s="69"/>
      <c r="AB2512" s="69"/>
      <c r="AC2512" s="69"/>
      <c r="AD2512" s="69"/>
      <c r="AE2512" s="69"/>
    </row>
    <row r="2513" spans="1:31" ht="22.5" customHeight="1">
      <c r="A2513" s="69"/>
      <c r="B2513" s="69"/>
      <c r="C2513" s="69"/>
      <c r="D2513" s="69"/>
      <c r="E2513" s="185"/>
      <c r="F2513" s="69"/>
      <c r="G2513" s="185"/>
      <c r="H2513" s="69"/>
      <c r="I2513" s="69"/>
      <c r="J2513" s="69"/>
      <c r="K2513" s="69"/>
      <c r="L2513" s="69"/>
      <c r="M2513" s="69"/>
      <c r="N2513" s="69"/>
      <c r="O2513" s="69"/>
      <c r="P2513" s="69"/>
      <c r="Q2513" s="69"/>
      <c r="R2513" s="69"/>
      <c r="S2513" s="69"/>
      <c r="T2513" s="69"/>
      <c r="U2513" s="69"/>
      <c r="V2513" s="69"/>
      <c r="W2513" s="69"/>
      <c r="X2513" s="69"/>
      <c r="Y2513" s="69"/>
      <c r="Z2513" s="69"/>
      <c r="AA2513" s="69"/>
      <c r="AB2513" s="69"/>
      <c r="AC2513" s="69"/>
      <c r="AD2513" s="69"/>
      <c r="AE2513" s="69"/>
    </row>
    <row r="2514" spans="1:31" ht="22.5" customHeight="1">
      <c r="A2514" s="69"/>
      <c r="B2514" s="69"/>
      <c r="C2514" s="69"/>
      <c r="D2514" s="69"/>
      <c r="E2514" s="185"/>
      <c r="F2514" s="69"/>
      <c r="G2514" s="185"/>
      <c r="H2514" s="69"/>
      <c r="I2514" s="69"/>
      <c r="J2514" s="69"/>
      <c r="K2514" s="69"/>
      <c r="L2514" s="69"/>
      <c r="M2514" s="69"/>
      <c r="N2514" s="69"/>
      <c r="O2514" s="69"/>
      <c r="P2514" s="69"/>
      <c r="Q2514" s="69"/>
      <c r="R2514" s="69"/>
      <c r="S2514" s="69"/>
      <c r="T2514" s="69"/>
      <c r="U2514" s="69"/>
      <c r="V2514" s="69"/>
      <c r="W2514" s="69"/>
      <c r="X2514" s="69"/>
      <c r="Y2514" s="69"/>
      <c r="Z2514" s="69"/>
      <c r="AA2514" s="69"/>
      <c r="AB2514" s="69"/>
      <c r="AC2514" s="69"/>
      <c r="AD2514" s="69"/>
      <c r="AE2514" s="69"/>
    </row>
    <row r="2515" spans="1:31" ht="22.5" customHeight="1">
      <c r="A2515" s="69"/>
      <c r="B2515" s="69"/>
      <c r="C2515" s="69"/>
      <c r="D2515" s="69"/>
      <c r="E2515" s="185"/>
      <c r="F2515" s="69"/>
      <c r="G2515" s="185"/>
      <c r="H2515" s="69"/>
      <c r="I2515" s="69"/>
      <c r="J2515" s="69"/>
      <c r="K2515" s="69"/>
      <c r="L2515" s="69"/>
      <c r="M2515" s="69"/>
      <c r="N2515" s="69"/>
      <c r="O2515" s="69"/>
      <c r="P2515" s="69"/>
      <c r="Q2515" s="69"/>
      <c r="R2515" s="69"/>
      <c r="S2515" s="69"/>
      <c r="T2515" s="69"/>
      <c r="U2515" s="69"/>
      <c r="V2515" s="69"/>
      <c r="W2515" s="69"/>
      <c r="X2515" s="69"/>
      <c r="Y2515" s="69"/>
      <c r="Z2515" s="69"/>
      <c r="AA2515" s="69"/>
      <c r="AB2515" s="69"/>
      <c r="AC2515" s="69"/>
      <c r="AD2515" s="69"/>
      <c r="AE2515" s="69"/>
    </row>
    <row r="2516" spans="1:31" ht="22.5" customHeight="1">
      <c r="A2516" s="69"/>
      <c r="B2516" s="69"/>
      <c r="C2516" s="69"/>
      <c r="D2516" s="69"/>
      <c r="E2516" s="185"/>
      <c r="F2516" s="69"/>
      <c r="G2516" s="185"/>
      <c r="H2516" s="69"/>
      <c r="I2516" s="69"/>
      <c r="J2516" s="69"/>
      <c r="K2516" s="69"/>
      <c r="L2516" s="69"/>
      <c r="M2516" s="69"/>
      <c r="N2516" s="69"/>
      <c r="O2516" s="69"/>
      <c r="P2516" s="69"/>
      <c r="Q2516" s="69"/>
      <c r="R2516" s="69"/>
      <c r="S2516" s="69"/>
      <c r="T2516" s="69"/>
      <c r="U2516" s="69"/>
      <c r="V2516" s="69"/>
      <c r="W2516" s="69"/>
      <c r="X2516" s="69"/>
      <c r="Y2516" s="69"/>
      <c r="Z2516" s="69"/>
      <c r="AA2516" s="69"/>
      <c r="AB2516" s="69"/>
      <c r="AC2516" s="69"/>
      <c r="AD2516" s="69"/>
      <c r="AE2516" s="69"/>
    </row>
    <row r="2517" spans="1:31" ht="22.5" customHeight="1">
      <c r="A2517" s="69"/>
      <c r="B2517" s="69"/>
      <c r="C2517" s="69"/>
      <c r="D2517" s="69"/>
      <c r="E2517" s="185"/>
      <c r="F2517" s="69"/>
      <c r="G2517" s="185"/>
      <c r="H2517" s="69"/>
      <c r="I2517" s="69"/>
      <c r="J2517" s="69"/>
      <c r="K2517" s="69"/>
      <c r="L2517" s="69"/>
      <c r="M2517" s="69"/>
      <c r="N2517" s="69"/>
      <c r="O2517" s="69"/>
      <c r="P2517" s="69"/>
      <c r="Q2517" s="69"/>
      <c r="R2517" s="69"/>
      <c r="S2517" s="69"/>
      <c r="T2517" s="69"/>
      <c r="U2517" s="69"/>
      <c r="V2517" s="69"/>
      <c r="W2517" s="69"/>
      <c r="X2517" s="69"/>
      <c r="Y2517" s="69"/>
      <c r="Z2517" s="69"/>
      <c r="AA2517" s="69"/>
      <c r="AB2517" s="69"/>
      <c r="AC2517" s="69"/>
      <c r="AD2517" s="69"/>
      <c r="AE2517" s="69"/>
    </row>
    <row r="2518" spans="1:31" ht="22.5" customHeight="1">
      <c r="A2518" s="69"/>
      <c r="B2518" s="69"/>
      <c r="C2518" s="69"/>
      <c r="D2518" s="69"/>
      <c r="E2518" s="185"/>
      <c r="F2518" s="69"/>
      <c r="G2518" s="185"/>
      <c r="H2518" s="69"/>
      <c r="I2518" s="69"/>
      <c r="J2518" s="69"/>
      <c r="K2518" s="69"/>
      <c r="L2518" s="69"/>
      <c r="M2518" s="69"/>
      <c r="N2518" s="69"/>
      <c r="O2518" s="69"/>
      <c r="P2518" s="69"/>
      <c r="Q2518" s="69"/>
      <c r="R2518" s="69"/>
      <c r="S2518" s="69"/>
      <c r="T2518" s="69"/>
      <c r="U2518" s="69"/>
      <c r="V2518" s="69"/>
      <c r="W2518" s="69"/>
      <c r="X2518" s="69"/>
      <c r="Y2518" s="69"/>
      <c r="Z2518" s="69"/>
      <c r="AA2518" s="69"/>
      <c r="AB2518" s="69"/>
      <c r="AC2518" s="69"/>
      <c r="AD2518" s="69"/>
      <c r="AE2518" s="69"/>
    </row>
    <row r="2519" spans="1:31" ht="22.5" customHeight="1">
      <c r="A2519" s="69"/>
      <c r="B2519" s="69"/>
      <c r="C2519" s="69"/>
      <c r="D2519" s="69"/>
      <c r="E2519" s="185"/>
      <c r="F2519" s="69"/>
      <c r="G2519" s="185"/>
      <c r="H2519" s="69"/>
      <c r="I2519" s="69"/>
      <c r="J2519" s="69"/>
      <c r="K2519" s="69"/>
      <c r="L2519" s="69"/>
      <c r="M2519" s="69"/>
      <c r="N2519" s="69"/>
      <c r="O2519" s="69"/>
      <c r="P2519" s="69"/>
      <c r="Q2519" s="69"/>
      <c r="R2519" s="69"/>
      <c r="S2519" s="69"/>
      <c r="T2519" s="69"/>
      <c r="U2519" s="69"/>
      <c r="V2519" s="69"/>
      <c r="W2519" s="69"/>
      <c r="X2519" s="69"/>
      <c r="Y2519" s="69"/>
      <c r="Z2519" s="69"/>
      <c r="AA2519" s="69"/>
      <c r="AB2519" s="69"/>
      <c r="AC2519" s="69"/>
      <c r="AD2519" s="69"/>
      <c r="AE2519" s="69"/>
    </row>
    <row r="2520" spans="1:31" ht="22.5" customHeight="1">
      <c r="A2520" s="69"/>
      <c r="B2520" s="69"/>
      <c r="C2520" s="69"/>
      <c r="D2520" s="69"/>
      <c r="E2520" s="185"/>
      <c r="F2520" s="69"/>
      <c r="G2520" s="185"/>
      <c r="H2520" s="69"/>
      <c r="I2520" s="69"/>
      <c r="J2520" s="69"/>
      <c r="K2520" s="69"/>
      <c r="L2520" s="69"/>
      <c r="M2520" s="69"/>
      <c r="N2520" s="69"/>
      <c r="O2520" s="69"/>
      <c r="P2520" s="69"/>
      <c r="Q2520" s="69"/>
      <c r="R2520" s="69"/>
      <c r="S2520" s="69"/>
      <c r="T2520" s="69"/>
      <c r="U2520" s="69"/>
      <c r="V2520" s="69"/>
      <c r="W2520" s="69"/>
      <c r="X2520" s="69"/>
      <c r="Y2520" s="69"/>
      <c r="Z2520" s="69"/>
      <c r="AA2520" s="69"/>
      <c r="AB2520" s="69"/>
      <c r="AC2520" s="69"/>
      <c r="AD2520" s="69"/>
      <c r="AE2520" s="69"/>
    </row>
    <row r="2521" spans="1:31" ht="22.5" customHeight="1">
      <c r="A2521" s="69"/>
      <c r="B2521" s="69"/>
      <c r="C2521" s="69"/>
      <c r="D2521" s="69"/>
      <c r="E2521" s="185"/>
      <c r="F2521" s="69"/>
      <c r="G2521" s="185"/>
      <c r="H2521" s="69"/>
      <c r="I2521" s="69"/>
      <c r="J2521" s="69"/>
      <c r="K2521" s="69"/>
      <c r="L2521" s="69"/>
      <c r="M2521" s="69"/>
      <c r="N2521" s="69"/>
      <c r="O2521" s="69"/>
      <c r="P2521" s="69"/>
      <c r="Q2521" s="69"/>
      <c r="R2521" s="69"/>
      <c r="S2521" s="69"/>
      <c r="T2521" s="69"/>
      <c r="U2521" s="69"/>
      <c r="V2521" s="69"/>
      <c r="W2521" s="69"/>
      <c r="X2521" s="69"/>
      <c r="Y2521" s="69"/>
      <c r="Z2521" s="69"/>
      <c r="AA2521" s="69"/>
      <c r="AB2521" s="69"/>
      <c r="AC2521" s="69"/>
      <c r="AD2521" s="69"/>
      <c r="AE2521" s="69"/>
    </row>
    <row r="2522" spans="1:31" ht="22.5" customHeight="1">
      <c r="A2522" s="69"/>
      <c r="B2522" s="69"/>
      <c r="C2522" s="69"/>
      <c r="D2522" s="69"/>
      <c r="E2522" s="185"/>
      <c r="F2522" s="69"/>
      <c r="G2522" s="185"/>
      <c r="H2522" s="69"/>
      <c r="I2522" s="69"/>
      <c r="J2522" s="69"/>
      <c r="K2522" s="69"/>
      <c r="L2522" s="69"/>
      <c r="M2522" s="69"/>
      <c r="N2522" s="69"/>
      <c r="O2522" s="69"/>
      <c r="P2522" s="69"/>
      <c r="Q2522" s="69"/>
      <c r="R2522" s="69"/>
      <c r="S2522" s="69"/>
      <c r="T2522" s="69"/>
      <c r="U2522" s="69"/>
      <c r="V2522" s="69"/>
      <c r="W2522" s="69"/>
      <c r="X2522" s="69"/>
      <c r="Y2522" s="69"/>
      <c r="Z2522" s="69"/>
      <c r="AA2522" s="69"/>
      <c r="AB2522" s="69"/>
      <c r="AC2522" s="69"/>
      <c r="AD2522" s="69"/>
      <c r="AE2522" s="69"/>
    </row>
    <row r="2523" spans="1:31" ht="22.5" customHeight="1">
      <c r="A2523" s="69"/>
      <c r="B2523" s="69"/>
      <c r="C2523" s="69"/>
      <c r="D2523" s="69"/>
      <c r="E2523" s="185"/>
      <c r="F2523" s="69"/>
      <c r="G2523" s="185"/>
      <c r="H2523" s="69"/>
      <c r="I2523" s="69"/>
      <c r="J2523" s="69"/>
      <c r="K2523" s="69"/>
      <c r="L2523" s="69"/>
      <c r="M2523" s="69"/>
      <c r="N2523" s="69"/>
      <c r="O2523" s="69"/>
      <c r="P2523" s="69"/>
      <c r="Q2523" s="69"/>
      <c r="R2523" s="69"/>
      <c r="S2523" s="69"/>
      <c r="T2523" s="69"/>
      <c r="U2523" s="69"/>
      <c r="V2523" s="69"/>
      <c r="W2523" s="69"/>
      <c r="X2523" s="69"/>
      <c r="Y2523" s="69"/>
      <c r="Z2523" s="69"/>
      <c r="AA2523" s="69"/>
      <c r="AB2523" s="69"/>
      <c r="AC2523" s="69"/>
      <c r="AD2523" s="69"/>
      <c r="AE2523" s="69"/>
    </row>
    <row r="2524" spans="1:31" ht="22.5" customHeight="1">
      <c r="A2524" s="69"/>
      <c r="B2524" s="69"/>
      <c r="C2524" s="69"/>
      <c r="D2524" s="69"/>
      <c r="E2524" s="185"/>
      <c r="F2524" s="69"/>
      <c r="G2524" s="185"/>
      <c r="H2524" s="69"/>
      <c r="I2524" s="69"/>
      <c r="J2524" s="69"/>
      <c r="K2524" s="69"/>
      <c r="L2524" s="69"/>
      <c r="M2524" s="69"/>
      <c r="N2524" s="69"/>
      <c r="O2524" s="69"/>
      <c r="P2524" s="69"/>
      <c r="Q2524" s="69"/>
      <c r="R2524" s="69"/>
      <c r="S2524" s="69"/>
      <c r="T2524" s="69"/>
      <c r="U2524" s="69"/>
      <c r="V2524" s="69"/>
      <c r="W2524" s="69"/>
      <c r="X2524" s="69"/>
      <c r="Y2524" s="69"/>
      <c r="Z2524" s="69"/>
      <c r="AA2524" s="69"/>
      <c r="AB2524" s="69"/>
      <c r="AC2524" s="69"/>
      <c r="AD2524" s="69"/>
      <c r="AE2524" s="69"/>
    </row>
    <row r="2525" spans="1:31" ht="22.5" customHeight="1">
      <c r="A2525" s="69"/>
      <c r="B2525" s="69"/>
      <c r="C2525" s="69"/>
      <c r="D2525" s="69"/>
      <c r="E2525" s="185"/>
      <c r="F2525" s="69"/>
      <c r="G2525" s="185"/>
      <c r="H2525" s="69"/>
      <c r="I2525" s="69"/>
      <c r="J2525" s="69"/>
      <c r="K2525" s="69"/>
      <c r="L2525" s="69"/>
      <c r="M2525" s="69"/>
      <c r="N2525" s="69"/>
      <c r="O2525" s="69"/>
      <c r="P2525" s="69"/>
      <c r="Q2525" s="69"/>
      <c r="R2525" s="69"/>
      <c r="S2525" s="69"/>
      <c r="T2525" s="69"/>
      <c r="U2525" s="69"/>
      <c r="V2525" s="69"/>
      <c r="W2525" s="69"/>
      <c r="X2525" s="69"/>
      <c r="Y2525" s="69"/>
      <c r="Z2525" s="69"/>
      <c r="AA2525" s="69"/>
      <c r="AB2525" s="69"/>
      <c r="AC2525" s="69"/>
      <c r="AD2525" s="69"/>
      <c r="AE2525" s="69"/>
    </row>
    <row r="2526" spans="1:31" ht="22.5" customHeight="1">
      <c r="A2526" s="69"/>
      <c r="B2526" s="69"/>
      <c r="C2526" s="69"/>
      <c r="D2526" s="69"/>
      <c r="E2526" s="185"/>
      <c r="F2526" s="69"/>
      <c r="G2526" s="185"/>
      <c r="H2526" s="69"/>
      <c r="I2526" s="69"/>
      <c r="J2526" s="69"/>
      <c r="K2526" s="69"/>
      <c r="L2526" s="69"/>
      <c r="M2526" s="69"/>
      <c r="N2526" s="69"/>
      <c r="O2526" s="69"/>
      <c r="P2526" s="69"/>
      <c r="Q2526" s="69"/>
      <c r="R2526" s="69"/>
      <c r="S2526" s="69"/>
      <c r="T2526" s="69"/>
      <c r="U2526" s="69"/>
      <c r="V2526" s="69"/>
      <c r="W2526" s="69"/>
      <c r="X2526" s="69"/>
      <c r="Y2526" s="69"/>
      <c r="Z2526" s="69"/>
      <c r="AA2526" s="69"/>
      <c r="AB2526" s="69"/>
      <c r="AC2526" s="69"/>
      <c r="AD2526" s="69"/>
      <c r="AE2526" s="69"/>
    </row>
    <row r="2527" spans="1:31" ht="22.5" customHeight="1">
      <c r="A2527" s="69"/>
      <c r="B2527" s="69"/>
      <c r="C2527" s="69"/>
      <c r="D2527" s="69"/>
      <c r="E2527" s="185"/>
      <c r="F2527" s="69"/>
      <c r="G2527" s="185"/>
      <c r="H2527" s="69"/>
      <c r="I2527" s="69"/>
      <c r="J2527" s="69"/>
      <c r="K2527" s="69"/>
      <c r="L2527" s="69"/>
      <c r="M2527" s="69"/>
      <c r="N2527" s="69"/>
      <c r="O2527" s="69"/>
      <c r="P2527" s="69"/>
      <c r="Q2527" s="69"/>
      <c r="R2527" s="69"/>
      <c r="S2527" s="69"/>
      <c r="T2527" s="69"/>
      <c r="U2527" s="69"/>
      <c r="V2527" s="69"/>
      <c r="W2527" s="69"/>
      <c r="X2527" s="69"/>
      <c r="Y2527" s="69"/>
      <c r="Z2527" s="69"/>
      <c r="AA2527" s="69"/>
      <c r="AB2527" s="69"/>
      <c r="AC2527" s="69"/>
      <c r="AD2527" s="69"/>
      <c r="AE2527" s="69"/>
    </row>
    <row r="2528" spans="1:31" ht="22.5" customHeight="1">
      <c r="A2528" s="69"/>
      <c r="B2528" s="69"/>
      <c r="C2528" s="69"/>
      <c r="D2528" s="69"/>
      <c r="E2528" s="185"/>
      <c r="F2528" s="69"/>
      <c r="G2528" s="185"/>
      <c r="H2528" s="69"/>
      <c r="I2528" s="69"/>
      <c r="J2528" s="69"/>
      <c r="K2528" s="69"/>
      <c r="L2528" s="69"/>
      <c r="M2528" s="69"/>
      <c r="N2528" s="69"/>
      <c r="O2528" s="69"/>
      <c r="P2528" s="69"/>
      <c r="Q2528" s="69"/>
      <c r="R2528" s="69"/>
      <c r="S2528" s="69"/>
      <c r="T2528" s="69"/>
      <c r="U2528" s="69"/>
      <c r="V2528" s="69"/>
      <c r="W2528" s="69"/>
      <c r="X2528" s="69"/>
      <c r="Y2528" s="69"/>
      <c r="Z2528" s="69"/>
      <c r="AA2528" s="69"/>
      <c r="AB2528" s="69"/>
      <c r="AC2528" s="69"/>
      <c r="AD2528" s="69"/>
      <c r="AE2528" s="69"/>
    </row>
    <row r="2529" spans="1:31" ht="22.5" customHeight="1">
      <c r="A2529" s="69"/>
      <c r="B2529" s="69"/>
      <c r="C2529" s="69"/>
      <c r="D2529" s="69"/>
      <c r="E2529" s="185"/>
      <c r="F2529" s="69"/>
      <c r="G2529" s="185"/>
      <c r="H2529" s="69"/>
      <c r="I2529" s="69"/>
      <c r="J2529" s="69"/>
      <c r="K2529" s="69"/>
      <c r="L2529" s="69"/>
      <c r="M2529" s="69"/>
      <c r="N2529" s="69"/>
      <c r="O2529" s="69"/>
      <c r="P2529" s="69"/>
      <c r="Q2529" s="69"/>
      <c r="R2529" s="69"/>
      <c r="S2529" s="69"/>
      <c r="T2529" s="69"/>
      <c r="U2529" s="69"/>
      <c r="V2529" s="69"/>
      <c r="W2529" s="69"/>
      <c r="X2529" s="69"/>
      <c r="Y2529" s="69"/>
      <c r="Z2529" s="69"/>
      <c r="AA2529" s="69"/>
      <c r="AB2529" s="69"/>
      <c r="AC2529" s="69"/>
      <c r="AD2529" s="69"/>
      <c r="AE2529" s="69"/>
    </row>
    <row r="2530" spans="1:31" ht="22.5" customHeight="1">
      <c r="A2530" s="69"/>
      <c r="B2530" s="69"/>
      <c r="C2530" s="69"/>
      <c r="D2530" s="69"/>
      <c r="E2530" s="185"/>
      <c r="F2530" s="69"/>
      <c r="G2530" s="185"/>
      <c r="H2530" s="69"/>
      <c r="I2530" s="69"/>
      <c r="J2530" s="69"/>
      <c r="K2530" s="69"/>
      <c r="L2530" s="69"/>
      <c r="M2530" s="69"/>
      <c r="N2530" s="69"/>
      <c r="O2530" s="69"/>
      <c r="P2530" s="69"/>
      <c r="Q2530" s="69"/>
      <c r="R2530" s="69"/>
      <c r="S2530" s="69"/>
      <c r="T2530" s="69"/>
      <c r="U2530" s="69"/>
      <c r="V2530" s="69"/>
      <c r="W2530" s="69"/>
      <c r="X2530" s="69"/>
      <c r="Y2530" s="69"/>
      <c r="Z2530" s="69"/>
      <c r="AA2530" s="69"/>
      <c r="AB2530" s="69"/>
      <c r="AC2530" s="69"/>
      <c r="AD2530" s="69"/>
      <c r="AE2530" s="69"/>
    </row>
    <row r="2531" spans="1:31" ht="22.5" customHeight="1">
      <c r="A2531" s="69"/>
      <c r="B2531" s="69"/>
      <c r="C2531" s="69"/>
      <c r="D2531" s="69"/>
      <c r="E2531" s="185"/>
      <c r="F2531" s="69"/>
      <c r="G2531" s="185"/>
      <c r="H2531" s="69"/>
      <c r="I2531" s="69"/>
      <c r="J2531" s="69"/>
      <c r="K2531" s="69"/>
      <c r="L2531" s="69"/>
      <c r="M2531" s="69"/>
      <c r="N2531" s="69"/>
      <c r="O2531" s="69"/>
      <c r="P2531" s="69"/>
      <c r="Q2531" s="69"/>
      <c r="R2531" s="69"/>
      <c r="S2531" s="69"/>
      <c r="T2531" s="69"/>
      <c r="U2531" s="69"/>
      <c r="V2531" s="69"/>
      <c r="W2531" s="69"/>
      <c r="X2531" s="69"/>
      <c r="Y2531" s="69"/>
      <c r="Z2531" s="69"/>
      <c r="AA2531" s="69"/>
      <c r="AB2531" s="69"/>
      <c r="AC2531" s="69"/>
      <c r="AD2531" s="69"/>
      <c r="AE2531" s="69"/>
    </row>
    <row r="2532" spans="1:31" ht="22.5" customHeight="1">
      <c r="A2532" s="69"/>
      <c r="B2532" s="69"/>
      <c r="C2532" s="69"/>
      <c r="D2532" s="69"/>
      <c r="E2532" s="185"/>
      <c r="F2532" s="69"/>
      <c r="G2532" s="185"/>
      <c r="H2532" s="69"/>
      <c r="I2532" s="69"/>
      <c r="J2532" s="69"/>
      <c r="K2532" s="69"/>
      <c r="L2532" s="69"/>
      <c r="M2532" s="69"/>
      <c r="N2532" s="69"/>
      <c r="O2532" s="69"/>
      <c r="P2532" s="69"/>
      <c r="Q2532" s="69"/>
      <c r="R2532" s="69"/>
      <c r="S2532" s="69"/>
      <c r="T2532" s="69"/>
      <c r="U2532" s="69"/>
      <c r="V2532" s="69"/>
      <c r="W2532" s="69"/>
      <c r="X2532" s="69"/>
      <c r="Y2532" s="69"/>
      <c r="Z2532" s="69"/>
      <c r="AA2532" s="69"/>
      <c r="AB2532" s="69"/>
      <c r="AC2532" s="69"/>
      <c r="AD2532" s="69"/>
      <c r="AE2532" s="69"/>
    </row>
    <row r="2533" spans="1:31" ht="22.5" customHeight="1">
      <c r="A2533" s="69"/>
      <c r="B2533" s="69"/>
      <c r="C2533" s="69"/>
      <c r="D2533" s="69"/>
      <c r="E2533" s="185"/>
      <c r="F2533" s="69"/>
      <c r="G2533" s="185"/>
      <c r="H2533" s="69"/>
      <c r="I2533" s="69"/>
      <c r="J2533" s="69"/>
      <c r="K2533" s="69"/>
      <c r="L2533" s="69"/>
      <c r="M2533" s="69"/>
      <c r="N2533" s="69"/>
      <c r="O2533" s="69"/>
      <c r="P2533" s="69"/>
      <c r="Q2533" s="69"/>
      <c r="R2533" s="69"/>
      <c r="S2533" s="69"/>
      <c r="T2533" s="69"/>
      <c r="U2533" s="69"/>
      <c r="V2533" s="69"/>
      <c r="W2533" s="69"/>
      <c r="X2533" s="69"/>
      <c r="Y2533" s="69"/>
      <c r="Z2533" s="69"/>
      <c r="AA2533" s="69"/>
      <c r="AB2533" s="69"/>
      <c r="AC2533" s="69"/>
      <c r="AD2533" s="69"/>
      <c r="AE2533" s="69"/>
    </row>
    <row r="2534" spans="1:31" ht="22.5" customHeight="1">
      <c r="A2534" s="69"/>
      <c r="B2534" s="69"/>
      <c r="C2534" s="69"/>
      <c r="D2534" s="69"/>
      <c r="E2534" s="185"/>
      <c r="F2534" s="69"/>
      <c r="G2534" s="185"/>
      <c r="H2534" s="69"/>
      <c r="I2534" s="69"/>
      <c r="J2534" s="69"/>
      <c r="K2534" s="69"/>
      <c r="L2534" s="69"/>
      <c r="M2534" s="69"/>
      <c r="N2534" s="69"/>
      <c r="O2534" s="69"/>
      <c r="P2534" s="69"/>
      <c r="Q2534" s="69"/>
      <c r="R2534" s="69"/>
      <c r="S2534" s="69"/>
      <c r="T2534" s="69"/>
      <c r="U2534" s="69"/>
      <c r="V2534" s="69"/>
      <c r="W2534" s="69"/>
      <c r="X2534" s="69"/>
      <c r="Y2534" s="69"/>
      <c r="Z2534" s="69"/>
      <c r="AA2534" s="69"/>
      <c r="AB2534" s="69"/>
      <c r="AC2534" s="69"/>
      <c r="AD2534" s="69"/>
      <c r="AE2534" s="69"/>
    </row>
    <row r="2535" spans="1:31" ht="22.5" customHeight="1">
      <c r="A2535" s="69"/>
      <c r="B2535" s="69"/>
      <c r="C2535" s="69"/>
      <c r="D2535" s="69"/>
      <c r="E2535" s="185"/>
      <c r="F2535" s="69"/>
      <c r="G2535" s="185"/>
      <c r="H2535" s="69"/>
      <c r="I2535" s="69"/>
      <c r="J2535" s="69"/>
      <c r="K2535" s="69"/>
      <c r="L2535" s="69"/>
      <c r="M2535" s="69"/>
      <c r="N2535" s="69"/>
      <c r="O2535" s="69"/>
      <c r="P2535" s="69"/>
      <c r="Q2535" s="69"/>
      <c r="R2535" s="69"/>
      <c r="S2535" s="69"/>
      <c r="T2535" s="69"/>
      <c r="U2535" s="69"/>
      <c r="V2535" s="69"/>
      <c r="W2535" s="69"/>
      <c r="X2535" s="69"/>
      <c r="Y2535" s="69"/>
      <c r="Z2535" s="69"/>
      <c r="AA2535" s="69"/>
      <c r="AB2535" s="69"/>
      <c r="AC2535" s="69"/>
      <c r="AD2535" s="69"/>
      <c r="AE2535" s="69"/>
    </row>
    <row r="2536" spans="1:31" ht="22.5" customHeight="1">
      <c r="A2536" s="69"/>
      <c r="B2536" s="69"/>
      <c r="C2536" s="69"/>
      <c r="D2536" s="69"/>
      <c r="E2536" s="185"/>
      <c r="F2536" s="69"/>
      <c r="G2536" s="185"/>
      <c r="H2536" s="69"/>
      <c r="I2536" s="69"/>
      <c r="J2536" s="69"/>
      <c r="K2536" s="69"/>
      <c r="L2536" s="69"/>
      <c r="M2536" s="69"/>
      <c r="N2536" s="69"/>
      <c r="O2536" s="69"/>
      <c r="P2536" s="69"/>
      <c r="Q2536" s="69"/>
      <c r="R2536" s="69"/>
      <c r="S2536" s="69"/>
      <c r="T2536" s="69"/>
      <c r="U2536" s="69"/>
      <c r="V2536" s="69"/>
      <c r="W2536" s="69"/>
      <c r="X2536" s="69"/>
      <c r="Y2536" s="69"/>
      <c r="Z2536" s="69"/>
      <c r="AA2536" s="69"/>
      <c r="AB2536" s="69"/>
      <c r="AC2536" s="69"/>
      <c r="AD2536" s="69"/>
      <c r="AE2536" s="69"/>
    </row>
    <row r="2537" spans="1:31" ht="22.5" customHeight="1">
      <c r="A2537" s="69"/>
      <c r="B2537" s="69"/>
      <c r="C2537" s="69"/>
      <c r="D2537" s="69"/>
      <c r="E2537" s="185"/>
      <c r="F2537" s="69"/>
      <c r="G2537" s="185"/>
      <c r="H2537" s="69"/>
      <c r="I2537" s="69"/>
      <c r="J2537" s="69"/>
      <c r="K2537" s="69"/>
      <c r="L2537" s="69"/>
      <c r="M2537" s="69"/>
      <c r="N2537" s="69"/>
      <c r="O2537" s="69"/>
      <c r="P2537" s="69"/>
      <c r="Q2537" s="69"/>
      <c r="R2537" s="69"/>
      <c r="S2537" s="69"/>
      <c r="T2537" s="69"/>
      <c r="U2537" s="69"/>
      <c r="V2537" s="69"/>
      <c r="W2537" s="69"/>
      <c r="X2537" s="69"/>
      <c r="Y2537" s="69"/>
      <c r="Z2537" s="69"/>
      <c r="AA2537" s="69"/>
      <c r="AB2537" s="69"/>
      <c r="AC2537" s="69"/>
      <c r="AD2537" s="69"/>
      <c r="AE2537" s="69"/>
    </row>
    <row r="2538" spans="1:31" ht="22.5" customHeight="1">
      <c r="A2538" s="69"/>
      <c r="B2538" s="69"/>
      <c r="C2538" s="69"/>
      <c r="D2538" s="69"/>
      <c r="E2538" s="185"/>
      <c r="F2538" s="69"/>
      <c r="G2538" s="185"/>
      <c r="H2538" s="69"/>
      <c r="I2538" s="69"/>
      <c r="J2538" s="69"/>
      <c r="K2538" s="69"/>
      <c r="L2538" s="69"/>
      <c r="M2538" s="69"/>
      <c r="N2538" s="69"/>
      <c r="O2538" s="69"/>
      <c r="P2538" s="69"/>
      <c r="Q2538" s="69"/>
      <c r="R2538" s="69"/>
      <c r="S2538" s="69"/>
      <c r="T2538" s="69"/>
      <c r="U2538" s="69"/>
      <c r="V2538" s="69"/>
      <c r="W2538" s="69"/>
      <c r="X2538" s="69"/>
      <c r="Y2538" s="69"/>
      <c r="Z2538" s="69"/>
      <c r="AA2538" s="69"/>
      <c r="AB2538" s="69"/>
      <c r="AC2538" s="69"/>
      <c r="AD2538" s="69"/>
      <c r="AE2538" s="69"/>
    </row>
    <row r="2539" spans="1:31" ht="22.5" customHeight="1">
      <c r="A2539" s="69"/>
      <c r="B2539" s="69"/>
      <c r="C2539" s="69"/>
      <c r="D2539" s="69"/>
      <c r="E2539" s="185"/>
      <c r="F2539" s="69"/>
      <c r="G2539" s="185"/>
      <c r="H2539" s="69"/>
      <c r="I2539" s="69"/>
      <c r="J2539" s="69"/>
      <c r="K2539" s="69"/>
      <c r="L2539" s="69"/>
      <c r="M2539" s="69"/>
      <c r="N2539" s="69"/>
      <c r="O2539" s="69"/>
      <c r="P2539" s="69"/>
      <c r="Q2539" s="69"/>
      <c r="R2539" s="69"/>
      <c r="S2539" s="69"/>
      <c r="T2539" s="69"/>
      <c r="U2539" s="69"/>
      <c r="V2539" s="69"/>
      <c r="W2539" s="69"/>
      <c r="X2539" s="69"/>
      <c r="Y2539" s="69"/>
      <c r="Z2539" s="69"/>
      <c r="AA2539" s="69"/>
      <c r="AB2539" s="69"/>
      <c r="AC2539" s="69"/>
      <c r="AD2539" s="69"/>
      <c r="AE2539" s="69"/>
    </row>
    <row r="2540" spans="1:31" ht="22.5" customHeight="1">
      <c r="A2540" s="69"/>
      <c r="B2540" s="69"/>
      <c r="C2540" s="69"/>
      <c r="D2540" s="69"/>
      <c r="E2540" s="185"/>
      <c r="F2540" s="69"/>
      <c r="G2540" s="185"/>
      <c r="H2540" s="69"/>
      <c r="I2540" s="69"/>
      <c r="J2540" s="69"/>
      <c r="K2540" s="69"/>
      <c r="L2540" s="69"/>
      <c r="M2540" s="69"/>
      <c r="N2540" s="69"/>
      <c r="O2540" s="69"/>
      <c r="P2540" s="69"/>
      <c r="Q2540" s="69"/>
      <c r="R2540" s="69"/>
      <c r="S2540" s="69"/>
      <c r="T2540" s="69"/>
      <c r="U2540" s="69"/>
      <c r="V2540" s="69"/>
      <c r="W2540" s="69"/>
      <c r="X2540" s="69"/>
      <c r="Y2540" s="69"/>
      <c r="Z2540" s="69"/>
      <c r="AA2540" s="69"/>
      <c r="AB2540" s="69"/>
      <c r="AC2540" s="69"/>
      <c r="AD2540" s="69"/>
      <c r="AE2540" s="69"/>
    </row>
    <row r="2541" spans="1:31" ht="22.5" customHeight="1">
      <c r="A2541" s="69"/>
      <c r="B2541" s="69"/>
      <c r="C2541" s="69"/>
      <c r="D2541" s="69"/>
      <c r="E2541" s="185"/>
      <c r="F2541" s="69"/>
      <c r="G2541" s="185"/>
      <c r="H2541" s="69"/>
      <c r="I2541" s="69"/>
      <c r="J2541" s="69"/>
      <c r="K2541" s="69"/>
      <c r="L2541" s="69"/>
      <c r="M2541" s="69"/>
      <c r="N2541" s="69"/>
      <c r="O2541" s="69"/>
      <c r="P2541" s="69"/>
      <c r="Q2541" s="69"/>
      <c r="R2541" s="69"/>
      <c r="S2541" s="69"/>
      <c r="T2541" s="69"/>
      <c r="U2541" s="69"/>
      <c r="V2541" s="69"/>
      <c r="W2541" s="69"/>
      <c r="X2541" s="69"/>
      <c r="Y2541" s="69"/>
      <c r="Z2541" s="69"/>
      <c r="AA2541" s="69"/>
      <c r="AB2541" s="69"/>
      <c r="AC2541" s="69"/>
      <c r="AD2541" s="69"/>
      <c r="AE2541" s="69"/>
    </row>
    <row r="2542" spans="1:31" ht="22.5" customHeight="1">
      <c r="A2542" s="69"/>
      <c r="B2542" s="69"/>
      <c r="C2542" s="69"/>
      <c r="D2542" s="69"/>
      <c r="E2542" s="185"/>
      <c r="F2542" s="69"/>
      <c r="G2542" s="185"/>
      <c r="H2542" s="69"/>
      <c r="I2542" s="69"/>
      <c r="J2542" s="69"/>
      <c r="K2542" s="69"/>
      <c r="L2542" s="69"/>
      <c r="M2542" s="69"/>
      <c r="N2542" s="69"/>
      <c r="O2542" s="69"/>
      <c r="P2542" s="69"/>
      <c r="Q2542" s="69"/>
      <c r="R2542" s="69"/>
      <c r="S2542" s="69"/>
      <c r="T2542" s="69"/>
      <c r="U2542" s="69"/>
      <c r="V2542" s="69"/>
      <c r="W2542" s="69"/>
      <c r="X2542" s="69"/>
      <c r="Y2542" s="69"/>
      <c r="Z2542" s="69"/>
      <c r="AA2542" s="69"/>
      <c r="AB2542" s="69"/>
      <c r="AC2542" s="69"/>
      <c r="AD2542" s="69"/>
      <c r="AE2542" s="69"/>
    </row>
    <row r="2543" spans="1:31" ht="22.5" customHeight="1">
      <c r="A2543" s="69"/>
      <c r="B2543" s="69"/>
      <c r="C2543" s="69"/>
      <c r="D2543" s="69"/>
      <c r="E2543" s="185"/>
      <c r="F2543" s="69"/>
      <c r="G2543" s="185"/>
      <c r="H2543" s="69"/>
      <c r="I2543" s="69"/>
      <c r="J2543" s="69"/>
      <c r="K2543" s="69"/>
      <c r="L2543" s="69"/>
      <c r="M2543" s="69"/>
      <c r="N2543" s="69"/>
      <c r="O2543" s="69"/>
      <c r="P2543" s="69"/>
      <c r="Q2543" s="69"/>
      <c r="R2543" s="69"/>
      <c r="S2543" s="69"/>
      <c r="T2543" s="69"/>
      <c r="U2543" s="69"/>
      <c r="V2543" s="69"/>
      <c r="W2543" s="69"/>
      <c r="X2543" s="69"/>
      <c r="Y2543" s="69"/>
      <c r="Z2543" s="69"/>
      <c r="AA2543" s="69"/>
      <c r="AB2543" s="69"/>
      <c r="AC2543" s="69"/>
      <c r="AD2543" s="69"/>
      <c r="AE2543" s="69"/>
    </row>
    <row r="2544" spans="1:31" ht="22.5" customHeight="1">
      <c r="A2544" s="69"/>
      <c r="B2544" s="69"/>
      <c r="C2544" s="69"/>
      <c r="D2544" s="69"/>
      <c r="E2544" s="185"/>
      <c r="F2544" s="69"/>
      <c r="G2544" s="185"/>
      <c r="H2544" s="69"/>
      <c r="I2544" s="69"/>
      <c r="J2544" s="69"/>
      <c r="K2544" s="69"/>
      <c r="L2544" s="69"/>
      <c r="M2544" s="69"/>
      <c r="N2544" s="69"/>
      <c r="O2544" s="69"/>
      <c r="P2544" s="69"/>
      <c r="Q2544" s="69"/>
      <c r="R2544" s="69"/>
      <c r="S2544" s="69"/>
      <c r="T2544" s="69"/>
      <c r="U2544" s="69"/>
      <c r="V2544" s="69"/>
      <c r="W2544" s="69"/>
      <c r="X2544" s="69"/>
      <c r="Y2544" s="69"/>
      <c r="Z2544" s="69"/>
      <c r="AA2544" s="69"/>
      <c r="AB2544" s="69"/>
      <c r="AC2544" s="69"/>
      <c r="AD2544" s="69"/>
      <c r="AE2544" s="69"/>
    </row>
    <row r="2545" spans="1:31" ht="22.5" customHeight="1">
      <c r="A2545" s="69"/>
      <c r="B2545" s="69"/>
      <c r="C2545" s="69"/>
      <c r="D2545" s="69"/>
      <c r="E2545" s="185"/>
      <c r="F2545" s="69"/>
      <c r="G2545" s="185"/>
      <c r="H2545" s="69"/>
      <c r="I2545" s="69"/>
      <c r="J2545" s="69"/>
      <c r="K2545" s="69"/>
      <c r="L2545" s="69"/>
      <c r="M2545" s="69"/>
      <c r="N2545" s="69"/>
      <c r="O2545" s="69"/>
      <c r="P2545" s="69"/>
      <c r="Q2545" s="69"/>
      <c r="R2545" s="69"/>
      <c r="S2545" s="69"/>
      <c r="T2545" s="69"/>
      <c r="U2545" s="69"/>
      <c r="V2545" s="69"/>
      <c r="W2545" s="69"/>
      <c r="X2545" s="69"/>
      <c r="Y2545" s="69"/>
      <c r="Z2545" s="69"/>
      <c r="AA2545" s="69"/>
      <c r="AB2545" s="69"/>
      <c r="AC2545" s="69"/>
      <c r="AD2545" s="69"/>
      <c r="AE2545" s="69"/>
    </row>
    <row r="2546" spans="1:31" ht="22.5" customHeight="1">
      <c r="A2546" s="69"/>
      <c r="B2546" s="69"/>
      <c r="C2546" s="69"/>
      <c r="D2546" s="69"/>
      <c r="E2546" s="185"/>
      <c r="F2546" s="69"/>
      <c r="G2546" s="185"/>
      <c r="H2546" s="69"/>
      <c r="I2546" s="69"/>
      <c r="J2546" s="69"/>
      <c r="K2546" s="69"/>
      <c r="L2546" s="69"/>
      <c r="M2546" s="69"/>
      <c r="N2546" s="69"/>
      <c r="O2546" s="69"/>
      <c r="P2546" s="69"/>
      <c r="Q2546" s="69"/>
      <c r="R2546" s="69"/>
      <c r="S2546" s="69"/>
      <c r="T2546" s="69"/>
      <c r="U2546" s="69"/>
      <c r="V2546" s="69"/>
      <c r="W2546" s="69"/>
      <c r="X2546" s="69"/>
      <c r="Y2546" s="69"/>
      <c r="Z2546" s="69"/>
      <c r="AA2546" s="69"/>
      <c r="AB2546" s="69"/>
      <c r="AC2546" s="69"/>
      <c r="AD2546" s="69"/>
      <c r="AE2546" s="69"/>
    </row>
    <row r="2547" spans="1:31" ht="22.5" customHeight="1">
      <c r="A2547" s="69"/>
      <c r="B2547" s="69"/>
      <c r="C2547" s="69"/>
      <c r="D2547" s="69"/>
      <c r="E2547" s="185"/>
      <c r="F2547" s="69"/>
      <c r="G2547" s="185"/>
      <c r="H2547" s="69"/>
      <c r="I2547" s="69"/>
      <c r="J2547" s="69"/>
      <c r="K2547" s="69"/>
      <c r="L2547" s="69"/>
      <c r="M2547" s="69"/>
      <c r="N2547" s="69"/>
      <c r="O2547" s="69"/>
      <c r="P2547" s="69"/>
      <c r="Q2547" s="69"/>
      <c r="R2547" s="69"/>
      <c r="S2547" s="69"/>
      <c r="T2547" s="69"/>
      <c r="U2547" s="69"/>
      <c r="V2547" s="69"/>
      <c r="W2547" s="69"/>
      <c r="X2547" s="69"/>
      <c r="Y2547" s="69"/>
      <c r="Z2547" s="69"/>
      <c r="AA2547" s="69"/>
      <c r="AB2547" s="69"/>
      <c r="AC2547" s="69"/>
      <c r="AD2547" s="69"/>
      <c r="AE2547" s="69"/>
    </row>
    <row r="2548" spans="1:31" ht="22.5" customHeight="1">
      <c r="A2548" s="69"/>
      <c r="B2548" s="69"/>
      <c r="C2548" s="69"/>
      <c r="D2548" s="69"/>
      <c r="E2548" s="185"/>
      <c r="F2548" s="69"/>
      <c r="G2548" s="185"/>
      <c r="H2548" s="69"/>
      <c r="I2548" s="69"/>
      <c r="J2548" s="69"/>
      <c r="K2548" s="69"/>
      <c r="L2548" s="69"/>
      <c r="M2548" s="69"/>
      <c r="N2548" s="69"/>
      <c r="O2548" s="69"/>
      <c r="P2548" s="69"/>
      <c r="Q2548" s="69"/>
      <c r="R2548" s="69"/>
      <c r="S2548" s="69"/>
      <c r="T2548" s="69"/>
      <c r="U2548" s="69"/>
      <c r="V2548" s="69"/>
      <c r="W2548" s="69"/>
      <c r="X2548" s="69"/>
      <c r="Y2548" s="69"/>
      <c r="Z2548" s="69"/>
      <c r="AA2548" s="69"/>
      <c r="AB2548" s="69"/>
      <c r="AC2548" s="69"/>
      <c r="AD2548" s="69"/>
      <c r="AE2548" s="69"/>
    </row>
    <row r="2549" spans="1:31" ht="22.5" customHeight="1">
      <c r="A2549" s="69"/>
      <c r="B2549" s="69"/>
      <c r="C2549" s="69"/>
      <c r="D2549" s="69"/>
      <c r="E2549" s="185"/>
      <c r="F2549" s="69"/>
      <c r="G2549" s="185"/>
      <c r="H2549" s="69"/>
      <c r="I2549" s="69"/>
      <c r="J2549" s="69"/>
      <c r="K2549" s="69"/>
      <c r="L2549" s="69"/>
      <c r="M2549" s="69"/>
      <c r="N2549" s="69"/>
      <c r="O2549" s="69"/>
      <c r="P2549" s="69"/>
      <c r="Q2549" s="69"/>
      <c r="R2549" s="69"/>
      <c r="S2549" s="69"/>
      <c r="T2549" s="69"/>
      <c r="U2549" s="69"/>
      <c r="V2549" s="69"/>
      <c r="W2549" s="69"/>
      <c r="X2549" s="69"/>
      <c r="Y2549" s="69"/>
      <c r="Z2549" s="69"/>
      <c r="AA2549" s="69"/>
      <c r="AB2549" s="69"/>
      <c r="AC2549" s="69"/>
      <c r="AD2549" s="69"/>
      <c r="AE2549" s="69"/>
    </row>
    <row r="2550" spans="1:31" ht="22.5" customHeight="1">
      <c r="A2550" s="69"/>
      <c r="B2550" s="69"/>
      <c r="C2550" s="69"/>
      <c r="D2550" s="69"/>
      <c r="E2550" s="185"/>
      <c r="F2550" s="69"/>
      <c r="G2550" s="185"/>
      <c r="H2550" s="69"/>
      <c r="I2550" s="69"/>
      <c r="J2550" s="69"/>
      <c r="K2550" s="69"/>
      <c r="L2550" s="69"/>
      <c r="M2550" s="69"/>
      <c r="N2550" s="69"/>
      <c r="O2550" s="69"/>
      <c r="P2550" s="69"/>
      <c r="Q2550" s="69"/>
      <c r="R2550" s="69"/>
      <c r="S2550" s="69"/>
      <c r="T2550" s="69"/>
      <c r="U2550" s="69"/>
      <c r="V2550" s="69"/>
      <c r="W2550" s="69"/>
      <c r="X2550" s="69"/>
      <c r="Y2550" s="69"/>
      <c r="Z2550" s="69"/>
      <c r="AA2550" s="69"/>
      <c r="AB2550" s="69"/>
      <c r="AC2550" s="69"/>
      <c r="AD2550" s="69"/>
      <c r="AE2550" s="69"/>
    </row>
    <row r="2551" spans="1:31" ht="22.5" customHeight="1">
      <c r="A2551" s="69"/>
      <c r="B2551" s="69"/>
      <c r="C2551" s="69"/>
      <c r="D2551" s="69"/>
      <c r="E2551" s="185"/>
      <c r="F2551" s="69"/>
      <c r="G2551" s="185"/>
      <c r="H2551" s="69"/>
      <c r="I2551" s="69"/>
      <c r="J2551" s="69"/>
      <c r="K2551" s="69"/>
      <c r="L2551" s="69"/>
      <c r="M2551" s="69"/>
      <c r="N2551" s="69"/>
      <c r="O2551" s="69"/>
      <c r="P2551" s="69"/>
      <c r="Q2551" s="69"/>
      <c r="R2551" s="69"/>
      <c r="S2551" s="69"/>
      <c r="T2551" s="69"/>
      <c r="U2551" s="69"/>
      <c r="V2551" s="69"/>
      <c r="W2551" s="69"/>
      <c r="X2551" s="69"/>
      <c r="Y2551" s="69"/>
      <c r="Z2551" s="69"/>
      <c r="AA2551" s="69"/>
      <c r="AB2551" s="69"/>
      <c r="AC2551" s="69"/>
      <c r="AD2551" s="69"/>
      <c r="AE2551" s="69"/>
    </row>
    <row r="2552" spans="1:31" ht="22.5" customHeight="1">
      <c r="A2552" s="69"/>
      <c r="B2552" s="69"/>
      <c r="C2552" s="69"/>
      <c r="D2552" s="69"/>
      <c r="E2552" s="185"/>
      <c r="F2552" s="69"/>
      <c r="G2552" s="185"/>
      <c r="H2552" s="69"/>
      <c r="I2552" s="69"/>
      <c r="J2552" s="69"/>
      <c r="K2552" s="69"/>
      <c r="L2552" s="69"/>
      <c r="M2552" s="69"/>
      <c r="N2552" s="69"/>
      <c r="O2552" s="69"/>
      <c r="P2552" s="69"/>
      <c r="Q2552" s="69"/>
      <c r="R2552" s="69"/>
      <c r="S2552" s="69"/>
      <c r="T2552" s="69"/>
      <c r="U2552" s="69"/>
      <c r="V2552" s="69"/>
      <c r="W2552" s="69"/>
      <c r="X2552" s="69"/>
      <c r="Y2552" s="69"/>
      <c r="Z2552" s="69"/>
      <c r="AA2552" s="69"/>
      <c r="AB2552" s="69"/>
      <c r="AC2552" s="69"/>
      <c r="AD2552" s="69"/>
      <c r="AE2552" s="69"/>
    </row>
    <row r="2553" spans="1:31" ht="22.5" customHeight="1">
      <c r="A2553" s="69"/>
      <c r="B2553" s="69"/>
      <c r="C2553" s="69"/>
      <c r="D2553" s="69"/>
      <c r="E2553" s="185"/>
      <c r="F2553" s="69"/>
      <c r="G2553" s="185"/>
      <c r="H2553" s="69"/>
      <c r="I2553" s="69"/>
      <c r="J2553" s="69"/>
      <c r="K2553" s="69"/>
      <c r="L2553" s="69"/>
      <c r="M2553" s="69"/>
      <c r="N2553" s="69"/>
      <c r="O2553" s="69"/>
      <c r="P2553" s="69"/>
      <c r="Q2553" s="69"/>
      <c r="R2553" s="69"/>
      <c r="S2553" s="69"/>
      <c r="T2553" s="69"/>
      <c r="U2553" s="69"/>
      <c r="V2553" s="69"/>
      <c r="W2553" s="69"/>
      <c r="X2553" s="69"/>
      <c r="Y2553" s="69"/>
      <c r="Z2553" s="69"/>
      <c r="AA2553" s="69"/>
      <c r="AB2553" s="69"/>
      <c r="AC2553" s="69"/>
      <c r="AD2553" s="69"/>
      <c r="AE2553" s="69"/>
    </row>
    <row r="2554" spans="1:31" ht="22.5" customHeight="1">
      <c r="A2554" s="69"/>
      <c r="B2554" s="69"/>
      <c r="C2554" s="69"/>
      <c r="D2554" s="69"/>
      <c r="E2554" s="185"/>
      <c r="F2554" s="69"/>
      <c r="G2554" s="185"/>
      <c r="H2554" s="69"/>
      <c r="I2554" s="69"/>
      <c r="J2554" s="69"/>
      <c r="K2554" s="69"/>
      <c r="L2554" s="69"/>
      <c r="M2554" s="69"/>
      <c r="N2554" s="69"/>
      <c r="O2554" s="69"/>
      <c r="P2554" s="69"/>
      <c r="Q2554" s="69"/>
      <c r="R2554" s="69"/>
      <c r="S2554" s="69"/>
      <c r="T2554" s="69"/>
      <c r="U2554" s="69"/>
      <c r="V2554" s="69"/>
      <c r="W2554" s="69"/>
      <c r="X2554" s="69"/>
      <c r="Y2554" s="69"/>
      <c r="Z2554" s="69"/>
      <c r="AA2554" s="69"/>
      <c r="AB2554" s="69"/>
      <c r="AC2554" s="69"/>
      <c r="AD2554" s="69"/>
      <c r="AE2554" s="69"/>
    </row>
    <row r="2555" spans="1:31" ht="22.5" customHeight="1">
      <c r="A2555" s="69"/>
      <c r="B2555" s="69"/>
      <c r="C2555" s="69"/>
      <c r="D2555" s="69"/>
      <c r="E2555" s="185"/>
      <c r="F2555" s="69"/>
      <c r="G2555" s="185"/>
      <c r="H2555" s="69"/>
      <c r="I2555" s="69"/>
      <c r="J2555" s="69"/>
      <c r="K2555" s="69"/>
      <c r="L2555" s="69"/>
      <c r="M2555" s="69"/>
      <c r="N2555" s="69"/>
      <c r="O2555" s="69"/>
      <c r="P2555" s="69"/>
      <c r="Q2555" s="69"/>
      <c r="R2555" s="69"/>
      <c r="S2555" s="69"/>
      <c r="T2555" s="69"/>
      <c r="U2555" s="69"/>
      <c r="V2555" s="69"/>
      <c r="W2555" s="69"/>
      <c r="X2555" s="69"/>
      <c r="Y2555" s="69"/>
      <c r="Z2555" s="69"/>
      <c r="AA2555" s="69"/>
      <c r="AB2555" s="69"/>
      <c r="AC2555" s="69"/>
      <c r="AD2555" s="69"/>
      <c r="AE2555" s="69"/>
    </row>
    <row r="2556" spans="1:31" ht="22.5" customHeight="1">
      <c r="A2556" s="69"/>
      <c r="B2556" s="69"/>
      <c r="C2556" s="69"/>
      <c r="D2556" s="69"/>
      <c r="E2556" s="185"/>
      <c r="F2556" s="69"/>
      <c r="G2556" s="185"/>
      <c r="H2556" s="69"/>
      <c r="I2556" s="69"/>
      <c r="J2556" s="69"/>
      <c r="K2556" s="69"/>
      <c r="L2556" s="69"/>
      <c r="M2556" s="69"/>
      <c r="N2556" s="69"/>
      <c r="O2556" s="69"/>
      <c r="P2556" s="69"/>
      <c r="Q2556" s="69"/>
      <c r="R2556" s="69"/>
      <c r="S2556" s="69"/>
      <c r="T2556" s="69"/>
      <c r="U2556" s="69"/>
      <c r="V2556" s="69"/>
      <c r="W2556" s="69"/>
      <c r="X2556" s="69"/>
      <c r="Y2556" s="69"/>
      <c r="Z2556" s="69"/>
      <c r="AA2556" s="69"/>
      <c r="AB2556" s="69"/>
      <c r="AC2556" s="69"/>
      <c r="AD2556" s="69"/>
      <c r="AE2556" s="69"/>
    </row>
    <row r="2557" spans="1:31" ht="22.5" customHeight="1">
      <c r="A2557" s="69"/>
      <c r="B2557" s="69"/>
      <c r="C2557" s="69"/>
      <c r="D2557" s="69"/>
      <c r="E2557" s="185"/>
      <c r="F2557" s="69"/>
      <c r="G2557" s="185"/>
      <c r="H2557" s="69"/>
      <c r="I2557" s="69"/>
      <c r="J2557" s="69"/>
      <c r="K2557" s="69"/>
      <c r="L2557" s="69"/>
      <c r="M2557" s="69"/>
      <c r="N2557" s="69"/>
      <c r="O2557" s="69"/>
      <c r="P2557" s="69"/>
      <c r="Q2557" s="69"/>
      <c r="R2557" s="69"/>
      <c r="S2557" s="69"/>
      <c r="T2557" s="69"/>
      <c r="U2557" s="69"/>
      <c r="V2557" s="69"/>
      <c r="W2557" s="69"/>
      <c r="X2557" s="69"/>
      <c r="Y2557" s="69"/>
      <c r="Z2557" s="69"/>
      <c r="AA2557" s="69"/>
      <c r="AB2557" s="69"/>
      <c r="AC2557" s="69"/>
      <c r="AD2557" s="69"/>
      <c r="AE2557" s="69"/>
    </row>
    <row r="2558" spans="1:31" ht="22.5" customHeight="1">
      <c r="A2558" s="69"/>
      <c r="B2558" s="69"/>
      <c r="C2558" s="69"/>
      <c r="D2558" s="69"/>
      <c r="E2558" s="185"/>
      <c r="F2558" s="69"/>
      <c r="G2558" s="185"/>
      <c r="H2558" s="69"/>
      <c r="I2558" s="69"/>
      <c r="J2558" s="69"/>
      <c r="K2558" s="69"/>
      <c r="L2558" s="69"/>
      <c r="M2558" s="69"/>
      <c r="N2558" s="69"/>
      <c r="O2558" s="69"/>
      <c r="P2558" s="69"/>
      <c r="Q2558" s="69"/>
      <c r="R2558" s="69"/>
      <c r="S2558" s="69"/>
      <c r="T2558" s="69"/>
      <c r="U2558" s="69"/>
      <c r="V2558" s="69"/>
      <c r="W2558" s="69"/>
      <c r="X2558" s="69"/>
      <c r="Y2558" s="69"/>
      <c r="Z2558" s="69"/>
      <c r="AA2558" s="69"/>
      <c r="AB2558" s="69"/>
      <c r="AC2558" s="69"/>
      <c r="AD2558" s="69"/>
      <c r="AE2558" s="69"/>
    </row>
    <row r="2559" spans="1:31" ht="22.5" customHeight="1">
      <c r="A2559" s="69"/>
      <c r="B2559" s="69"/>
      <c r="C2559" s="69"/>
      <c r="D2559" s="69"/>
      <c r="E2559" s="185"/>
      <c r="F2559" s="69"/>
      <c r="G2559" s="185"/>
      <c r="H2559" s="69"/>
      <c r="I2559" s="69"/>
      <c r="J2559" s="69"/>
      <c r="K2559" s="69"/>
      <c r="L2559" s="69"/>
      <c r="M2559" s="69"/>
      <c r="N2559" s="69"/>
      <c r="O2559" s="69"/>
      <c r="P2559" s="69"/>
      <c r="Q2559" s="69"/>
      <c r="R2559" s="69"/>
      <c r="S2559" s="69"/>
      <c r="T2559" s="69"/>
      <c r="U2559" s="69"/>
      <c r="V2559" s="69"/>
      <c r="W2559" s="69"/>
      <c r="X2559" s="69"/>
      <c r="Y2559" s="69"/>
      <c r="Z2559" s="69"/>
      <c r="AA2559" s="69"/>
      <c r="AB2559" s="69"/>
      <c r="AC2559" s="69"/>
      <c r="AD2559" s="69"/>
      <c r="AE2559" s="69"/>
    </row>
    <row r="2560" spans="1:31" ht="22.5" customHeight="1">
      <c r="A2560" s="69"/>
      <c r="B2560" s="69"/>
      <c r="C2560" s="69"/>
      <c r="D2560" s="69"/>
      <c r="E2560" s="185"/>
      <c r="F2560" s="69"/>
      <c r="G2560" s="185"/>
      <c r="H2560" s="69"/>
      <c r="I2560" s="69"/>
      <c r="J2560" s="69"/>
      <c r="K2560" s="69"/>
      <c r="L2560" s="69"/>
      <c r="M2560" s="69"/>
      <c r="N2560" s="69"/>
      <c r="O2560" s="69"/>
      <c r="P2560" s="69"/>
      <c r="Q2560" s="69"/>
      <c r="R2560" s="69"/>
      <c r="S2560" s="69"/>
      <c r="T2560" s="69"/>
      <c r="U2560" s="69"/>
      <c r="V2560" s="69"/>
      <c r="W2560" s="69"/>
      <c r="X2560" s="69"/>
      <c r="Y2560" s="69"/>
      <c r="Z2560" s="69"/>
      <c r="AA2560" s="69"/>
      <c r="AB2560" s="69"/>
      <c r="AC2560" s="69"/>
      <c r="AD2560" s="69"/>
      <c r="AE2560" s="69"/>
    </row>
    <row r="2561" spans="1:31" ht="22.5" customHeight="1">
      <c r="A2561" s="69"/>
      <c r="B2561" s="69"/>
      <c r="C2561" s="69"/>
      <c r="D2561" s="69"/>
      <c r="E2561" s="185"/>
      <c r="F2561" s="69"/>
      <c r="G2561" s="185"/>
      <c r="H2561" s="69"/>
      <c r="I2561" s="69"/>
      <c r="J2561" s="69"/>
      <c r="K2561" s="69"/>
      <c r="L2561" s="69"/>
      <c r="M2561" s="69"/>
      <c r="N2561" s="69"/>
      <c r="O2561" s="69"/>
      <c r="P2561" s="69"/>
      <c r="Q2561" s="69"/>
      <c r="R2561" s="69"/>
      <c r="S2561" s="69"/>
      <c r="T2561" s="69"/>
      <c r="U2561" s="69"/>
      <c r="V2561" s="69"/>
      <c r="W2561" s="69"/>
      <c r="X2561" s="69"/>
      <c r="Y2561" s="69"/>
      <c r="Z2561" s="69"/>
      <c r="AA2561" s="69"/>
      <c r="AB2561" s="69"/>
      <c r="AC2561" s="69"/>
      <c r="AD2561" s="69"/>
      <c r="AE2561" s="69"/>
    </row>
    <row r="2562" spans="1:31" ht="22.5" customHeight="1">
      <c r="A2562" s="69"/>
      <c r="B2562" s="69"/>
      <c r="C2562" s="69"/>
      <c r="D2562" s="69"/>
      <c r="E2562" s="185"/>
      <c r="F2562" s="69"/>
      <c r="G2562" s="185"/>
      <c r="H2562" s="69"/>
      <c r="I2562" s="69"/>
      <c r="J2562" s="69"/>
      <c r="K2562" s="69"/>
      <c r="L2562" s="69"/>
      <c r="M2562" s="69"/>
      <c r="N2562" s="69"/>
      <c r="O2562" s="69"/>
      <c r="P2562" s="69"/>
      <c r="Q2562" s="69"/>
      <c r="R2562" s="69"/>
      <c r="S2562" s="69"/>
      <c r="T2562" s="69"/>
      <c r="U2562" s="69"/>
      <c r="V2562" s="69"/>
      <c r="W2562" s="69"/>
      <c r="X2562" s="69"/>
      <c r="Y2562" s="69"/>
      <c r="Z2562" s="69"/>
      <c r="AA2562" s="69"/>
      <c r="AB2562" s="69"/>
      <c r="AC2562" s="69"/>
      <c r="AD2562" s="69"/>
      <c r="AE2562" s="69"/>
    </row>
    <row r="2563" spans="1:31" ht="22.5" customHeight="1">
      <c r="A2563" s="69"/>
      <c r="B2563" s="69"/>
      <c r="C2563" s="69"/>
      <c r="D2563" s="69"/>
      <c r="E2563" s="185"/>
      <c r="F2563" s="69"/>
      <c r="G2563" s="185"/>
      <c r="H2563" s="69"/>
      <c r="I2563" s="69"/>
      <c r="J2563" s="69"/>
      <c r="K2563" s="69"/>
      <c r="L2563" s="69"/>
      <c r="M2563" s="69"/>
      <c r="N2563" s="69"/>
      <c r="O2563" s="69"/>
      <c r="P2563" s="69"/>
      <c r="Q2563" s="69"/>
      <c r="R2563" s="69"/>
      <c r="S2563" s="69"/>
      <c r="T2563" s="69"/>
      <c r="U2563" s="69"/>
      <c r="V2563" s="69"/>
      <c r="W2563" s="69"/>
      <c r="X2563" s="69"/>
      <c r="Y2563" s="69"/>
      <c r="Z2563" s="69"/>
      <c r="AA2563" s="69"/>
      <c r="AB2563" s="69"/>
      <c r="AC2563" s="69"/>
      <c r="AD2563" s="69"/>
      <c r="AE2563" s="69"/>
    </row>
    <row r="2564" spans="1:31" ht="22.5" customHeight="1">
      <c r="A2564" s="69"/>
      <c r="B2564" s="69"/>
      <c r="C2564" s="69"/>
      <c r="D2564" s="69"/>
      <c r="E2564" s="185"/>
      <c r="F2564" s="69"/>
      <c r="G2564" s="185"/>
      <c r="H2564" s="69"/>
      <c r="I2564" s="69"/>
      <c r="J2564" s="69"/>
      <c r="K2564" s="69"/>
      <c r="L2564" s="69"/>
      <c r="M2564" s="69"/>
      <c r="N2564" s="69"/>
      <c r="O2564" s="69"/>
      <c r="P2564" s="69"/>
      <c r="Q2564" s="69"/>
      <c r="R2564" s="69"/>
      <c r="S2564" s="69"/>
      <c r="T2564" s="69"/>
      <c r="U2564" s="69"/>
      <c r="V2564" s="69"/>
      <c r="W2564" s="69"/>
      <c r="X2564" s="69"/>
      <c r="Y2564" s="69"/>
      <c r="Z2564" s="69"/>
      <c r="AA2564" s="69"/>
      <c r="AB2564" s="69"/>
      <c r="AC2564" s="69"/>
      <c r="AD2564" s="69"/>
      <c r="AE2564" s="69"/>
    </row>
    <row r="2565" spans="1:31" ht="22.5" customHeight="1">
      <c r="A2565" s="69"/>
      <c r="B2565" s="69"/>
      <c r="C2565" s="69"/>
      <c r="D2565" s="69"/>
      <c r="E2565" s="185"/>
      <c r="F2565" s="69"/>
      <c r="G2565" s="185"/>
      <c r="H2565" s="69"/>
      <c r="I2565" s="69"/>
      <c r="J2565" s="69"/>
      <c r="K2565" s="69"/>
      <c r="L2565" s="69"/>
      <c r="M2565" s="69"/>
      <c r="N2565" s="69"/>
      <c r="O2565" s="69"/>
      <c r="P2565" s="69"/>
      <c r="Q2565" s="69"/>
      <c r="R2565" s="69"/>
      <c r="S2565" s="69"/>
      <c r="T2565" s="69"/>
      <c r="U2565" s="69"/>
      <c r="V2565" s="69"/>
      <c r="W2565" s="69"/>
      <c r="X2565" s="69"/>
      <c r="Y2565" s="69"/>
      <c r="Z2565" s="69"/>
      <c r="AA2565" s="69"/>
      <c r="AB2565" s="69"/>
      <c r="AC2565" s="69"/>
      <c r="AD2565" s="69"/>
      <c r="AE2565" s="69"/>
    </row>
    <row r="2566" spans="1:31" ht="22.5" customHeight="1">
      <c r="A2566" s="69"/>
      <c r="B2566" s="69"/>
      <c r="C2566" s="69"/>
      <c r="D2566" s="69"/>
      <c r="E2566" s="185"/>
      <c r="F2566" s="69"/>
      <c r="G2566" s="185"/>
      <c r="H2566" s="69"/>
      <c r="I2566" s="69"/>
      <c r="J2566" s="69"/>
      <c r="K2566" s="69"/>
      <c r="L2566" s="69"/>
      <c r="M2566" s="69"/>
      <c r="N2566" s="69"/>
      <c r="O2566" s="69"/>
      <c r="P2566" s="69"/>
      <c r="Q2566" s="69"/>
      <c r="R2566" s="69"/>
      <c r="S2566" s="69"/>
      <c r="T2566" s="69"/>
      <c r="U2566" s="69"/>
      <c r="V2566" s="69"/>
      <c r="W2566" s="69"/>
      <c r="X2566" s="69"/>
      <c r="Y2566" s="69"/>
      <c r="Z2566" s="69"/>
      <c r="AA2566" s="69"/>
      <c r="AB2566" s="69"/>
      <c r="AC2566" s="69"/>
      <c r="AD2566" s="69"/>
      <c r="AE2566" s="69"/>
    </row>
    <row r="2567" spans="1:31" ht="22.5" customHeight="1">
      <c r="A2567" s="69"/>
      <c r="B2567" s="69"/>
      <c r="C2567" s="69"/>
      <c r="D2567" s="69"/>
      <c r="E2567" s="185"/>
      <c r="F2567" s="69"/>
      <c r="G2567" s="185"/>
      <c r="H2567" s="69"/>
      <c r="I2567" s="69"/>
      <c r="J2567" s="69"/>
      <c r="K2567" s="69"/>
      <c r="L2567" s="69"/>
      <c r="M2567" s="69"/>
      <c r="N2567" s="69"/>
      <c r="O2567" s="69"/>
      <c r="P2567" s="69"/>
      <c r="Q2567" s="69"/>
      <c r="R2567" s="69"/>
      <c r="S2567" s="69"/>
      <c r="T2567" s="69"/>
      <c r="U2567" s="69"/>
      <c r="V2567" s="69"/>
      <c r="W2567" s="69"/>
      <c r="X2567" s="69"/>
      <c r="Y2567" s="69"/>
      <c r="Z2567" s="69"/>
      <c r="AA2567" s="69"/>
      <c r="AB2567" s="69"/>
      <c r="AC2567" s="69"/>
      <c r="AD2567" s="69"/>
      <c r="AE2567" s="69"/>
    </row>
    <row r="2568" spans="1:31" ht="22.5" customHeight="1">
      <c r="A2568" s="69"/>
      <c r="B2568" s="69"/>
      <c r="C2568" s="69"/>
      <c r="D2568" s="69"/>
      <c r="E2568" s="185"/>
      <c r="F2568" s="69"/>
      <c r="G2568" s="185"/>
      <c r="H2568" s="69"/>
      <c r="I2568" s="69"/>
      <c r="J2568" s="69"/>
      <c r="K2568" s="69"/>
      <c r="L2568" s="69"/>
      <c r="M2568" s="69"/>
      <c r="N2568" s="69"/>
      <c r="O2568" s="69"/>
      <c r="P2568" s="69"/>
      <c r="Q2568" s="69"/>
      <c r="R2568" s="69"/>
      <c r="S2568" s="69"/>
      <c r="T2568" s="69"/>
      <c r="U2568" s="69"/>
      <c r="V2568" s="69"/>
      <c r="W2568" s="69"/>
      <c r="X2568" s="69"/>
      <c r="Y2568" s="69"/>
      <c r="Z2568" s="69"/>
      <c r="AA2568" s="69"/>
      <c r="AB2568" s="69"/>
      <c r="AC2568" s="69"/>
      <c r="AD2568" s="69"/>
      <c r="AE2568" s="69"/>
    </row>
    <row r="2569" spans="1:31" ht="22.5" customHeight="1">
      <c r="A2569" s="69"/>
      <c r="B2569" s="69"/>
      <c r="C2569" s="69"/>
      <c r="D2569" s="69"/>
      <c r="E2569" s="185"/>
      <c r="F2569" s="69"/>
      <c r="G2569" s="185"/>
      <c r="H2569" s="69"/>
      <c r="I2569" s="69"/>
      <c r="J2569" s="69"/>
      <c r="K2569" s="69"/>
      <c r="L2569" s="69"/>
      <c r="M2569" s="69"/>
      <c r="N2569" s="69"/>
      <c r="O2569" s="69"/>
      <c r="P2569" s="69"/>
      <c r="Q2569" s="69"/>
      <c r="R2569" s="69"/>
      <c r="S2569" s="69"/>
      <c r="T2569" s="69"/>
      <c r="U2569" s="69"/>
      <c r="V2569" s="69"/>
      <c r="W2569" s="69"/>
      <c r="X2569" s="69"/>
      <c r="Y2569" s="69"/>
      <c r="Z2569" s="69"/>
      <c r="AA2569" s="69"/>
      <c r="AB2569" s="69"/>
      <c r="AC2569" s="69"/>
      <c r="AD2569" s="69"/>
      <c r="AE2569" s="69"/>
    </row>
    <row r="2570" spans="1:31" ht="22.5" customHeight="1">
      <c r="A2570" s="69"/>
      <c r="B2570" s="69"/>
      <c r="C2570" s="69"/>
      <c r="D2570" s="69"/>
      <c r="E2570" s="185"/>
      <c r="F2570" s="69"/>
      <c r="G2570" s="185"/>
      <c r="H2570" s="69"/>
      <c r="I2570" s="69"/>
      <c r="J2570" s="69"/>
      <c r="K2570" s="69"/>
      <c r="L2570" s="69"/>
      <c r="M2570" s="69"/>
      <c r="N2570" s="69"/>
      <c r="O2570" s="69"/>
      <c r="P2570" s="69"/>
      <c r="Q2570" s="69"/>
      <c r="R2570" s="69"/>
      <c r="S2570" s="69"/>
      <c r="T2570" s="69"/>
      <c r="U2570" s="69"/>
      <c r="V2570" s="69"/>
      <c r="W2570" s="69"/>
      <c r="X2570" s="69"/>
      <c r="Y2570" s="69"/>
      <c r="Z2570" s="69"/>
      <c r="AA2570" s="69"/>
      <c r="AB2570" s="69"/>
      <c r="AC2570" s="69"/>
      <c r="AD2570" s="69"/>
      <c r="AE2570" s="69"/>
    </row>
    <row r="2571" spans="1:31" ht="22.5" customHeight="1">
      <c r="A2571" s="69"/>
      <c r="B2571" s="69"/>
      <c r="C2571" s="69"/>
      <c r="D2571" s="69"/>
      <c r="E2571" s="185"/>
      <c r="F2571" s="69"/>
      <c r="G2571" s="185"/>
      <c r="H2571" s="69"/>
      <c r="I2571" s="69"/>
      <c r="J2571" s="69"/>
      <c r="K2571" s="69"/>
      <c r="L2571" s="69"/>
      <c r="M2571" s="69"/>
      <c r="N2571" s="69"/>
      <c r="O2571" s="69"/>
      <c r="P2571" s="69"/>
      <c r="Q2571" s="69"/>
      <c r="R2571" s="69"/>
      <c r="S2571" s="69"/>
      <c r="T2571" s="69"/>
      <c r="U2571" s="69"/>
      <c r="V2571" s="69"/>
      <c r="W2571" s="69"/>
      <c r="X2571" s="69"/>
      <c r="Y2571" s="69"/>
      <c r="Z2571" s="69"/>
      <c r="AA2571" s="69"/>
      <c r="AB2571" s="69"/>
      <c r="AC2571" s="69"/>
      <c r="AD2571" s="69"/>
      <c r="AE2571" s="69"/>
    </row>
    <row r="2572" spans="1:31" ht="22.5" customHeight="1">
      <c r="A2572" s="69"/>
      <c r="B2572" s="69"/>
      <c r="C2572" s="69"/>
      <c r="D2572" s="69"/>
      <c r="E2572" s="185"/>
      <c r="F2572" s="69"/>
      <c r="G2572" s="185"/>
      <c r="H2572" s="69"/>
      <c r="I2572" s="69"/>
      <c r="J2572" s="69"/>
      <c r="K2572" s="69"/>
      <c r="L2572" s="69"/>
      <c r="M2572" s="69"/>
      <c r="N2572" s="69"/>
      <c r="O2572" s="69"/>
      <c r="P2572" s="69"/>
      <c r="Q2572" s="69"/>
      <c r="R2572" s="69"/>
      <c r="S2572" s="69"/>
      <c r="T2572" s="69"/>
      <c r="U2572" s="69"/>
      <c r="V2572" s="69"/>
      <c r="W2572" s="69"/>
      <c r="X2572" s="69"/>
      <c r="Y2572" s="69"/>
      <c r="Z2572" s="69"/>
      <c r="AA2572" s="69"/>
      <c r="AB2572" s="69"/>
      <c r="AC2572" s="69"/>
      <c r="AD2572" s="69"/>
      <c r="AE2572" s="69"/>
    </row>
    <row r="2573" spans="1:31" ht="22.5" customHeight="1">
      <c r="A2573" s="69"/>
      <c r="B2573" s="69"/>
      <c r="C2573" s="69"/>
      <c r="D2573" s="69"/>
      <c r="E2573" s="185"/>
      <c r="F2573" s="69"/>
      <c r="G2573" s="185"/>
      <c r="H2573" s="69"/>
      <c r="I2573" s="69"/>
      <c r="J2573" s="69"/>
      <c r="K2573" s="69"/>
      <c r="L2573" s="69"/>
      <c r="M2573" s="69"/>
      <c r="N2573" s="69"/>
      <c r="O2573" s="69"/>
      <c r="P2573" s="69"/>
      <c r="Q2573" s="69"/>
      <c r="R2573" s="69"/>
      <c r="S2573" s="69"/>
      <c r="T2573" s="69"/>
      <c r="U2573" s="69"/>
      <c r="V2573" s="69"/>
      <c r="W2573" s="69"/>
      <c r="X2573" s="69"/>
      <c r="Y2573" s="69"/>
      <c r="Z2573" s="69"/>
      <c r="AA2573" s="69"/>
      <c r="AB2573" s="69"/>
      <c r="AC2573" s="69"/>
      <c r="AD2573" s="69"/>
      <c r="AE2573" s="69"/>
    </row>
    <row r="2574" spans="1:31" ht="22.5" customHeight="1">
      <c r="A2574" s="69"/>
      <c r="B2574" s="69"/>
      <c r="C2574" s="69"/>
      <c r="D2574" s="69"/>
      <c r="E2574" s="185"/>
      <c r="F2574" s="69"/>
      <c r="G2574" s="185"/>
      <c r="H2574" s="69"/>
      <c r="I2574" s="69"/>
      <c r="J2574" s="69"/>
      <c r="K2574" s="69"/>
      <c r="L2574" s="69"/>
      <c r="M2574" s="69"/>
      <c r="N2574" s="69"/>
      <c r="O2574" s="69"/>
      <c r="P2574" s="69"/>
      <c r="Q2574" s="69"/>
      <c r="R2574" s="69"/>
      <c r="S2574" s="69"/>
      <c r="T2574" s="69"/>
      <c r="U2574" s="69"/>
      <c r="V2574" s="69"/>
      <c r="W2574" s="69"/>
      <c r="X2574" s="69"/>
      <c r="Y2574" s="69"/>
      <c r="Z2574" s="69"/>
      <c r="AA2574" s="69"/>
      <c r="AB2574" s="69"/>
      <c r="AC2574" s="69"/>
      <c r="AD2574" s="69"/>
      <c r="AE2574" s="69"/>
    </row>
    <row r="2575" spans="1:31" ht="22.5" customHeight="1">
      <c r="A2575" s="69"/>
      <c r="B2575" s="69"/>
      <c r="C2575" s="69"/>
      <c r="D2575" s="69"/>
      <c r="E2575" s="185"/>
      <c r="F2575" s="69"/>
      <c r="G2575" s="185"/>
      <c r="H2575" s="69"/>
      <c r="I2575" s="69"/>
      <c r="J2575" s="69"/>
      <c r="K2575" s="69"/>
      <c r="L2575" s="69"/>
      <c r="M2575" s="69"/>
      <c r="N2575" s="69"/>
      <c r="O2575" s="69"/>
      <c r="P2575" s="69"/>
      <c r="Q2575" s="69"/>
      <c r="R2575" s="69"/>
      <c r="S2575" s="69"/>
      <c r="T2575" s="69"/>
      <c r="U2575" s="69"/>
      <c r="V2575" s="69"/>
      <c r="W2575" s="69"/>
      <c r="X2575" s="69"/>
      <c r="Y2575" s="69"/>
      <c r="Z2575" s="69"/>
      <c r="AA2575" s="69"/>
      <c r="AB2575" s="69"/>
      <c r="AC2575" s="69"/>
      <c r="AD2575" s="69"/>
      <c r="AE2575" s="69"/>
    </row>
    <row r="2576" spans="1:31" ht="22.5" customHeight="1">
      <c r="A2576" s="69"/>
      <c r="B2576" s="69"/>
      <c r="C2576" s="69"/>
      <c r="D2576" s="69"/>
      <c r="E2576" s="185"/>
      <c r="F2576" s="69"/>
      <c r="G2576" s="185"/>
      <c r="H2576" s="69"/>
      <c r="I2576" s="69"/>
      <c r="J2576" s="69"/>
      <c r="K2576" s="69"/>
      <c r="L2576" s="69"/>
      <c r="M2576" s="69"/>
      <c r="N2576" s="69"/>
      <c r="O2576" s="69"/>
      <c r="P2576" s="69"/>
      <c r="Q2576" s="69"/>
      <c r="R2576" s="69"/>
      <c r="S2576" s="69"/>
      <c r="T2576" s="69"/>
      <c r="U2576" s="69"/>
      <c r="V2576" s="69"/>
      <c r="W2576" s="69"/>
      <c r="X2576" s="69"/>
      <c r="Y2576" s="69"/>
      <c r="Z2576" s="69"/>
      <c r="AA2576" s="69"/>
      <c r="AB2576" s="69"/>
      <c r="AC2576" s="69"/>
      <c r="AD2576" s="69"/>
      <c r="AE2576" s="69"/>
    </row>
    <row r="2577" spans="1:31" ht="22.5" customHeight="1">
      <c r="A2577" s="69"/>
      <c r="B2577" s="69"/>
      <c r="C2577" s="69"/>
      <c r="D2577" s="69"/>
      <c r="E2577" s="185"/>
      <c r="F2577" s="69"/>
      <c r="G2577" s="185"/>
      <c r="H2577" s="69"/>
      <c r="I2577" s="69"/>
      <c r="J2577" s="69"/>
      <c r="K2577" s="69"/>
      <c r="L2577" s="69"/>
      <c r="M2577" s="69"/>
      <c r="N2577" s="69"/>
      <c r="O2577" s="69"/>
      <c r="P2577" s="69"/>
      <c r="Q2577" s="69"/>
      <c r="R2577" s="69"/>
      <c r="S2577" s="69"/>
      <c r="T2577" s="69"/>
      <c r="U2577" s="69"/>
      <c r="V2577" s="69"/>
      <c r="W2577" s="69"/>
      <c r="X2577" s="69"/>
      <c r="Y2577" s="69"/>
      <c r="Z2577" s="69"/>
      <c r="AA2577" s="69"/>
      <c r="AB2577" s="69"/>
      <c r="AC2577" s="69"/>
      <c r="AD2577" s="69"/>
      <c r="AE2577" s="69"/>
    </row>
    <row r="2578" spans="1:31" ht="22.5" customHeight="1">
      <c r="A2578" s="69"/>
      <c r="B2578" s="69"/>
      <c r="C2578" s="69"/>
      <c r="D2578" s="69"/>
      <c r="E2578" s="185"/>
      <c r="F2578" s="69"/>
      <c r="G2578" s="185"/>
      <c r="H2578" s="69"/>
      <c r="I2578" s="69"/>
      <c r="J2578" s="69"/>
      <c r="K2578" s="69"/>
      <c r="L2578" s="69"/>
      <c r="M2578" s="69"/>
      <c r="N2578" s="69"/>
      <c r="O2578" s="69"/>
      <c r="P2578" s="69"/>
      <c r="Q2578" s="69"/>
      <c r="R2578" s="69"/>
      <c r="S2578" s="69"/>
      <c r="T2578" s="69"/>
      <c r="U2578" s="69"/>
      <c r="V2578" s="69"/>
      <c r="W2578" s="69"/>
      <c r="X2578" s="69"/>
      <c r="Y2578" s="69"/>
      <c r="Z2578" s="69"/>
      <c r="AA2578" s="69"/>
      <c r="AB2578" s="69"/>
      <c r="AC2578" s="69"/>
      <c r="AD2578" s="69"/>
      <c r="AE2578" s="69"/>
    </row>
    <row r="2579" spans="1:31" ht="22.5" customHeight="1">
      <c r="A2579" s="69"/>
      <c r="B2579" s="69"/>
      <c r="C2579" s="69"/>
      <c r="D2579" s="69"/>
      <c r="E2579" s="185"/>
      <c r="F2579" s="69"/>
      <c r="G2579" s="185"/>
      <c r="H2579" s="69"/>
      <c r="I2579" s="69"/>
      <c r="J2579" s="69"/>
      <c r="K2579" s="69"/>
      <c r="L2579" s="69"/>
      <c r="M2579" s="69"/>
      <c r="N2579" s="69"/>
      <c r="O2579" s="69"/>
      <c r="P2579" s="69"/>
      <c r="Q2579" s="69"/>
      <c r="R2579" s="69"/>
      <c r="S2579" s="69"/>
      <c r="T2579" s="69"/>
      <c r="U2579" s="69"/>
      <c r="V2579" s="69"/>
      <c r="W2579" s="69"/>
      <c r="X2579" s="69"/>
      <c r="Y2579" s="69"/>
      <c r="Z2579" s="69"/>
      <c r="AA2579" s="69"/>
      <c r="AB2579" s="69"/>
      <c r="AC2579" s="69"/>
      <c r="AD2579" s="69"/>
      <c r="AE2579" s="69"/>
    </row>
    <row r="2580" spans="1:31" ht="22.5" customHeight="1">
      <c r="A2580" s="69"/>
      <c r="B2580" s="69"/>
      <c r="C2580" s="69"/>
      <c r="D2580" s="69"/>
      <c r="E2580" s="185"/>
      <c r="F2580" s="69"/>
      <c r="G2580" s="185"/>
      <c r="H2580" s="69"/>
      <c r="I2580" s="69"/>
      <c r="J2580" s="69"/>
      <c r="K2580" s="69"/>
      <c r="L2580" s="69"/>
      <c r="M2580" s="69"/>
      <c r="N2580" s="69"/>
      <c r="O2580" s="69"/>
      <c r="P2580" s="69"/>
      <c r="Q2580" s="69"/>
      <c r="R2580" s="69"/>
      <c r="S2580" s="69"/>
      <c r="T2580" s="69"/>
      <c r="U2580" s="69"/>
      <c r="V2580" s="69"/>
      <c r="W2580" s="69"/>
      <c r="X2580" s="69"/>
      <c r="Y2580" s="69"/>
      <c r="Z2580" s="69"/>
      <c r="AA2580" s="69"/>
      <c r="AB2580" s="69"/>
      <c r="AC2580" s="69"/>
      <c r="AD2580" s="69"/>
      <c r="AE2580" s="69"/>
    </row>
    <row r="2581" spans="1:31" ht="22.5" customHeight="1">
      <c r="A2581" s="69"/>
      <c r="B2581" s="69"/>
      <c r="C2581" s="69"/>
      <c r="D2581" s="69"/>
      <c r="E2581" s="185"/>
      <c r="F2581" s="69"/>
      <c r="G2581" s="185"/>
      <c r="H2581" s="69"/>
      <c r="I2581" s="69"/>
      <c r="J2581" s="69"/>
      <c r="K2581" s="69"/>
      <c r="L2581" s="69"/>
      <c r="M2581" s="69"/>
      <c r="N2581" s="69"/>
      <c r="O2581" s="69"/>
      <c r="P2581" s="69"/>
      <c r="Q2581" s="69"/>
      <c r="R2581" s="69"/>
      <c r="S2581" s="69"/>
      <c r="T2581" s="69"/>
      <c r="U2581" s="69"/>
      <c r="V2581" s="69"/>
      <c r="W2581" s="69"/>
      <c r="X2581" s="69"/>
      <c r="Y2581" s="69"/>
      <c r="Z2581" s="69"/>
      <c r="AA2581" s="69"/>
      <c r="AB2581" s="69"/>
      <c r="AC2581" s="69"/>
      <c r="AD2581" s="69"/>
      <c r="AE2581" s="69"/>
    </row>
    <row r="2582" spans="1:31" ht="22.5" customHeight="1">
      <c r="A2582" s="69"/>
      <c r="B2582" s="69"/>
      <c r="C2582" s="69"/>
      <c r="D2582" s="69"/>
      <c r="E2582" s="185"/>
      <c r="F2582" s="69"/>
      <c r="G2582" s="185"/>
      <c r="H2582" s="69"/>
      <c r="I2582" s="69"/>
      <c r="J2582" s="69"/>
      <c r="K2582" s="69"/>
      <c r="L2582" s="69"/>
      <c r="M2582" s="69"/>
      <c r="N2582" s="69"/>
      <c r="O2582" s="69"/>
      <c r="P2582" s="69"/>
      <c r="Q2582" s="69"/>
      <c r="R2582" s="69"/>
      <c r="S2582" s="69"/>
      <c r="T2582" s="69"/>
      <c r="U2582" s="69"/>
      <c r="V2582" s="69"/>
      <c r="W2582" s="69"/>
      <c r="X2582" s="69"/>
      <c r="Y2582" s="69"/>
      <c r="Z2582" s="69"/>
      <c r="AA2582" s="69"/>
      <c r="AB2582" s="69"/>
      <c r="AC2582" s="69"/>
      <c r="AD2582" s="69"/>
      <c r="AE2582" s="69"/>
    </row>
    <row r="2583" spans="1:31" ht="22.5" customHeight="1">
      <c r="A2583" s="69"/>
      <c r="B2583" s="69"/>
      <c r="C2583" s="69"/>
      <c r="D2583" s="69"/>
      <c r="E2583" s="185"/>
      <c r="F2583" s="69"/>
      <c r="G2583" s="185"/>
      <c r="H2583" s="69"/>
      <c r="I2583" s="69"/>
      <c r="J2583" s="69"/>
      <c r="K2583" s="69"/>
      <c r="L2583" s="69"/>
      <c r="M2583" s="69"/>
      <c r="N2583" s="69"/>
      <c r="O2583" s="69"/>
      <c r="P2583" s="69"/>
      <c r="Q2583" s="69"/>
      <c r="R2583" s="69"/>
      <c r="S2583" s="69"/>
      <c r="T2583" s="69"/>
      <c r="U2583" s="69"/>
      <c r="V2583" s="69"/>
      <c r="W2583" s="69"/>
      <c r="X2583" s="69"/>
      <c r="Y2583" s="69"/>
      <c r="Z2583" s="69"/>
      <c r="AA2583" s="69"/>
      <c r="AB2583" s="69"/>
      <c r="AC2583" s="69"/>
      <c r="AD2583" s="69"/>
      <c r="AE2583" s="69"/>
    </row>
    <row r="2584" spans="1:31" ht="22.5" customHeight="1">
      <c r="A2584" s="69"/>
      <c r="B2584" s="69"/>
      <c r="C2584" s="69"/>
      <c r="D2584" s="69"/>
      <c r="E2584" s="185"/>
      <c r="F2584" s="69"/>
      <c r="G2584" s="185"/>
      <c r="H2584" s="69"/>
      <c r="I2584" s="69"/>
      <c r="J2584" s="69"/>
      <c r="K2584" s="69"/>
      <c r="L2584" s="69"/>
      <c r="M2584" s="69"/>
      <c r="N2584" s="69"/>
      <c r="O2584" s="69"/>
      <c r="P2584" s="69"/>
      <c r="Q2584" s="69"/>
      <c r="R2584" s="69"/>
      <c r="S2584" s="69"/>
      <c r="T2584" s="69"/>
      <c r="U2584" s="69"/>
      <c r="V2584" s="69"/>
      <c r="W2584" s="69"/>
      <c r="X2584" s="69"/>
      <c r="Y2584" s="69"/>
      <c r="Z2584" s="69"/>
      <c r="AA2584" s="69"/>
      <c r="AB2584" s="69"/>
      <c r="AC2584" s="69"/>
      <c r="AD2584" s="69"/>
      <c r="AE2584" s="69"/>
    </row>
    <row r="2585" spans="1:31" ht="22.5" customHeight="1">
      <c r="A2585" s="69"/>
      <c r="B2585" s="69"/>
      <c r="C2585" s="69"/>
      <c r="D2585" s="69"/>
      <c r="E2585" s="185"/>
      <c r="F2585" s="69"/>
      <c r="G2585" s="185"/>
      <c r="H2585" s="69"/>
      <c r="I2585" s="69"/>
      <c r="J2585" s="69"/>
      <c r="K2585" s="69"/>
      <c r="L2585" s="69"/>
      <c r="M2585" s="69"/>
      <c r="N2585" s="69"/>
      <c r="O2585" s="69"/>
      <c r="P2585" s="69"/>
      <c r="Q2585" s="69"/>
      <c r="R2585" s="69"/>
      <c r="S2585" s="69"/>
      <c r="T2585" s="69"/>
      <c r="U2585" s="69"/>
      <c r="V2585" s="69"/>
      <c r="W2585" s="69"/>
      <c r="X2585" s="69"/>
      <c r="Y2585" s="69"/>
      <c r="Z2585" s="69"/>
      <c r="AA2585" s="69"/>
      <c r="AB2585" s="69"/>
      <c r="AC2585" s="69"/>
      <c r="AD2585" s="69"/>
      <c r="AE2585" s="69"/>
    </row>
    <row r="2586" spans="1:31" ht="22.5" customHeight="1">
      <c r="A2586" s="69"/>
      <c r="B2586" s="69"/>
      <c r="C2586" s="69"/>
      <c r="D2586" s="69"/>
      <c r="E2586" s="185"/>
      <c r="F2586" s="69"/>
      <c r="G2586" s="185"/>
      <c r="H2586" s="69"/>
      <c r="I2586" s="69"/>
      <c r="J2586" s="69"/>
      <c r="K2586" s="69"/>
      <c r="L2586" s="69"/>
      <c r="M2586" s="69"/>
      <c r="N2586" s="69"/>
      <c r="O2586" s="69"/>
      <c r="P2586" s="69"/>
      <c r="Q2586" s="69"/>
      <c r="R2586" s="69"/>
      <c r="S2586" s="69"/>
      <c r="T2586" s="69"/>
      <c r="U2586" s="69"/>
      <c r="V2586" s="69"/>
      <c r="W2586" s="69"/>
      <c r="X2586" s="69"/>
      <c r="Y2586" s="69"/>
      <c r="Z2586" s="69"/>
      <c r="AA2586" s="69"/>
      <c r="AB2586" s="69"/>
      <c r="AC2586" s="69"/>
      <c r="AD2586" s="69"/>
      <c r="AE2586" s="69"/>
    </row>
    <row r="2587" spans="1:31" ht="22.5" customHeight="1">
      <c r="A2587" s="69"/>
      <c r="B2587" s="69"/>
      <c r="C2587" s="69"/>
      <c r="D2587" s="69"/>
      <c r="E2587" s="185"/>
      <c r="F2587" s="69"/>
      <c r="G2587" s="185"/>
      <c r="H2587" s="69"/>
      <c r="I2587" s="69"/>
      <c r="J2587" s="69"/>
      <c r="K2587" s="69"/>
      <c r="L2587" s="69"/>
      <c r="M2587" s="69"/>
      <c r="N2587" s="69"/>
      <c r="O2587" s="69"/>
      <c r="P2587" s="69"/>
      <c r="Q2587" s="69"/>
      <c r="R2587" s="69"/>
      <c r="S2587" s="69"/>
      <c r="T2587" s="69"/>
      <c r="U2587" s="69"/>
      <c r="V2587" s="69"/>
      <c r="W2587" s="69"/>
      <c r="X2587" s="69"/>
      <c r="Y2587" s="69"/>
      <c r="Z2587" s="69"/>
      <c r="AA2587" s="69"/>
      <c r="AB2587" s="69"/>
      <c r="AC2587" s="69"/>
      <c r="AD2587" s="69"/>
      <c r="AE2587" s="69"/>
    </row>
    <row r="2588" spans="1:31" ht="22.5" customHeight="1">
      <c r="A2588" s="69"/>
      <c r="B2588" s="69"/>
      <c r="C2588" s="69"/>
      <c r="D2588" s="69"/>
      <c r="E2588" s="185"/>
      <c r="F2588" s="69"/>
      <c r="G2588" s="185"/>
      <c r="H2588" s="69"/>
      <c r="I2588" s="69"/>
      <c r="J2588" s="69"/>
      <c r="K2588" s="69"/>
      <c r="L2588" s="69"/>
      <c r="M2588" s="69"/>
      <c r="N2588" s="69"/>
      <c r="O2588" s="69"/>
      <c r="P2588" s="69"/>
      <c r="Q2588" s="69"/>
      <c r="R2588" s="69"/>
      <c r="S2588" s="69"/>
      <c r="T2588" s="69"/>
      <c r="U2588" s="69"/>
      <c r="V2588" s="69"/>
      <c r="W2588" s="69"/>
      <c r="X2588" s="69"/>
      <c r="Y2588" s="69"/>
      <c r="Z2588" s="69"/>
      <c r="AA2588" s="69"/>
      <c r="AB2588" s="69"/>
      <c r="AC2588" s="69"/>
      <c r="AD2588" s="69"/>
      <c r="AE2588" s="69"/>
    </row>
    <row r="2589" spans="1:31" ht="22.5" customHeight="1">
      <c r="A2589" s="69"/>
      <c r="B2589" s="69"/>
      <c r="C2589" s="69"/>
      <c r="D2589" s="69"/>
      <c r="E2589" s="185"/>
      <c r="F2589" s="69"/>
      <c r="G2589" s="185"/>
      <c r="H2589" s="69"/>
      <c r="I2589" s="69"/>
      <c r="J2589" s="69"/>
      <c r="K2589" s="69"/>
      <c r="L2589" s="69"/>
      <c r="M2589" s="69"/>
      <c r="N2589" s="69"/>
      <c r="O2589" s="69"/>
      <c r="P2589" s="69"/>
      <c r="Q2589" s="69"/>
      <c r="R2589" s="69"/>
      <c r="S2589" s="69"/>
      <c r="T2589" s="69"/>
      <c r="U2589" s="69"/>
      <c r="V2589" s="69"/>
      <c r="W2589" s="69"/>
      <c r="X2589" s="69"/>
      <c r="Y2589" s="69"/>
      <c r="Z2589" s="69"/>
      <c r="AA2589" s="69"/>
      <c r="AB2589" s="69"/>
      <c r="AC2589" s="69"/>
      <c r="AD2589" s="69"/>
      <c r="AE2589" s="69"/>
    </row>
    <row r="2590" spans="1:31" ht="22.5" customHeight="1">
      <c r="A2590" s="69"/>
      <c r="B2590" s="69"/>
      <c r="C2590" s="69"/>
      <c r="D2590" s="69"/>
      <c r="E2590" s="185"/>
      <c r="F2590" s="69"/>
      <c r="G2590" s="185"/>
      <c r="H2590" s="69"/>
      <c r="I2590" s="69"/>
      <c r="J2590" s="69"/>
      <c r="K2590" s="69"/>
      <c r="L2590" s="69"/>
      <c r="M2590" s="69"/>
      <c r="N2590" s="69"/>
      <c r="O2590" s="69"/>
      <c r="P2590" s="69"/>
      <c r="Q2590" s="69"/>
      <c r="R2590" s="69"/>
      <c r="S2590" s="69"/>
      <c r="T2590" s="69"/>
      <c r="U2590" s="69"/>
      <c r="V2590" s="69"/>
      <c r="W2590" s="69"/>
      <c r="X2590" s="69"/>
      <c r="Y2590" s="69"/>
      <c r="Z2590" s="69"/>
      <c r="AA2590" s="69"/>
      <c r="AB2590" s="69"/>
      <c r="AC2590" s="69"/>
      <c r="AD2590" s="69"/>
      <c r="AE2590" s="69"/>
    </row>
    <row r="2591" spans="1:31" ht="22.5" customHeight="1">
      <c r="A2591" s="69"/>
      <c r="B2591" s="69"/>
      <c r="C2591" s="69"/>
      <c r="D2591" s="69"/>
      <c r="E2591" s="185"/>
      <c r="F2591" s="69"/>
      <c r="G2591" s="185"/>
      <c r="H2591" s="69"/>
      <c r="I2591" s="69"/>
      <c r="J2591" s="69"/>
      <c r="K2591" s="69"/>
      <c r="L2591" s="69"/>
      <c r="M2591" s="69"/>
      <c r="N2591" s="69"/>
      <c r="O2591" s="69"/>
      <c r="P2591" s="69"/>
      <c r="Q2591" s="69"/>
      <c r="R2591" s="69"/>
      <c r="S2591" s="69"/>
      <c r="T2591" s="69"/>
      <c r="U2591" s="69"/>
      <c r="V2591" s="69"/>
      <c r="W2591" s="69"/>
      <c r="X2591" s="69"/>
      <c r="Y2591" s="69"/>
      <c r="Z2591" s="69"/>
      <c r="AA2591" s="69"/>
      <c r="AB2591" s="69"/>
      <c r="AC2591" s="69"/>
      <c r="AD2591" s="69"/>
      <c r="AE2591" s="69"/>
    </row>
    <row r="2592" spans="1:31" ht="22.5" customHeight="1">
      <c r="A2592" s="69"/>
      <c r="B2592" s="69"/>
      <c r="C2592" s="69"/>
      <c r="D2592" s="69"/>
      <c r="E2592" s="185"/>
      <c r="F2592" s="69"/>
      <c r="G2592" s="185"/>
      <c r="H2592" s="69"/>
      <c r="I2592" s="69"/>
      <c r="J2592" s="69"/>
      <c r="K2592" s="69"/>
      <c r="L2592" s="69"/>
      <c r="M2592" s="69"/>
      <c r="N2592" s="69"/>
      <c r="O2592" s="69"/>
      <c r="P2592" s="69"/>
      <c r="Q2592" s="69"/>
      <c r="R2592" s="69"/>
      <c r="S2592" s="69"/>
      <c r="T2592" s="69"/>
      <c r="U2592" s="69"/>
      <c r="V2592" s="69"/>
      <c r="W2592" s="69"/>
      <c r="X2592" s="69"/>
      <c r="Y2592" s="69"/>
      <c r="Z2592" s="69"/>
      <c r="AA2592" s="69"/>
      <c r="AB2592" s="69"/>
      <c r="AC2592" s="69"/>
      <c r="AD2592" s="69"/>
      <c r="AE2592" s="69"/>
    </row>
    <row r="2593" spans="1:31" ht="22.5" customHeight="1">
      <c r="A2593" s="69"/>
      <c r="B2593" s="69"/>
      <c r="C2593" s="69"/>
      <c r="D2593" s="69"/>
      <c r="E2593" s="185"/>
      <c r="F2593" s="69"/>
      <c r="G2593" s="185"/>
      <c r="H2593" s="69"/>
      <c r="I2593" s="69"/>
      <c r="J2593" s="69"/>
      <c r="K2593" s="69"/>
      <c r="L2593" s="69"/>
      <c r="M2593" s="69"/>
      <c r="N2593" s="69"/>
      <c r="O2593" s="69"/>
      <c r="P2593" s="69"/>
      <c r="Q2593" s="69"/>
      <c r="R2593" s="69"/>
      <c r="S2593" s="69"/>
      <c r="T2593" s="69"/>
      <c r="U2593" s="69"/>
      <c r="V2593" s="69"/>
      <c r="W2593" s="69"/>
      <c r="X2593" s="69"/>
      <c r="Y2593" s="69"/>
      <c r="Z2593" s="69"/>
      <c r="AA2593" s="69"/>
      <c r="AB2593" s="69"/>
      <c r="AC2593" s="69"/>
      <c r="AD2593" s="69"/>
      <c r="AE2593" s="69"/>
    </row>
    <row r="2594" spans="1:31" ht="22.5" customHeight="1">
      <c r="A2594" s="69"/>
      <c r="B2594" s="69"/>
      <c r="C2594" s="69"/>
      <c r="D2594" s="69"/>
      <c r="E2594" s="185"/>
      <c r="F2594" s="69"/>
      <c r="G2594" s="185"/>
      <c r="H2594" s="69"/>
      <c r="I2594" s="69"/>
      <c r="J2594" s="69"/>
      <c r="K2594" s="69"/>
      <c r="L2594" s="69"/>
      <c r="M2594" s="69"/>
      <c r="N2594" s="69"/>
      <c r="O2594" s="69"/>
      <c r="P2594" s="69"/>
      <c r="Q2594" s="69"/>
      <c r="R2594" s="69"/>
      <c r="S2594" s="69"/>
      <c r="T2594" s="69"/>
      <c r="U2594" s="69"/>
      <c r="V2594" s="69"/>
      <c r="W2594" s="69"/>
      <c r="X2594" s="69"/>
      <c r="Y2594" s="69"/>
      <c r="Z2594" s="69"/>
      <c r="AA2594" s="69"/>
      <c r="AB2594" s="69"/>
      <c r="AC2594" s="69"/>
      <c r="AD2594" s="69"/>
      <c r="AE2594" s="69"/>
    </row>
    <row r="2595" spans="1:31" ht="22.5" customHeight="1">
      <c r="A2595" s="69"/>
      <c r="B2595" s="69"/>
      <c r="C2595" s="69"/>
      <c r="D2595" s="69"/>
      <c r="E2595" s="185"/>
      <c r="F2595" s="69"/>
      <c r="G2595" s="185"/>
      <c r="H2595" s="69"/>
      <c r="I2595" s="69"/>
      <c r="J2595" s="69"/>
      <c r="K2595" s="69"/>
      <c r="L2595" s="69"/>
      <c r="M2595" s="69"/>
      <c r="N2595" s="69"/>
      <c r="O2595" s="69"/>
      <c r="P2595" s="69"/>
      <c r="Q2595" s="69"/>
      <c r="R2595" s="69"/>
      <c r="S2595" s="69"/>
      <c r="T2595" s="69"/>
      <c r="U2595" s="69"/>
      <c r="V2595" s="69"/>
      <c r="W2595" s="69"/>
      <c r="X2595" s="69"/>
      <c r="Y2595" s="69"/>
      <c r="Z2595" s="69"/>
      <c r="AA2595" s="69"/>
      <c r="AB2595" s="69"/>
      <c r="AC2595" s="69"/>
      <c r="AD2595" s="69"/>
      <c r="AE2595" s="69"/>
    </row>
    <row r="2596" spans="1:31" ht="22.5" customHeight="1">
      <c r="A2596" s="69"/>
      <c r="B2596" s="69"/>
      <c r="C2596" s="69"/>
      <c r="D2596" s="69"/>
      <c r="E2596" s="185"/>
      <c r="F2596" s="69"/>
      <c r="G2596" s="185"/>
      <c r="H2596" s="69"/>
      <c r="I2596" s="69"/>
      <c r="J2596" s="69"/>
      <c r="K2596" s="69"/>
      <c r="L2596" s="69"/>
      <c r="M2596" s="69"/>
      <c r="N2596" s="69"/>
      <c r="O2596" s="69"/>
      <c r="P2596" s="69"/>
      <c r="Q2596" s="69"/>
      <c r="R2596" s="69"/>
      <c r="S2596" s="69"/>
      <c r="T2596" s="69"/>
      <c r="U2596" s="69"/>
      <c r="V2596" s="69"/>
      <c r="W2596" s="69"/>
      <c r="X2596" s="69"/>
      <c r="Y2596" s="69"/>
      <c r="Z2596" s="69"/>
      <c r="AA2596" s="69"/>
      <c r="AB2596" s="69"/>
      <c r="AC2596" s="69"/>
      <c r="AD2596" s="69"/>
      <c r="AE2596" s="69"/>
    </row>
    <row r="2597" spans="1:31" ht="22.5" customHeight="1">
      <c r="A2597" s="69"/>
      <c r="B2597" s="69"/>
      <c r="C2597" s="69"/>
      <c r="D2597" s="69"/>
      <c r="E2597" s="185"/>
      <c r="F2597" s="69"/>
      <c r="G2597" s="185"/>
      <c r="H2597" s="69"/>
      <c r="I2597" s="69"/>
      <c r="J2597" s="69"/>
      <c r="K2597" s="69"/>
      <c r="L2597" s="69"/>
      <c r="M2597" s="69"/>
      <c r="N2597" s="69"/>
      <c r="O2597" s="69"/>
      <c r="P2597" s="69"/>
      <c r="Q2597" s="69"/>
      <c r="R2597" s="69"/>
      <c r="S2597" s="69"/>
      <c r="T2597" s="69"/>
      <c r="U2597" s="69"/>
      <c r="V2597" s="69"/>
      <c r="W2597" s="69"/>
      <c r="X2597" s="69"/>
      <c r="Y2597" s="69"/>
      <c r="Z2597" s="69"/>
      <c r="AA2597" s="69"/>
      <c r="AB2597" s="69"/>
      <c r="AC2597" s="69"/>
      <c r="AD2597" s="69"/>
      <c r="AE2597" s="69"/>
    </row>
    <row r="2598" spans="1:31" ht="22.5" customHeight="1">
      <c r="A2598" s="69"/>
      <c r="B2598" s="69"/>
      <c r="C2598" s="69"/>
      <c r="D2598" s="69"/>
      <c r="E2598" s="185"/>
      <c r="F2598" s="69"/>
      <c r="G2598" s="185"/>
      <c r="H2598" s="69"/>
      <c r="I2598" s="69"/>
      <c r="J2598" s="69"/>
      <c r="K2598" s="69"/>
      <c r="L2598" s="69"/>
      <c r="M2598" s="69"/>
      <c r="N2598" s="69"/>
      <c r="O2598" s="69"/>
      <c r="P2598" s="69"/>
      <c r="Q2598" s="69"/>
      <c r="R2598" s="69"/>
      <c r="S2598" s="69"/>
      <c r="T2598" s="69"/>
      <c r="U2598" s="69"/>
      <c r="V2598" s="69"/>
      <c r="W2598" s="69"/>
      <c r="X2598" s="69"/>
      <c r="Y2598" s="69"/>
      <c r="Z2598" s="69"/>
      <c r="AA2598" s="69"/>
      <c r="AB2598" s="69"/>
      <c r="AC2598" s="69"/>
      <c r="AD2598" s="69"/>
      <c r="AE2598" s="69"/>
    </row>
    <row r="2599" spans="1:31" ht="22.5" customHeight="1">
      <c r="A2599" s="69"/>
      <c r="B2599" s="69"/>
      <c r="C2599" s="69"/>
      <c r="D2599" s="69"/>
      <c r="E2599" s="185"/>
      <c r="F2599" s="69"/>
      <c r="G2599" s="185"/>
      <c r="H2599" s="69"/>
      <c r="I2599" s="69"/>
      <c r="J2599" s="69"/>
      <c r="K2599" s="69"/>
      <c r="L2599" s="69"/>
      <c r="M2599" s="69"/>
      <c r="N2599" s="69"/>
      <c r="O2599" s="69"/>
      <c r="P2599" s="69"/>
      <c r="Q2599" s="69"/>
      <c r="R2599" s="69"/>
      <c r="S2599" s="69"/>
      <c r="T2599" s="69"/>
      <c r="U2599" s="69"/>
      <c r="V2599" s="69"/>
      <c r="W2599" s="69"/>
      <c r="X2599" s="69"/>
      <c r="Y2599" s="69"/>
      <c r="Z2599" s="69"/>
      <c r="AA2599" s="69"/>
      <c r="AB2599" s="69"/>
      <c r="AC2599" s="69"/>
      <c r="AD2599" s="69"/>
      <c r="AE2599" s="69"/>
    </row>
    <row r="2600" spans="1:31" ht="22.5" customHeight="1">
      <c r="A2600" s="69"/>
      <c r="B2600" s="69"/>
      <c r="C2600" s="69"/>
      <c r="D2600" s="69"/>
      <c r="E2600" s="185"/>
      <c r="F2600" s="69"/>
      <c r="G2600" s="185"/>
      <c r="H2600" s="69"/>
      <c r="I2600" s="69"/>
      <c r="J2600" s="69"/>
      <c r="K2600" s="69"/>
      <c r="L2600" s="69"/>
      <c r="M2600" s="69"/>
      <c r="N2600" s="69"/>
      <c r="O2600" s="69"/>
      <c r="P2600" s="69"/>
      <c r="Q2600" s="69"/>
      <c r="R2600" s="69"/>
      <c r="S2600" s="69"/>
      <c r="T2600" s="69"/>
      <c r="U2600" s="69"/>
      <c r="V2600" s="69"/>
      <c r="W2600" s="69"/>
      <c r="X2600" s="69"/>
      <c r="Y2600" s="69"/>
      <c r="Z2600" s="69"/>
      <c r="AA2600" s="69"/>
      <c r="AB2600" s="69"/>
      <c r="AC2600" s="69"/>
      <c r="AD2600" s="69"/>
      <c r="AE2600" s="69"/>
    </row>
    <row r="2601" spans="1:31" ht="22.5" customHeight="1">
      <c r="A2601" s="69"/>
      <c r="B2601" s="69"/>
      <c r="C2601" s="69"/>
      <c r="D2601" s="69"/>
      <c r="E2601" s="185"/>
      <c r="F2601" s="69"/>
      <c r="G2601" s="185"/>
      <c r="H2601" s="69"/>
      <c r="I2601" s="69"/>
      <c r="J2601" s="69"/>
      <c r="K2601" s="69"/>
      <c r="L2601" s="69"/>
      <c r="M2601" s="69"/>
      <c r="N2601" s="69"/>
      <c r="O2601" s="69"/>
      <c r="P2601" s="69"/>
      <c r="Q2601" s="69"/>
      <c r="R2601" s="69"/>
      <c r="S2601" s="69"/>
      <c r="T2601" s="69"/>
      <c r="U2601" s="69"/>
      <c r="V2601" s="69"/>
      <c r="W2601" s="69"/>
      <c r="X2601" s="69"/>
      <c r="Y2601" s="69"/>
      <c r="Z2601" s="69"/>
      <c r="AA2601" s="69"/>
      <c r="AB2601" s="69"/>
      <c r="AC2601" s="69"/>
      <c r="AD2601" s="69"/>
      <c r="AE2601" s="69"/>
    </row>
    <row r="2602" spans="1:31" ht="22.5" customHeight="1">
      <c r="A2602" s="69"/>
      <c r="B2602" s="69"/>
      <c r="C2602" s="69"/>
      <c r="D2602" s="69"/>
      <c r="E2602" s="185"/>
      <c r="F2602" s="69"/>
      <c r="G2602" s="185"/>
      <c r="H2602" s="69"/>
      <c r="I2602" s="69"/>
      <c r="J2602" s="69"/>
      <c r="K2602" s="69"/>
      <c r="L2602" s="69"/>
      <c r="M2602" s="69"/>
      <c r="N2602" s="69"/>
      <c r="O2602" s="69"/>
      <c r="P2602" s="69"/>
      <c r="Q2602" s="69"/>
      <c r="R2602" s="69"/>
      <c r="S2602" s="69"/>
      <c r="T2602" s="69"/>
      <c r="U2602" s="69"/>
      <c r="V2602" s="69"/>
      <c r="W2602" s="69"/>
      <c r="X2602" s="69"/>
      <c r="Y2602" s="69"/>
      <c r="Z2602" s="69"/>
      <c r="AA2602" s="69"/>
      <c r="AB2602" s="69"/>
      <c r="AC2602" s="69"/>
      <c r="AD2602" s="69"/>
      <c r="AE2602" s="69"/>
    </row>
    <row r="2603" spans="1:31" ht="22.5" customHeight="1">
      <c r="A2603" s="69"/>
      <c r="B2603" s="69"/>
      <c r="C2603" s="69"/>
      <c r="D2603" s="69"/>
      <c r="E2603" s="185"/>
      <c r="F2603" s="69"/>
      <c r="G2603" s="185"/>
      <c r="H2603" s="69"/>
      <c r="I2603" s="69"/>
      <c r="J2603" s="69"/>
      <c r="K2603" s="69"/>
      <c r="L2603" s="69"/>
      <c r="M2603" s="69"/>
      <c r="N2603" s="69"/>
      <c r="O2603" s="69"/>
      <c r="P2603" s="69"/>
      <c r="Q2603" s="69"/>
      <c r="R2603" s="69"/>
      <c r="S2603" s="69"/>
      <c r="T2603" s="69"/>
      <c r="U2603" s="69"/>
      <c r="V2603" s="69"/>
      <c r="W2603" s="69"/>
      <c r="X2603" s="69"/>
      <c r="Y2603" s="69"/>
      <c r="Z2603" s="69"/>
      <c r="AA2603" s="69"/>
      <c r="AB2603" s="69"/>
      <c r="AC2603" s="69"/>
      <c r="AD2603" s="69"/>
      <c r="AE2603" s="69"/>
    </row>
    <row r="2604" spans="1:31" ht="22.5" customHeight="1">
      <c r="A2604" s="69"/>
      <c r="B2604" s="69"/>
      <c r="C2604" s="69"/>
      <c r="D2604" s="69"/>
      <c r="E2604" s="185"/>
      <c r="F2604" s="69"/>
      <c r="G2604" s="185"/>
      <c r="H2604" s="69"/>
      <c r="I2604" s="69"/>
      <c r="J2604" s="69"/>
      <c r="K2604" s="69"/>
      <c r="L2604" s="69"/>
      <c r="M2604" s="69"/>
      <c r="N2604" s="69"/>
      <c r="O2604" s="69"/>
      <c r="P2604" s="69"/>
      <c r="Q2604" s="69"/>
      <c r="R2604" s="69"/>
      <c r="S2604" s="69"/>
      <c r="T2604" s="69"/>
      <c r="U2604" s="69"/>
      <c r="V2604" s="69"/>
      <c r="W2604" s="69"/>
      <c r="X2604" s="69"/>
      <c r="Y2604" s="69"/>
      <c r="Z2604" s="69"/>
      <c r="AA2604" s="69"/>
      <c r="AB2604" s="69"/>
      <c r="AC2604" s="69"/>
      <c r="AD2604" s="69"/>
      <c r="AE2604" s="69"/>
    </row>
    <row r="2605" spans="1:31" ht="22.5" customHeight="1">
      <c r="A2605" s="69"/>
      <c r="B2605" s="69"/>
      <c r="C2605" s="69"/>
      <c r="D2605" s="69"/>
      <c r="E2605" s="185"/>
      <c r="F2605" s="69"/>
      <c r="G2605" s="185"/>
      <c r="H2605" s="69"/>
      <c r="I2605" s="69"/>
      <c r="J2605" s="69"/>
      <c r="K2605" s="69"/>
      <c r="L2605" s="69"/>
      <c r="M2605" s="69"/>
      <c r="N2605" s="69"/>
      <c r="O2605" s="69"/>
      <c r="P2605" s="69"/>
      <c r="Q2605" s="69"/>
      <c r="R2605" s="69"/>
      <c r="S2605" s="69"/>
      <c r="T2605" s="69"/>
      <c r="U2605" s="69"/>
      <c r="V2605" s="69"/>
      <c r="W2605" s="69"/>
      <c r="X2605" s="69"/>
      <c r="Y2605" s="69"/>
      <c r="Z2605" s="69"/>
      <c r="AA2605" s="69"/>
      <c r="AB2605" s="69"/>
      <c r="AC2605" s="69"/>
      <c r="AD2605" s="69"/>
      <c r="AE2605" s="69"/>
    </row>
    <row r="2606" spans="1:31" ht="22.5" customHeight="1">
      <c r="A2606" s="69"/>
      <c r="B2606" s="69"/>
      <c r="C2606" s="69"/>
      <c r="D2606" s="69"/>
      <c r="E2606" s="185"/>
      <c r="F2606" s="69"/>
      <c r="G2606" s="185"/>
      <c r="H2606" s="69"/>
      <c r="I2606" s="69"/>
      <c r="J2606" s="69"/>
      <c r="K2606" s="69"/>
      <c r="L2606" s="69"/>
      <c r="M2606" s="69"/>
      <c r="N2606" s="69"/>
      <c r="O2606" s="69"/>
      <c r="P2606" s="69"/>
      <c r="Q2606" s="69"/>
      <c r="R2606" s="69"/>
      <c r="S2606" s="69"/>
      <c r="T2606" s="69"/>
      <c r="U2606" s="69"/>
      <c r="V2606" s="69"/>
      <c r="W2606" s="69"/>
      <c r="X2606" s="69"/>
      <c r="Y2606" s="69"/>
      <c r="Z2606" s="69"/>
      <c r="AA2606" s="69"/>
      <c r="AB2606" s="69"/>
      <c r="AC2606" s="69"/>
      <c r="AD2606" s="69"/>
      <c r="AE2606" s="69"/>
    </row>
    <row r="2607" spans="1:31" ht="22.5" customHeight="1">
      <c r="A2607" s="69"/>
      <c r="B2607" s="69"/>
      <c r="C2607" s="69"/>
      <c r="D2607" s="69"/>
      <c r="E2607" s="185"/>
      <c r="F2607" s="69"/>
      <c r="G2607" s="185"/>
      <c r="H2607" s="69"/>
      <c r="I2607" s="69"/>
      <c r="J2607" s="69"/>
      <c r="K2607" s="69"/>
      <c r="L2607" s="69"/>
      <c r="M2607" s="69"/>
      <c r="N2607" s="69"/>
      <c r="O2607" s="69"/>
      <c r="P2607" s="69"/>
      <c r="Q2607" s="69"/>
      <c r="R2607" s="69"/>
      <c r="S2607" s="69"/>
      <c r="T2607" s="69"/>
      <c r="U2607" s="69"/>
      <c r="V2607" s="69"/>
      <c r="W2607" s="69"/>
      <c r="X2607" s="69"/>
      <c r="Y2607" s="69"/>
      <c r="Z2607" s="69"/>
      <c r="AA2607" s="69"/>
      <c r="AB2607" s="69"/>
      <c r="AC2607" s="69"/>
      <c r="AD2607" s="69"/>
      <c r="AE2607" s="69"/>
    </row>
    <row r="2608" spans="1:31" ht="22.5" customHeight="1">
      <c r="A2608" s="69"/>
      <c r="B2608" s="69"/>
      <c r="C2608" s="69"/>
      <c r="D2608" s="69"/>
      <c r="E2608" s="185"/>
      <c r="F2608" s="69"/>
      <c r="G2608" s="185"/>
      <c r="H2608" s="69"/>
      <c r="I2608" s="69"/>
      <c r="J2608" s="69"/>
      <c r="K2608" s="69"/>
      <c r="L2608" s="69"/>
      <c r="M2608" s="69"/>
      <c r="N2608" s="69"/>
      <c r="O2608" s="69"/>
      <c r="P2608" s="69"/>
      <c r="Q2608" s="69"/>
      <c r="R2608" s="69"/>
      <c r="S2608" s="69"/>
      <c r="T2608" s="69"/>
      <c r="U2608" s="69"/>
      <c r="V2608" s="69"/>
      <c r="W2608" s="69"/>
      <c r="X2608" s="69"/>
      <c r="Y2608" s="69"/>
      <c r="Z2608" s="69"/>
      <c r="AA2608" s="69"/>
      <c r="AB2608" s="69"/>
      <c r="AC2608" s="69"/>
      <c r="AD2608" s="69"/>
      <c r="AE2608" s="69"/>
    </row>
    <row r="2609" spans="1:31" ht="22.5" customHeight="1">
      <c r="A2609" s="69"/>
      <c r="B2609" s="69"/>
      <c r="C2609" s="69"/>
      <c r="D2609" s="69"/>
      <c r="E2609" s="185"/>
      <c r="F2609" s="69"/>
      <c r="G2609" s="185"/>
      <c r="H2609" s="69"/>
      <c r="I2609" s="69"/>
      <c r="J2609" s="69"/>
      <c r="K2609" s="69"/>
      <c r="L2609" s="69"/>
      <c r="M2609" s="69"/>
      <c r="N2609" s="69"/>
      <c r="O2609" s="69"/>
      <c r="P2609" s="69"/>
      <c r="Q2609" s="69"/>
      <c r="R2609" s="69"/>
      <c r="S2609" s="69"/>
      <c r="T2609" s="69"/>
      <c r="U2609" s="69"/>
      <c r="V2609" s="69"/>
      <c r="W2609" s="69"/>
      <c r="X2609" s="69"/>
      <c r="Y2609" s="69"/>
      <c r="Z2609" s="69"/>
      <c r="AA2609" s="69"/>
      <c r="AB2609" s="69"/>
      <c r="AC2609" s="69"/>
      <c r="AD2609" s="69"/>
      <c r="AE2609" s="69"/>
    </row>
    <row r="2610" spans="1:31" ht="22.5" customHeight="1">
      <c r="A2610" s="69"/>
      <c r="B2610" s="69"/>
      <c r="C2610" s="69"/>
      <c r="D2610" s="69"/>
      <c r="E2610" s="185"/>
      <c r="F2610" s="69"/>
      <c r="G2610" s="185"/>
      <c r="H2610" s="69"/>
      <c r="I2610" s="69"/>
      <c r="J2610" s="69"/>
      <c r="K2610" s="69"/>
      <c r="L2610" s="69"/>
      <c r="M2610" s="69"/>
      <c r="N2610" s="69"/>
      <c r="O2610" s="69"/>
      <c r="P2610" s="69"/>
      <c r="Q2610" s="69"/>
      <c r="R2610" s="69"/>
      <c r="S2610" s="69"/>
      <c r="T2610" s="69"/>
      <c r="U2610" s="69"/>
      <c r="V2610" s="69"/>
      <c r="W2610" s="69"/>
      <c r="X2610" s="69"/>
      <c r="Y2610" s="69"/>
      <c r="Z2610" s="69"/>
      <c r="AA2610" s="69"/>
      <c r="AB2610" s="69"/>
      <c r="AC2610" s="69"/>
      <c r="AD2610" s="69"/>
      <c r="AE2610" s="69"/>
    </row>
    <row r="2611" spans="1:31" ht="22.5" customHeight="1">
      <c r="A2611" s="69"/>
      <c r="B2611" s="69"/>
      <c r="C2611" s="69"/>
      <c r="D2611" s="69"/>
      <c r="E2611" s="185"/>
      <c r="F2611" s="69"/>
      <c r="G2611" s="185"/>
      <c r="H2611" s="69"/>
      <c r="I2611" s="69"/>
      <c r="J2611" s="69"/>
      <c r="K2611" s="69"/>
      <c r="L2611" s="69"/>
      <c r="M2611" s="69"/>
      <c r="N2611" s="69"/>
      <c r="O2611" s="69"/>
      <c r="P2611" s="69"/>
      <c r="Q2611" s="69"/>
      <c r="R2611" s="69"/>
      <c r="S2611" s="69"/>
      <c r="T2611" s="69"/>
      <c r="U2611" s="69"/>
      <c r="V2611" s="69"/>
      <c r="W2611" s="69"/>
      <c r="X2611" s="69"/>
      <c r="Y2611" s="69"/>
      <c r="Z2611" s="69"/>
      <c r="AA2611" s="69"/>
      <c r="AB2611" s="69"/>
      <c r="AC2611" s="69"/>
      <c r="AD2611" s="69"/>
      <c r="AE2611" s="69"/>
    </row>
    <row r="2612" spans="1:31" ht="22.5" customHeight="1">
      <c r="A2612" s="69"/>
      <c r="B2612" s="69"/>
      <c r="C2612" s="69"/>
      <c r="D2612" s="69"/>
      <c r="E2612" s="185"/>
      <c r="F2612" s="69"/>
      <c r="G2612" s="185"/>
      <c r="H2612" s="69"/>
      <c r="I2612" s="69"/>
      <c r="J2612" s="69"/>
      <c r="K2612" s="69"/>
      <c r="L2612" s="69"/>
      <c r="M2612" s="69"/>
      <c r="N2612" s="69"/>
      <c r="O2612" s="69"/>
      <c r="P2612" s="69"/>
      <c r="Q2612" s="69"/>
      <c r="R2612" s="69"/>
      <c r="S2612" s="69"/>
      <c r="T2612" s="69"/>
      <c r="U2612" s="69"/>
      <c r="V2612" s="69"/>
      <c r="W2612" s="69"/>
      <c r="X2612" s="69"/>
      <c r="Y2612" s="69"/>
      <c r="Z2612" s="69"/>
      <c r="AA2612" s="69"/>
      <c r="AB2612" s="69"/>
      <c r="AC2612" s="69"/>
      <c r="AD2612" s="69"/>
      <c r="AE2612" s="69"/>
    </row>
    <row r="2613" spans="1:31" ht="22.5" customHeight="1">
      <c r="A2613" s="69"/>
      <c r="B2613" s="69"/>
      <c r="C2613" s="69"/>
      <c r="D2613" s="69"/>
      <c r="E2613" s="185"/>
      <c r="F2613" s="69"/>
      <c r="G2613" s="185"/>
      <c r="H2613" s="69"/>
      <c r="I2613" s="69"/>
      <c r="J2613" s="69"/>
      <c r="K2613" s="69"/>
      <c r="L2613" s="69"/>
      <c r="M2613" s="69"/>
      <c r="N2613" s="69"/>
      <c r="O2613" s="69"/>
      <c r="P2613" s="69"/>
      <c r="Q2613" s="69"/>
      <c r="R2613" s="69"/>
      <c r="S2613" s="69"/>
      <c r="T2613" s="69"/>
      <c r="U2613" s="69"/>
      <c r="V2613" s="69"/>
      <c r="W2613" s="69"/>
      <c r="X2613" s="69"/>
      <c r="Y2613" s="69"/>
      <c r="Z2613" s="69"/>
      <c r="AA2613" s="69"/>
      <c r="AB2613" s="69"/>
      <c r="AC2613" s="69"/>
      <c r="AD2613" s="69"/>
      <c r="AE2613" s="69"/>
    </row>
    <row r="2614" spans="1:31" ht="22.5" customHeight="1">
      <c r="A2614" s="69"/>
      <c r="B2614" s="69"/>
      <c r="C2614" s="69"/>
      <c r="D2614" s="69"/>
      <c r="E2614" s="185"/>
      <c r="F2614" s="69"/>
      <c r="G2614" s="185"/>
      <c r="H2614" s="69"/>
      <c r="I2614" s="69"/>
      <c r="J2614" s="69"/>
      <c r="K2614" s="69"/>
      <c r="L2614" s="69"/>
      <c r="M2614" s="69"/>
      <c r="N2614" s="69"/>
      <c r="O2614" s="69"/>
      <c r="P2614" s="69"/>
      <c r="Q2614" s="69"/>
      <c r="R2614" s="69"/>
      <c r="S2614" s="69"/>
      <c r="T2614" s="69"/>
      <c r="U2614" s="69"/>
      <c r="V2614" s="69"/>
      <c r="W2614" s="69"/>
      <c r="X2614" s="69"/>
      <c r="Y2614" s="69"/>
      <c r="Z2614" s="69"/>
      <c r="AA2614" s="69"/>
      <c r="AB2614" s="69"/>
      <c r="AC2614" s="69"/>
      <c r="AD2614" s="69"/>
      <c r="AE2614" s="69"/>
    </row>
    <row r="2615" spans="1:31" ht="22.5" customHeight="1">
      <c r="A2615" s="69"/>
      <c r="B2615" s="69"/>
      <c r="C2615" s="69"/>
      <c r="D2615" s="69"/>
      <c r="E2615" s="185"/>
      <c r="F2615" s="69"/>
      <c r="G2615" s="185"/>
      <c r="H2615" s="69"/>
      <c r="I2615" s="69"/>
      <c r="J2615" s="69"/>
      <c r="K2615" s="69"/>
      <c r="L2615" s="69"/>
      <c r="M2615" s="69"/>
      <c r="N2615" s="69"/>
      <c r="O2615" s="69"/>
      <c r="P2615" s="69"/>
      <c r="Q2615" s="69"/>
      <c r="R2615" s="69"/>
      <c r="S2615" s="69"/>
      <c r="T2615" s="69"/>
      <c r="U2615" s="69"/>
      <c r="V2615" s="69"/>
      <c r="W2615" s="69"/>
      <c r="X2615" s="69"/>
      <c r="Y2615" s="69"/>
      <c r="Z2615" s="69"/>
      <c r="AA2615" s="69"/>
      <c r="AB2615" s="69"/>
      <c r="AC2615" s="69"/>
      <c r="AD2615" s="69"/>
      <c r="AE2615" s="69"/>
    </row>
    <row r="2616" spans="1:31" ht="22.5" customHeight="1">
      <c r="A2616" s="69"/>
      <c r="B2616" s="69"/>
      <c r="C2616" s="69"/>
      <c r="D2616" s="69"/>
      <c r="E2616" s="185"/>
      <c r="F2616" s="69"/>
      <c r="G2616" s="185"/>
      <c r="H2616" s="69"/>
      <c r="I2616" s="69"/>
      <c r="J2616" s="69"/>
      <c r="K2616" s="69"/>
      <c r="L2616" s="69"/>
      <c r="M2616" s="69"/>
      <c r="N2616" s="69"/>
      <c r="O2616" s="69"/>
      <c r="P2616" s="69"/>
      <c r="Q2616" s="69"/>
      <c r="R2616" s="69"/>
      <c r="S2616" s="69"/>
      <c r="T2616" s="69"/>
      <c r="U2616" s="69"/>
      <c r="V2616" s="69"/>
      <c r="W2616" s="69"/>
      <c r="X2616" s="69"/>
      <c r="Y2616" s="69"/>
      <c r="Z2616" s="69"/>
      <c r="AA2616" s="69"/>
      <c r="AB2616" s="69"/>
      <c r="AC2616" s="69"/>
      <c r="AD2616" s="69"/>
      <c r="AE2616" s="69"/>
    </row>
    <row r="2617" spans="1:31" ht="22.5" customHeight="1">
      <c r="A2617" s="69"/>
      <c r="B2617" s="69"/>
      <c r="C2617" s="69"/>
      <c r="D2617" s="69"/>
      <c r="E2617" s="185"/>
      <c r="F2617" s="69"/>
      <c r="G2617" s="185"/>
      <c r="H2617" s="69"/>
      <c r="I2617" s="69"/>
      <c r="J2617" s="69"/>
      <c r="K2617" s="69"/>
      <c r="L2617" s="69"/>
      <c r="M2617" s="69"/>
      <c r="N2617" s="69"/>
      <c r="O2617" s="69"/>
      <c r="P2617" s="69"/>
      <c r="Q2617" s="69"/>
      <c r="R2617" s="69"/>
      <c r="S2617" s="69"/>
      <c r="T2617" s="69"/>
      <c r="U2617" s="69"/>
      <c r="V2617" s="69"/>
      <c r="W2617" s="69"/>
      <c r="X2617" s="69"/>
      <c r="Y2617" s="69"/>
      <c r="Z2617" s="69"/>
      <c r="AA2617" s="69"/>
      <c r="AB2617" s="69"/>
      <c r="AC2617" s="69"/>
      <c r="AD2617" s="69"/>
      <c r="AE2617" s="69"/>
    </row>
    <row r="2618" spans="1:31" ht="22.5" customHeight="1">
      <c r="A2618" s="69"/>
      <c r="B2618" s="69"/>
      <c r="C2618" s="69"/>
      <c r="D2618" s="69"/>
      <c r="E2618" s="185"/>
      <c r="F2618" s="69"/>
      <c r="G2618" s="185"/>
      <c r="H2618" s="69"/>
      <c r="I2618" s="69"/>
      <c r="J2618" s="69"/>
      <c r="K2618" s="69"/>
      <c r="L2618" s="69"/>
      <c r="M2618" s="69"/>
      <c r="N2618" s="69"/>
      <c r="O2618" s="69"/>
      <c r="P2618" s="69"/>
      <c r="Q2618" s="69"/>
      <c r="R2618" s="69"/>
      <c r="S2618" s="69"/>
      <c r="T2618" s="69"/>
      <c r="U2618" s="69"/>
      <c r="V2618" s="69"/>
      <c r="W2618" s="69"/>
      <c r="X2618" s="69"/>
      <c r="Y2618" s="69"/>
      <c r="Z2618" s="69"/>
      <c r="AA2618" s="69"/>
      <c r="AB2618" s="69"/>
      <c r="AC2618" s="69"/>
      <c r="AD2618" s="69"/>
      <c r="AE2618" s="69"/>
    </row>
    <row r="2619" spans="1:31" ht="22.5" customHeight="1">
      <c r="A2619" s="69"/>
      <c r="B2619" s="69"/>
      <c r="C2619" s="69"/>
      <c r="D2619" s="69"/>
      <c r="E2619" s="185"/>
      <c r="F2619" s="69"/>
      <c r="G2619" s="185"/>
      <c r="H2619" s="69"/>
      <c r="I2619" s="69"/>
      <c r="J2619" s="69"/>
      <c r="K2619" s="69"/>
      <c r="L2619" s="69"/>
      <c r="M2619" s="69"/>
      <c r="N2619" s="69"/>
      <c r="O2619" s="69"/>
      <c r="P2619" s="69"/>
      <c r="Q2619" s="69"/>
      <c r="R2619" s="69"/>
      <c r="S2619" s="69"/>
      <c r="T2619" s="69"/>
      <c r="U2619" s="69"/>
      <c r="V2619" s="69"/>
      <c r="W2619" s="69"/>
      <c r="X2619" s="69"/>
      <c r="Y2619" s="69"/>
      <c r="Z2619" s="69"/>
      <c r="AA2619" s="69"/>
      <c r="AB2619" s="69"/>
      <c r="AC2619" s="69"/>
      <c r="AD2619" s="69"/>
      <c r="AE2619" s="69"/>
    </row>
    <row r="2620" spans="1:31" ht="22.5" customHeight="1">
      <c r="A2620" s="69"/>
      <c r="B2620" s="69"/>
      <c r="C2620" s="69"/>
      <c r="D2620" s="69"/>
      <c r="E2620" s="185"/>
      <c r="F2620" s="69"/>
      <c r="G2620" s="185"/>
      <c r="H2620" s="69"/>
      <c r="I2620" s="69"/>
      <c r="J2620" s="69"/>
      <c r="K2620" s="69"/>
      <c r="L2620" s="69"/>
      <c r="M2620" s="69"/>
      <c r="N2620" s="69"/>
      <c r="O2620" s="69"/>
      <c r="P2620" s="69"/>
      <c r="Q2620" s="69"/>
      <c r="R2620" s="69"/>
      <c r="S2620" s="69"/>
      <c r="T2620" s="69"/>
      <c r="U2620" s="69"/>
      <c r="V2620" s="69"/>
      <c r="W2620" s="69"/>
      <c r="X2620" s="69"/>
      <c r="Y2620" s="69"/>
      <c r="Z2620" s="69"/>
      <c r="AA2620" s="69"/>
      <c r="AB2620" s="69"/>
      <c r="AC2620" s="69"/>
      <c r="AD2620" s="69"/>
      <c r="AE2620" s="69"/>
    </row>
    <row r="2621" spans="1:31" ht="22.5" customHeight="1">
      <c r="A2621" s="69"/>
      <c r="B2621" s="69"/>
      <c r="C2621" s="69"/>
      <c r="D2621" s="69"/>
      <c r="E2621" s="185"/>
      <c r="F2621" s="69"/>
      <c r="G2621" s="185"/>
      <c r="H2621" s="69"/>
      <c r="I2621" s="69"/>
      <c r="J2621" s="69"/>
      <c r="K2621" s="69"/>
      <c r="L2621" s="69"/>
      <c r="M2621" s="69"/>
      <c r="N2621" s="69"/>
      <c r="O2621" s="69"/>
      <c r="P2621" s="69"/>
      <c r="Q2621" s="69"/>
      <c r="R2621" s="69"/>
      <c r="S2621" s="69"/>
      <c r="T2621" s="69"/>
      <c r="U2621" s="69"/>
      <c r="V2621" s="69"/>
      <c r="W2621" s="69"/>
      <c r="X2621" s="69"/>
      <c r="Y2621" s="69"/>
      <c r="Z2621" s="69"/>
      <c r="AA2621" s="69"/>
      <c r="AB2621" s="69"/>
      <c r="AC2621" s="69"/>
      <c r="AD2621" s="69"/>
      <c r="AE2621" s="69"/>
    </row>
    <row r="2622" spans="1:31" ht="22.5" customHeight="1">
      <c r="A2622" s="69"/>
      <c r="B2622" s="69"/>
      <c r="C2622" s="69"/>
      <c r="D2622" s="69"/>
      <c r="E2622" s="185"/>
      <c r="F2622" s="69"/>
      <c r="G2622" s="185"/>
      <c r="H2622" s="69"/>
      <c r="I2622" s="69"/>
      <c r="J2622" s="69"/>
      <c r="K2622" s="69"/>
      <c r="L2622" s="69"/>
      <c r="M2622" s="69"/>
      <c r="N2622" s="69"/>
      <c r="O2622" s="69"/>
      <c r="P2622" s="69"/>
      <c r="Q2622" s="69"/>
      <c r="R2622" s="69"/>
      <c r="S2622" s="69"/>
      <c r="T2622" s="69"/>
      <c r="U2622" s="69"/>
      <c r="V2622" s="69"/>
      <c r="W2622" s="69"/>
      <c r="X2622" s="69"/>
      <c r="Y2622" s="69"/>
      <c r="Z2622" s="69"/>
      <c r="AA2622" s="69"/>
      <c r="AB2622" s="69"/>
      <c r="AC2622" s="69"/>
      <c r="AD2622" s="69"/>
      <c r="AE2622" s="69"/>
    </row>
    <row r="2623" spans="1:31" ht="22.5" customHeight="1">
      <c r="A2623" s="69"/>
      <c r="B2623" s="69"/>
      <c r="C2623" s="69"/>
      <c r="D2623" s="69"/>
      <c r="E2623" s="185"/>
      <c r="F2623" s="69"/>
      <c r="G2623" s="185"/>
      <c r="H2623" s="69"/>
      <c r="I2623" s="69"/>
      <c r="J2623" s="69"/>
      <c r="K2623" s="69"/>
      <c r="L2623" s="69"/>
      <c r="M2623" s="69"/>
      <c r="N2623" s="69"/>
      <c r="O2623" s="69"/>
      <c r="P2623" s="69"/>
      <c r="Q2623" s="69"/>
      <c r="R2623" s="69"/>
      <c r="S2623" s="69"/>
      <c r="T2623" s="69"/>
      <c r="U2623" s="69"/>
      <c r="V2623" s="69"/>
      <c r="W2623" s="69"/>
      <c r="X2623" s="69"/>
      <c r="Y2623" s="69"/>
      <c r="Z2623" s="69"/>
      <c r="AA2623" s="69"/>
      <c r="AB2623" s="69"/>
      <c r="AC2623" s="69"/>
      <c r="AD2623" s="69"/>
      <c r="AE2623" s="69"/>
    </row>
    <row r="2624" spans="1:31" ht="22.5" customHeight="1">
      <c r="A2624" s="69"/>
      <c r="B2624" s="69"/>
      <c r="C2624" s="69"/>
      <c r="D2624" s="69"/>
      <c r="E2624" s="185"/>
      <c r="F2624" s="69"/>
      <c r="G2624" s="185"/>
      <c r="H2624" s="69"/>
      <c r="I2624" s="69"/>
      <c r="J2624" s="69"/>
      <c r="K2624" s="69"/>
      <c r="L2624" s="69"/>
      <c r="M2624" s="69"/>
      <c r="N2624" s="69"/>
      <c r="O2624" s="69"/>
      <c r="P2624" s="69"/>
      <c r="Q2624" s="69"/>
      <c r="R2624" s="69"/>
      <c r="S2624" s="69"/>
      <c r="T2624" s="69"/>
      <c r="U2624" s="69"/>
      <c r="V2624" s="69"/>
      <c r="W2624" s="69"/>
      <c r="X2624" s="69"/>
      <c r="Y2624" s="69"/>
      <c r="Z2624" s="69"/>
      <c r="AA2624" s="69"/>
      <c r="AB2624" s="69"/>
      <c r="AC2624" s="69"/>
      <c r="AD2624" s="69"/>
      <c r="AE2624" s="69"/>
    </row>
    <row r="2625" spans="1:31" ht="22.5" customHeight="1">
      <c r="A2625" s="69"/>
      <c r="B2625" s="69"/>
      <c r="C2625" s="69"/>
      <c r="D2625" s="69"/>
      <c r="E2625" s="185"/>
      <c r="F2625" s="69"/>
      <c r="G2625" s="185"/>
      <c r="H2625" s="69"/>
      <c r="I2625" s="69"/>
      <c r="J2625" s="69"/>
      <c r="K2625" s="69"/>
      <c r="L2625" s="69"/>
      <c r="M2625" s="69"/>
      <c r="N2625" s="69"/>
      <c r="O2625" s="69"/>
      <c r="P2625" s="69"/>
      <c r="Q2625" s="69"/>
      <c r="R2625" s="69"/>
      <c r="S2625" s="69"/>
      <c r="T2625" s="69"/>
      <c r="U2625" s="69"/>
      <c r="V2625" s="69"/>
      <c r="W2625" s="69"/>
      <c r="X2625" s="69"/>
      <c r="Y2625" s="69"/>
      <c r="Z2625" s="69"/>
      <c r="AA2625" s="69"/>
      <c r="AB2625" s="69"/>
      <c r="AC2625" s="69"/>
      <c r="AD2625" s="69"/>
      <c r="AE2625" s="69"/>
    </row>
    <row r="2626" spans="1:31" ht="22.5" customHeight="1">
      <c r="A2626" s="69"/>
      <c r="B2626" s="69"/>
      <c r="C2626" s="69"/>
      <c r="D2626" s="69"/>
      <c r="E2626" s="185"/>
      <c r="F2626" s="69"/>
      <c r="G2626" s="185"/>
      <c r="H2626" s="69"/>
      <c r="I2626" s="69"/>
      <c r="J2626" s="69"/>
      <c r="K2626" s="69"/>
      <c r="L2626" s="69"/>
      <c r="M2626" s="69"/>
      <c r="N2626" s="69"/>
      <c r="O2626" s="69"/>
      <c r="P2626" s="69"/>
      <c r="Q2626" s="69"/>
      <c r="R2626" s="69"/>
      <c r="S2626" s="69"/>
      <c r="T2626" s="69"/>
      <c r="U2626" s="69"/>
      <c r="V2626" s="69"/>
      <c r="W2626" s="69"/>
      <c r="X2626" s="69"/>
      <c r="Y2626" s="69"/>
      <c r="Z2626" s="69"/>
      <c r="AA2626" s="69"/>
      <c r="AB2626" s="69"/>
      <c r="AC2626" s="69"/>
      <c r="AD2626" s="69"/>
      <c r="AE2626" s="69"/>
    </row>
    <row r="2627" spans="1:31" ht="22.5" customHeight="1">
      <c r="A2627" s="69"/>
      <c r="B2627" s="69"/>
      <c r="C2627" s="69"/>
      <c r="D2627" s="69"/>
      <c r="E2627" s="185"/>
      <c r="F2627" s="69"/>
      <c r="G2627" s="185"/>
      <c r="H2627" s="69"/>
      <c r="I2627" s="69"/>
      <c r="J2627" s="69"/>
      <c r="K2627" s="69"/>
      <c r="L2627" s="69"/>
      <c r="M2627" s="69"/>
      <c r="N2627" s="69"/>
      <c r="O2627" s="69"/>
      <c r="P2627" s="69"/>
      <c r="Q2627" s="69"/>
      <c r="R2627" s="69"/>
      <c r="S2627" s="69"/>
      <c r="T2627" s="69"/>
      <c r="U2627" s="69"/>
      <c r="V2627" s="69"/>
      <c r="W2627" s="69"/>
      <c r="X2627" s="69"/>
      <c r="Y2627" s="69"/>
      <c r="Z2627" s="69"/>
      <c r="AA2627" s="69"/>
      <c r="AB2627" s="69"/>
      <c r="AC2627" s="69"/>
      <c r="AD2627" s="69"/>
      <c r="AE2627" s="69"/>
    </row>
    <row r="2628" spans="1:31" ht="22.5" customHeight="1">
      <c r="A2628" s="69"/>
      <c r="B2628" s="69"/>
      <c r="C2628" s="69"/>
      <c r="D2628" s="69"/>
      <c r="E2628" s="185"/>
      <c r="F2628" s="69"/>
      <c r="G2628" s="185"/>
      <c r="H2628" s="69"/>
      <c r="I2628" s="69"/>
      <c r="J2628" s="69"/>
      <c r="K2628" s="69"/>
      <c r="L2628" s="69"/>
      <c r="M2628" s="69"/>
      <c r="N2628" s="69"/>
      <c r="O2628" s="69"/>
      <c r="P2628" s="69"/>
      <c r="Q2628" s="69"/>
      <c r="R2628" s="69"/>
      <c r="S2628" s="69"/>
      <c r="T2628" s="69"/>
      <c r="U2628" s="69"/>
      <c r="V2628" s="69"/>
      <c r="W2628" s="69"/>
      <c r="X2628" s="69"/>
      <c r="Y2628" s="69"/>
      <c r="Z2628" s="69"/>
      <c r="AA2628" s="69"/>
      <c r="AB2628" s="69"/>
      <c r="AC2628" s="69"/>
      <c r="AD2628" s="69"/>
      <c r="AE2628" s="69"/>
    </row>
    <row r="2629" spans="1:31" ht="22.5" customHeight="1">
      <c r="A2629" s="69"/>
      <c r="B2629" s="69"/>
      <c r="C2629" s="69"/>
      <c r="D2629" s="69"/>
      <c r="E2629" s="185"/>
      <c r="F2629" s="69"/>
      <c r="G2629" s="185"/>
      <c r="H2629" s="69"/>
      <c r="I2629" s="69"/>
      <c r="J2629" s="69"/>
      <c r="K2629" s="69"/>
      <c r="L2629" s="69"/>
      <c r="M2629" s="69"/>
      <c r="N2629" s="69"/>
      <c r="O2629" s="69"/>
      <c r="P2629" s="69"/>
      <c r="Q2629" s="69"/>
      <c r="R2629" s="69"/>
      <c r="S2629" s="69"/>
      <c r="T2629" s="69"/>
      <c r="U2629" s="69"/>
      <c r="V2629" s="69"/>
      <c r="W2629" s="69"/>
      <c r="X2629" s="69"/>
      <c r="Y2629" s="69"/>
      <c r="Z2629" s="69"/>
      <c r="AA2629" s="69"/>
      <c r="AB2629" s="69"/>
      <c r="AC2629" s="69"/>
      <c r="AD2629" s="69"/>
      <c r="AE2629" s="69"/>
    </row>
    <row r="2630" spans="1:31" ht="22.5" customHeight="1">
      <c r="A2630" s="69"/>
      <c r="B2630" s="69"/>
      <c r="C2630" s="69"/>
      <c r="D2630" s="69"/>
      <c r="E2630" s="185"/>
      <c r="F2630" s="69"/>
      <c r="G2630" s="185"/>
      <c r="H2630" s="69"/>
      <c r="I2630" s="69"/>
      <c r="J2630" s="69"/>
      <c r="K2630" s="69"/>
      <c r="L2630" s="69"/>
      <c r="M2630" s="69"/>
      <c r="N2630" s="69"/>
      <c r="O2630" s="69"/>
      <c r="P2630" s="69"/>
      <c r="Q2630" s="69"/>
      <c r="R2630" s="69"/>
      <c r="S2630" s="69"/>
      <c r="T2630" s="69"/>
      <c r="U2630" s="69"/>
      <c r="V2630" s="69"/>
      <c r="W2630" s="69"/>
      <c r="X2630" s="69"/>
      <c r="Y2630" s="69"/>
      <c r="Z2630" s="69"/>
      <c r="AA2630" s="69"/>
      <c r="AB2630" s="69"/>
      <c r="AC2630" s="69"/>
      <c r="AD2630" s="69"/>
      <c r="AE2630" s="69"/>
    </row>
    <row r="2631" spans="1:31" ht="22.5" customHeight="1">
      <c r="A2631" s="69"/>
      <c r="B2631" s="69"/>
      <c r="C2631" s="69"/>
      <c r="D2631" s="69"/>
      <c r="E2631" s="185"/>
      <c r="F2631" s="69"/>
      <c r="G2631" s="185"/>
      <c r="H2631" s="69"/>
      <c r="I2631" s="69"/>
      <c r="J2631" s="69"/>
      <c r="K2631" s="69"/>
      <c r="L2631" s="69"/>
      <c r="M2631" s="69"/>
      <c r="N2631" s="69"/>
      <c r="O2631" s="69"/>
      <c r="P2631" s="69"/>
      <c r="Q2631" s="69"/>
      <c r="R2631" s="69"/>
      <c r="S2631" s="69"/>
      <c r="T2631" s="69"/>
      <c r="U2631" s="69"/>
      <c r="V2631" s="69"/>
      <c r="W2631" s="69"/>
      <c r="X2631" s="69"/>
      <c r="Y2631" s="69"/>
      <c r="Z2631" s="69"/>
      <c r="AA2631" s="69"/>
      <c r="AB2631" s="69"/>
      <c r="AC2631" s="69"/>
      <c r="AD2631" s="69"/>
      <c r="AE2631" s="69"/>
    </row>
    <row r="2632" spans="1:31" ht="22.5" customHeight="1">
      <c r="A2632" s="69"/>
      <c r="B2632" s="69"/>
      <c r="C2632" s="69"/>
      <c r="D2632" s="69"/>
      <c r="E2632" s="185"/>
      <c r="F2632" s="69"/>
      <c r="G2632" s="185"/>
      <c r="H2632" s="69"/>
      <c r="I2632" s="69"/>
      <c r="J2632" s="69"/>
      <c r="K2632" s="69"/>
      <c r="L2632" s="69"/>
      <c r="M2632" s="69"/>
      <c r="N2632" s="69"/>
      <c r="O2632" s="69"/>
      <c r="P2632" s="69"/>
      <c r="Q2632" s="69"/>
      <c r="R2632" s="69"/>
      <c r="S2632" s="69"/>
      <c r="T2632" s="69"/>
      <c r="U2632" s="69"/>
      <c r="V2632" s="69"/>
      <c r="W2632" s="69"/>
      <c r="X2632" s="69"/>
      <c r="Y2632" s="69"/>
      <c r="Z2632" s="69"/>
      <c r="AA2632" s="69"/>
      <c r="AB2632" s="69"/>
      <c r="AC2632" s="69"/>
      <c r="AD2632" s="69"/>
      <c r="AE2632" s="69"/>
    </row>
    <row r="2633" spans="1:31" ht="22.5" customHeight="1">
      <c r="A2633" s="69"/>
      <c r="B2633" s="69"/>
      <c r="C2633" s="69"/>
      <c r="D2633" s="69"/>
      <c r="E2633" s="185"/>
      <c r="F2633" s="69"/>
      <c r="G2633" s="185"/>
      <c r="H2633" s="69"/>
      <c r="I2633" s="69"/>
      <c r="J2633" s="69"/>
      <c r="K2633" s="69"/>
      <c r="L2633" s="69"/>
      <c r="M2633" s="69"/>
      <c r="N2633" s="69"/>
      <c r="O2633" s="69"/>
      <c r="P2633" s="69"/>
      <c r="Q2633" s="69"/>
      <c r="R2633" s="69"/>
      <c r="S2633" s="69"/>
      <c r="T2633" s="69"/>
      <c r="U2633" s="69"/>
      <c r="V2633" s="69"/>
      <c r="W2633" s="69"/>
      <c r="X2633" s="69"/>
      <c r="Y2633" s="69"/>
      <c r="Z2633" s="69"/>
      <c r="AA2633" s="69"/>
      <c r="AB2633" s="69"/>
      <c r="AC2633" s="69"/>
      <c r="AD2633" s="69"/>
      <c r="AE2633" s="69"/>
    </row>
    <row r="2634" spans="1:31" ht="22.5" customHeight="1">
      <c r="A2634" s="69"/>
      <c r="B2634" s="69"/>
      <c r="C2634" s="69"/>
      <c r="D2634" s="69"/>
      <c r="E2634" s="185"/>
      <c r="F2634" s="69"/>
      <c r="G2634" s="185"/>
      <c r="H2634" s="69"/>
      <c r="I2634" s="69"/>
      <c r="J2634" s="69"/>
      <c r="K2634" s="69"/>
      <c r="L2634" s="69"/>
      <c r="M2634" s="69"/>
      <c r="N2634" s="69"/>
      <c r="O2634" s="69"/>
      <c r="P2634" s="69"/>
      <c r="Q2634" s="69"/>
      <c r="R2634" s="69"/>
      <c r="S2634" s="69"/>
      <c r="T2634" s="69"/>
      <c r="U2634" s="69"/>
      <c r="V2634" s="69"/>
      <c r="W2634" s="69"/>
      <c r="X2634" s="69"/>
      <c r="Y2634" s="69"/>
      <c r="Z2634" s="69"/>
      <c r="AA2634" s="69"/>
      <c r="AB2634" s="69"/>
      <c r="AC2634" s="69"/>
      <c r="AD2634" s="69"/>
      <c r="AE2634" s="69"/>
    </row>
    <row r="2635" spans="1:31" ht="22.5" customHeight="1">
      <c r="A2635" s="69"/>
      <c r="B2635" s="69"/>
      <c r="C2635" s="69"/>
      <c r="D2635" s="69"/>
      <c r="E2635" s="185"/>
      <c r="F2635" s="69"/>
      <c r="G2635" s="185"/>
      <c r="H2635" s="69"/>
      <c r="I2635" s="69"/>
      <c r="J2635" s="69"/>
      <c r="K2635" s="69"/>
      <c r="L2635" s="69"/>
      <c r="M2635" s="69"/>
      <c r="N2635" s="69"/>
      <c r="O2635" s="69"/>
      <c r="P2635" s="69"/>
      <c r="Q2635" s="69"/>
      <c r="R2635" s="69"/>
      <c r="S2635" s="69"/>
      <c r="T2635" s="69"/>
      <c r="U2635" s="69"/>
      <c r="V2635" s="69"/>
      <c r="W2635" s="69"/>
      <c r="X2635" s="69"/>
      <c r="Y2635" s="69"/>
      <c r="Z2635" s="69"/>
      <c r="AA2635" s="69"/>
      <c r="AB2635" s="69"/>
      <c r="AC2635" s="69"/>
      <c r="AD2635" s="69"/>
      <c r="AE2635" s="69"/>
    </row>
    <row r="2636" spans="1:31" ht="22.5" customHeight="1">
      <c r="A2636" s="69"/>
      <c r="B2636" s="69"/>
      <c r="C2636" s="69"/>
      <c r="D2636" s="69"/>
      <c r="E2636" s="185"/>
      <c r="F2636" s="69"/>
      <c r="G2636" s="185"/>
      <c r="H2636" s="69"/>
      <c r="I2636" s="69"/>
      <c r="J2636" s="69"/>
      <c r="K2636" s="69"/>
      <c r="L2636" s="69"/>
      <c r="M2636" s="69"/>
      <c r="N2636" s="69"/>
      <c r="O2636" s="69"/>
      <c r="P2636" s="69"/>
      <c r="Q2636" s="69"/>
      <c r="R2636" s="69"/>
      <c r="S2636" s="69"/>
      <c r="T2636" s="69"/>
      <c r="U2636" s="69"/>
      <c r="V2636" s="69"/>
      <c r="W2636" s="69"/>
      <c r="X2636" s="69"/>
      <c r="Y2636" s="69"/>
      <c r="Z2636" s="69"/>
      <c r="AA2636" s="69"/>
      <c r="AB2636" s="69"/>
      <c r="AC2636" s="69"/>
      <c r="AD2636" s="69"/>
      <c r="AE2636" s="69"/>
    </row>
    <row r="2637" spans="1:31" ht="22.5" customHeight="1">
      <c r="A2637" s="69"/>
      <c r="B2637" s="69"/>
      <c r="C2637" s="69"/>
      <c r="D2637" s="69"/>
      <c r="E2637" s="185"/>
      <c r="F2637" s="69"/>
      <c r="G2637" s="185"/>
      <c r="H2637" s="69"/>
      <c r="I2637" s="69"/>
      <c r="J2637" s="69"/>
      <c r="K2637" s="69"/>
      <c r="L2637" s="69"/>
      <c r="M2637" s="69"/>
      <c r="N2637" s="69"/>
      <c r="O2637" s="69"/>
      <c r="P2637" s="69"/>
      <c r="Q2637" s="69"/>
      <c r="R2637" s="69"/>
      <c r="S2637" s="69"/>
      <c r="T2637" s="69"/>
      <c r="U2637" s="69"/>
      <c r="V2637" s="69"/>
      <c r="W2637" s="69"/>
      <c r="X2637" s="69"/>
      <c r="Y2637" s="69"/>
      <c r="Z2637" s="69"/>
      <c r="AA2637" s="69"/>
      <c r="AB2637" s="69"/>
      <c r="AC2637" s="69"/>
      <c r="AD2637" s="69"/>
      <c r="AE2637" s="69"/>
    </row>
    <row r="2638" spans="1:31" ht="22.5" customHeight="1">
      <c r="A2638" s="69"/>
      <c r="B2638" s="69"/>
      <c r="C2638" s="69"/>
      <c r="D2638" s="69"/>
      <c r="E2638" s="185"/>
      <c r="F2638" s="69"/>
      <c r="G2638" s="185"/>
      <c r="H2638" s="69"/>
      <c r="I2638" s="69"/>
      <c r="J2638" s="69"/>
      <c r="K2638" s="69"/>
      <c r="L2638" s="69"/>
      <c r="M2638" s="69"/>
      <c r="N2638" s="69"/>
      <c r="O2638" s="69"/>
      <c r="P2638" s="69"/>
      <c r="Q2638" s="69"/>
      <c r="R2638" s="69"/>
      <c r="S2638" s="69"/>
      <c r="T2638" s="69"/>
      <c r="U2638" s="69"/>
      <c r="V2638" s="69"/>
      <c r="W2638" s="69"/>
      <c r="X2638" s="69"/>
      <c r="Y2638" s="69"/>
      <c r="Z2638" s="69"/>
      <c r="AA2638" s="69"/>
      <c r="AB2638" s="69"/>
      <c r="AC2638" s="69"/>
      <c r="AD2638" s="69"/>
      <c r="AE2638" s="69"/>
    </row>
    <row r="2639" spans="1:31" ht="22.5" customHeight="1">
      <c r="A2639" s="69"/>
      <c r="B2639" s="69"/>
      <c r="C2639" s="69"/>
      <c r="D2639" s="69"/>
      <c r="E2639" s="185"/>
      <c r="F2639" s="69"/>
      <c r="G2639" s="185"/>
      <c r="H2639" s="69"/>
      <c r="I2639" s="69"/>
      <c r="J2639" s="69"/>
      <c r="K2639" s="69"/>
      <c r="L2639" s="69"/>
      <c r="M2639" s="69"/>
      <c r="N2639" s="69"/>
      <c r="O2639" s="69"/>
      <c r="P2639" s="69"/>
      <c r="Q2639" s="69"/>
      <c r="R2639" s="69"/>
      <c r="S2639" s="69"/>
      <c r="T2639" s="69"/>
      <c r="U2639" s="69"/>
      <c r="V2639" s="69"/>
      <c r="W2639" s="69"/>
      <c r="X2639" s="69"/>
      <c r="Y2639" s="69"/>
      <c r="Z2639" s="69"/>
      <c r="AA2639" s="69"/>
      <c r="AB2639" s="69"/>
      <c r="AC2639" s="69"/>
      <c r="AD2639" s="69"/>
      <c r="AE2639" s="69"/>
    </row>
    <row r="2640" spans="1:31" ht="22.5" customHeight="1">
      <c r="A2640" s="69"/>
      <c r="B2640" s="69"/>
      <c r="C2640" s="69"/>
      <c r="D2640" s="69"/>
      <c r="E2640" s="185"/>
      <c r="F2640" s="69"/>
      <c r="G2640" s="185"/>
      <c r="H2640" s="69"/>
      <c r="I2640" s="69"/>
      <c r="J2640" s="69"/>
      <c r="K2640" s="69"/>
      <c r="L2640" s="69"/>
      <c r="M2640" s="69"/>
      <c r="N2640" s="69"/>
      <c r="O2640" s="69"/>
      <c r="P2640" s="69"/>
      <c r="Q2640" s="69"/>
      <c r="R2640" s="69"/>
      <c r="S2640" s="69"/>
      <c r="T2640" s="69"/>
      <c r="U2640" s="69"/>
      <c r="V2640" s="69"/>
      <c r="W2640" s="69"/>
      <c r="X2640" s="69"/>
      <c r="Y2640" s="69"/>
      <c r="Z2640" s="69"/>
      <c r="AA2640" s="69"/>
      <c r="AB2640" s="69"/>
      <c r="AC2640" s="69"/>
      <c r="AD2640" s="69"/>
      <c r="AE2640" s="69"/>
    </row>
    <row r="2641" spans="1:31" ht="22.5" customHeight="1">
      <c r="A2641" s="69"/>
      <c r="B2641" s="69"/>
      <c r="C2641" s="69"/>
      <c r="D2641" s="69"/>
      <c r="E2641" s="185"/>
      <c r="F2641" s="69"/>
      <c r="G2641" s="185"/>
      <c r="H2641" s="69"/>
      <c r="I2641" s="69"/>
      <c r="J2641" s="69"/>
      <c r="K2641" s="69"/>
      <c r="L2641" s="69"/>
      <c r="M2641" s="69"/>
      <c r="N2641" s="69"/>
      <c r="O2641" s="69"/>
      <c r="P2641" s="69"/>
      <c r="Q2641" s="69"/>
      <c r="R2641" s="69"/>
      <c r="S2641" s="69"/>
      <c r="T2641" s="69"/>
      <c r="U2641" s="69"/>
      <c r="V2641" s="69"/>
      <c r="W2641" s="69"/>
      <c r="X2641" s="69"/>
      <c r="Y2641" s="69"/>
      <c r="Z2641" s="69"/>
      <c r="AA2641" s="69"/>
      <c r="AB2641" s="69"/>
      <c r="AC2641" s="69"/>
      <c r="AD2641" s="69"/>
      <c r="AE2641" s="69"/>
    </row>
    <row r="2642" spans="1:31" ht="22.5" customHeight="1">
      <c r="A2642" s="69"/>
      <c r="B2642" s="69"/>
      <c r="C2642" s="69"/>
      <c r="D2642" s="69"/>
      <c r="E2642" s="185"/>
      <c r="F2642" s="69"/>
      <c r="G2642" s="185"/>
      <c r="H2642" s="69"/>
      <c r="I2642" s="69"/>
      <c r="J2642" s="69"/>
      <c r="K2642" s="69"/>
      <c r="L2642" s="69"/>
      <c r="M2642" s="69"/>
      <c r="N2642" s="69"/>
      <c r="O2642" s="69"/>
      <c r="P2642" s="69"/>
      <c r="Q2642" s="69"/>
      <c r="R2642" s="69"/>
      <c r="S2642" s="69"/>
      <c r="T2642" s="69"/>
      <c r="U2642" s="69"/>
      <c r="V2642" s="69"/>
      <c r="W2642" s="69"/>
      <c r="X2642" s="69"/>
      <c r="Y2642" s="69"/>
      <c r="Z2642" s="69"/>
      <c r="AA2642" s="69"/>
      <c r="AB2642" s="69"/>
      <c r="AC2642" s="69"/>
      <c r="AD2642" s="69"/>
      <c r="AE2642" s="69"/>
    </row>
    <row r="2643" spans="1:31" ht="22.5" customHeight="1">
      <c r="A2643" s="69"/>
      <c r="B2643" s="69"/>
      <c r="C2643" s="69"/>
      <c r="D2643" s="69"/>
      <c r="E2643" s="185"/>
      <c r="F2643" s="69"/>
      <c r="G2643" s="185"/>
      <c r="H2643" s="69"/>
      <c r="I2643" s="69"/>
      <c r="J2643" s="69"/>
      <c r="K2643" s="69"/>
      <c r="L2643" s="69"/>
      <c r="M2643" s="69"/>
      <c r="N2643" s="69"/>
      <c r="O2643" s="69"/>
      <c r="P2643" s="69"/>
      <c r="Q2643" s="69"/>
      <c r="R2643" s="69"/>
      <c r="S2643" s="69"/>
      <c r="T2643" s="69"/>
      <c r="U2643" s="69"/>
      <c r="V2643" s="69"/>
      <c r="W2643" s="69"/>
      <c r="X2643" s="69"/>
      <c r="Y2643" s="69"/>
      <c r="Z2643" s="69"/>
      <c r="AA2643" s="69"/>
      <c r="AB2643" s="69"/>
      <c r="AC2643" s="69"/>
      <c r="AD2643" s="69"/>
      <c r="AE2643" s="69"/>
    </row>
    <row r="2644" spans="1:31" ht="22.5" customHeight="1">
      <c r="A2644" s="69"/>
      <c r="B2644" s="69"/>
      <c r="C2644" s="69"/>
      <c r="D2644" s="69"/>
      <c r="E2644" s="185"/>
      <c r="F2644" s="69"/>
      <c r="G2644" s="185"/>
      <c r="H2644" s="69"/>
      <c r="I2644" s="69"/>
      <c r="J2644" s="69"/>
      <c r="K2644" s="69"/>
      <c r="L2644" s="69"/>
      <c r="M2644" s="69"/>
      <c r="N2644" s="69"/>
      <c r="O2644" s="69"/>
      <c r="P2644" s="69"/>
      <c r="Q2644" s="69"/>
      <c r="R2644" s="69"/>
      <c r="S2644" s="69"/>
      <c r="T2644" s="69"/>
      <c r="U2644" s="69"/>
      <c r="V2644" s="69"/>
      <c r="W2644" s="69"/>
      <c r="X2644" s="69"/>
      <c r="Y2644" s="69"/>
      <c r="Z2644" s="69"/>
      <c r="AA2644" s="69"/>
      <c r="AB2644" s="69"/>
      <c r="AC2644" s="69"/>
      <c r="AD2644" s="69"/>
      <c r="AE2644" s="69"/>
    </row>
    <row r="2645" spans="1:31" ht="22.5" customHeight="1">
      <c r="A2645" s="69"/>
      <c r="B2645" s="69"/>
      <c r="C2645" s="69"/>
      <c r="D2645" s="69"/>
      <c r="E2645" s="185"/>
      <c r="F2645" s="69"/>
      <c r="G2645" s="185"/>
      <c r="H2645" s="69"/>
      <c r="I2645" s="69"/>
      <c r="J2645" s="69"/>
      <c r="K2645" s="69"/>
      <c r="L2645" s="69"/>
      <c r="M2645" s="69"/>
      <c r="N2645" s="69"/>
      <c r="O2645" s="69"/>
      <c r="P2645" s="69"/>
      <c r="Q2645" s="69"/>
      <c r="R2645" s="69"/>
      <c r="S2645" s="69"/>
      <c r="T2645" s="69"/>
      <c r="U2645" s="69"/>
      <c r="V2645" s="69"/>
      <c r="W2645" s="69"/>
      <c r="X2645" s="69"/>
      <c r="Y2645" s="69"/>
      <c r="Z2645" s="69"/>
      <c r="AA2645" s="69"/>
      <c r="AB2645" s="69"/>
      <c r="AC2645" s="69"/>
      <c r="AD2645" s="69"/>
      <c r="AE2645" s="69"/>
    </row>
    <row r="2646" spans="1:31" ht="22.5" customHeight="1">
      <c r="A2646" s="69"/>
      <c r="B2646" s="69"/>
      <c r="C2646" s="69"/>
      <c r="D2646" s="69"/>
      <c r="E2646" s="185"/>
      <c r="F2646" s="69"/>
      <c r="G2646" s="185"/>
      <c r="H2646" s="69"/>
      <c r="I2646" s="69"/>
      <c r="J2646" s="69"/>
      <c r="K2646" s="69"/>
      <c r="L2646" s="69"/>
      <c r="M2646" s="69"/>
      <c r="N2646" s="69"/>
      <c r="O2646" s="69"/>
      <c r="P2646" s="69"/>
      <c r="Q2646" s="69"/>
      <c r="R2646" s="69"/>
      <c r="S2646" s="69"/>
      <c r="T2646" s="69"/>
      <c r="U2646" s="69"/>
      <c r="V2646" s="69"/>
      <c r="W2646" s="69"/>
      <c r="X2646" s="69"/>
      <c r="Y2646" s="69"/>
      <c r="Z2646" s="69"/>
      <c r="AA2646" s="69"/>
      <c r="AB2646" s="69"/>
      <c r="AC2646" s="69"/>
      <c r="AD2646" s="69"/>
      <c r="AE2646" s="69"/>
    </row>
    <row r="2647" spans="1:31" ht="22.5" customHeight="1">
      <c r="A2647" s="69"/>
      <c r="B2647" s="69"/>
      <c r="C2647" s="69"/>
      <c r="D2647" s="69"/>
      <c r="E2647" s="185"/>
      <c r="F2647" s="69"/>
      <c r="G2647" s="185"/>
      <c r="H2647" s="69"/>
      <c r="I2647" s="69"/>
      <c r="J2647" s="69"/>
      <c r="K2647" s="69"/>
      <c r="L2647" s="69"/>
      <c r="M2647" s="69"/>
      <c r="N2647" s="69"/>
      <c r="O2647" s="69"/>
      <c r="P2647" s="69"/>
      <c r="Q2647" s="69"/>
      <c r="R2647" s="69"/>
      <c r="S2647" s="69"/>
      <c r="T2647" s="69"/>
      <c r="U2647" s="69"/>
      <c r="V2647" s="69"/>
      <c r="W2647" s="69"/>
      <c r="X2647" s="69"/>
      <c r="Y2647" s="69"/>
      <c r="Z2647" s="69"/>
      <c r="AA2647" s="69"/>
      <c r="AB2647" s="69"/>
      <c r="AC2647" s="69"/>
      <c r="AD2647" s="69"/>
      <c r="AE2647" s="69"/>
    </row>
    <row r="2648" spans="1:31" ht="22.5" customHeight="1">
      <c r="A2648" s="69"/>
      <c r="B2648" s="69"/>
      <c r="C2648" s="69"/>
      <c r="D2648" s="69"/>
      <c r="E2648" s="185"/>
      <c r="F2648" s="69"/>
      <c r="G2648" s="185"/>
      <c r="H2648" s="69"/>
      <c r="I2648" s="69"/>
      <c r="J2648" s="69"/>
      <c r="K2648" s="69"/>
      <c r="L2648" s="69"/>
      <c r="M2648" s="69"/>
      <c r="N2648" s="69"/>
      <c r="O2648" s="69"/>
      <c r="P2648" s="69"/>
      <c r="Q2648" s="69"/>
      <c r="R2648" s="69"/>
      <c r="S2648" s="69"/>
      <c r="T2648" s="69"/>
      <c r="U2648" s="69"/>
      <c r="V2648" s="69"/>
      <c r="W2648" s="69"/>
      <c r="X2648" s="69"/>
      <c r="Y2648" s="69"/>
      <c r="Z2648" s="69"/>
      <c r="AA2648" s="69"/>
      <c r="AB2648" s="69"/>
      <c r="AC2648" s="69"/>
      <c r="AD2648" s="69"/>
      <c r="AE2648" s="69"/>
    </row>
    <row r="2649" spans="1:31" ht="22.5" customHeight="1">
      <c r="A2649" s="69"/>
      <c r="B2649" s="69"/>
      <c r="C2649" s="69"/>
      <c r="D2649" s="69"/>
      <c r="E2649" s="185"/>
      <c r="F2649" s="69"/>
      <c r="G2649" s="185"/>
      <c r="H2649" s="69"/>
      <c r="I2649" s="69"/>
      <c r="J2649" s="69"/>
      <c r="K2649" s="69"/>
      <c r="L2649" s="69"/>
      <c r="M2649" s="69"/>
      <c r="N2649" s="69"/>
      <c r="O2649" s="69"/>
      <c r="P2649" s="69"/>
      <c r="Q2649" s="69"/>
      <c r="R2649" s="69"/>
      <c r="S2649" s="69"/>
      <c r="T2649" s="69"/>
      <c r="U2649" s="69"/>
      <c r="V2649" s="69"/>
      <c r="W2649" s="69"/>
      <c r="X2649" s="69"/>
      <c r="Y2649" s="69"/>
      <c r="Z2649" s="69"/>
      <c r="AA2649" s="69"/>
      <c r="AB2649" s="69"/>
      <c r="AC2649" s="69"/>
      <c r="AD2649" s="69"/>
      <c r="AE2649" s="69"/>
    </row>
    <row r="2650" spans="1:31" ht="22.5" customHeight="1">
      <c r="A2650" s="69"/>
      <c r="B2650" s="69"/>
      <c r="C2650" s="69"/>
      <c r="D2650" s="69"/>
      <c r="E2650" s="185"/>
      <c r="F2650" s="69"/>
      <c r="G2650" s="185"/>
      <c r="H2650" s="69"/>
      <c r="I2650" s="69"/>
      <c r="J2650" s="69"/>
      <c r="K2650" s="69"/>
      <c r="L2650" s="69"/>
      <c r="M2650" s="69"/>
      <c r="N2650" s="69"/>
      <c r="O2650" s="69"/>
      <c r="P2650" s="69"/>
      <c r="Q2650" s="69"/>
      <c r="R2650" s="69"/>
      <c r="S2650" s="69"/>
      <c r="T2650" s="69"/>
      <c r="U2650" s="69"/>
      <c r="V2650" s="69"/>
      <c r="W2650" s="69"/>
      <c r="X2650" s="69"/>
      <c r="Y2650" s="69"/>
      <c r="Z2650" s="69"/>
      <c r="AA2650" s="69"/>
      <c r="AB2650" s="69"/>
      <c r="AC2650" s="69"/>
      <c r="AD2650" s="69"/>
      <c r="AE2650" s="69"/>
    </row>
    <row r="2651" spans="1:31" ht="22.5" customHeight="1">
      <c r="A2651" s="69"/>
      <c r="B2651" s="69"/>
      <c r="C2651" s="69"/>
      <c r="D2651" s="69"/>
      <c r="E2651" s="185"/>
      <c r="F2651" s="69"/>
      <c r="G2651" s="185"/>
      <c r="H2651" s="69"/>
      <c r="I2651" s="69"/>
      <c r="J2651" s="69"/>
      <c r="K2651" s="69"/>
      <c r="L2651" s="69"/>
      <c r="M2651" s="69"/>
      <c r="N2651" s="69"/>
      <c r="O2651" s="69"/>
      <c r="P2651" s="69"/>
      <c r="Q2651" s="69"/>
      <c r="R2651" s="69"/>
      <c r="S2651" s="69"/>
      <c r="T2651" s="69"/>
      <c r="U2651" s="69"/>
      <c r="V2651" s="69"/>
      <c r="W2651" s="69"/>
      <c r="X2651" s="69"/>
      <c r="Y2651" s="69"/>
      <c r="Z2651" s="69"/>
      <c r="AA2651" s="69"/>
      <c r="AB2651" s="69"/>
      <c r="AC2651" s="69"/>
      <c r="AD2651" s="69"/>
      <c r="AE2651" s="69"/>
    </row>
    <row r="2652" spans="1:31" ht="22.5" customHeight="1">
      <c r="A2652" s="69"/>
      <c r="B2652" s="69"/>
      <c r="C2652" s="69"/>
      <c r="D2652" s="69"/>
      <c r="E2652" s="185"/>
      <c r="F2652" s="69"/>
      <c r="G2652" s="185"/>
      <c r="H2652" s="69"/>
      <c r="I2652" s="69"/>
      <c r="J2652" s="69"/>
      <c r="K2652" s="69"/>
      <c r="L2652" s="69"/>
      <c r="M2652" s="69"/>
      <c r="N2652" s="69"/>
      <c r="O2652" s="69"/>
      <c r="P2652" s="69"/>
      <c r="Q2652" s="69"/>
      <c r="R2652" s="69"/>
      <c r="S2652" s="69"/>
      <c r="T2652" s="69"/>
      <c r="U2652" s="69"/>
      <c r="V2652" s="69"/>
      <c r="W2652" s="69"/>
      <c r="X2652" s="69"/>
      <c r="Y2652" s="69"/>
      <c r="Z2652" s="69"/>
      <c r="AA2652" s="69"/>
      <c r="AB2652" s="69"/>
      <c r="AC2652" s="69"/>
      <c r="AD2652" s="69"/>
      <c r="AE2652" s="69"/>
    </row>
    <row r="2653" spans="1:31" ht="22.5" customHeight="1">
      <c r="A2653" s="69"/>
      <c r="B2653" s="69"/>
      <c r="C2653" s="69"/>
      <c r="D2653" s="69"/>
      <c r="E2653" s="185"/>
      <c r="F2653" s="69"/>
      <c r="G2653" s="185"/>
      <c r="H2653" s="69"/>
      <c r="I2653" s="69"/>
      <c r="J2653" s="69"/>
      <c r="K2653" s="69"/>
      <c r="L2653" s="69"/>
      <c r="M2653" s="69"/>
      <c r="N2653" s="69"/>
      <c r="O2653" s="69"/>
      <c r="P2653" s="69"/>
      <c r="Q2653" s="69"/>
      <c r="R2653" s="69"/>
      <c r="S2653" s="69"/>
      <c r="T2653" s="69"/>
      <c r="U2653" s="69"/>
      <c r="V2653" s="69"/>
      <c r="W2653" s="69"/>
      <c r="X2653" s="69"/>
      <c r="Y2653" s="69"/>
      <c r="Z2653" s="69"/>
      <c r="AA2653" s="69"/>
      <c r="AB2653" s="69"/>
      <c r="AC2653" s="69"/>
      <c r="AD2653" s="69"/>
      <c r="AE2653" s="69"/>
    </row>
    <row r="2654" spans="1:31" ht="22.5" customHeight="1">
      <c r="A2654" s="69"/>
      <c r="B2654" s="69"/>
      <c r="C2654" s="69"/>
      <c r="D2654" s="69"/>
      <c r="E2654" s="185"/>
      <c r="F2654" s="69"/>
      <c r="G2654" s="185"/>
      <c r="H2654" s="69"/>
      <c r="I2654" s="69"/>
      <c r="J2654" s="69"/>
      <c r="K2654" s="69"/>
      <c r="L2654" s="69"/>
      <c r="M2654" s="69"/>
      <c r="N2654" s="69"/>
      <c r="O2654" s="69"/>
      <c r="P2654" s="69"/>
      <c r="Q2654" s="69"/>
      <c r="R2654" s="69"/>
      <c r="S2654" s="69"/>
      <c r="T2654" s="69"/>
      <c r="U2654" s="69"/>
      <c r="V2654" s="69"/>
      <c r="W2654" s="69"/>
      <c r="X2654" s="69"/>
      <c r="Y2654" s="69"/>
      <c r="Z2654" s="69"/>
      <c r="AA2654" s="69"/>
      <c r="AB2654" s="69"/>
      <c r="AC2654" s="69"/>
      <c r="AD2654" s="69"/>
      <c r="AE2654" s="69"/>
    </row>
    <row r="2655" spans="1:31" ht="22.5" customHeight="1">
      <c r="A2655" s="69"/>
      <c r="B2655" s="69"/>
      <c r="C2655" s="69"/>
      <c r="D2655" s="69"/>
      <c r="E2655" s="185"/>
      <c r="F2655" s="69"/>
      <c r="G2655" s="185"/>
      <c r="H2655" s="69"/>
      <c r="I2655" s="69"/>
      <c r="J2655" s="69"/>
      <c r="K2655" s="69"/>
      <c r="L2655" s="69"/>
      <c r="M2655" s="69"/>
      <c r="N2655" s="69"/>
      <c r="O2655" s="69"/>
      <c r="P2655" s="69"/>
      <c r="Q2655" s="69"/>
      <c r="R2655" s="69"/>
      <c r="S2655" s="69"/>
      <c r="T2655" s="69"/>
      <c r="U2655" s="69"/>
      <c r="V2655" s="69"/>
      <c r="W2655" s="69"/>
      <c r="X2655" s="69"/>
      <c r="Y2655" s="69"/>
      <c r="Z2655" s="69"/>
      <c r="AA2655" s="69"/>
      <c r="AB2655" s="69"/>
      <c r="AC2655" s="69"/>
      <c r="AD2655" s="69"/>
      <c r="AE2655" s="69"/>
    </row>
    <row r="2656" spans="1:31" ht="22.5" customHeight="1">
      <c r="A2656" s="69"/>
      <c r="B2656" s="69"/>
      <c r="C2656" s="69"/>
      <c r="D2656" s="69"/>
      <c r="E2656" s="185"/>
      <c r="F2656" s="69"/>
      <c r="G2656" s="185"/>
      <c r="H2656" s="69"/>
      <c r="I2656" s="69"/>
      <c r="J2656" s="69"/>
      <c r="K2656" s="69"/>
      <c r="L2656" s="69"/>
      <c r="M2656" s="69"/>
      <c r="N2656" s="69"/>
      <c r="O2656" s="69"/>
      <c r="P2656" s="69"/>
      <c r="Q2656" s="69"/>
      <c r="R2656" s="69"/>
      <c r="S2656" s="69"/>
      <c r="T2656" s="69"/>
      <c r="U2656" s="69"/>
      <c r="V2656" s="69"/>
      <c r="W2656" s="69"/>
      <c r="X2656" s="69"/>
      <c r="Y2656" s="69"/>
      <c r="Z2656" s="69"/>
      <c r="AA2656" s="69"/>
      <c r="AB2656" s="69"/>
      <c r="AC2656" s="69"/>
      <c r="AD2656" s="69"/>
      <c r="AE2656" s="69"/>
    </row>
    <row r="2657" spans="1:31" ht="22.5" customHeight="1">
      <c r="A2657" s="69"/>
      <c r="B2657" s="69"/>
      <c r="C2657" s="69"/>
      <c r="D2657" s="69"/>
      <c r="E2657" s="185"/>
      <c r="F2657" s="69"/>
      <c r="G2657" s="185"/>
      <c r="H2657" s="69"/>
      <c r="I2657" s="69"/>
      <c r="J2657" s="69"/>
      <c r="K2657" s="69"/>
      <c r="L2657" s="69"/>
      <c r="M2657" s="69"/>
      <c r="N2657" s="69"/>
      <c r="O2657" s="69"/>
      <c r="P2657" s="69"/>
      <c r="Q2657" s="69"/>
      <c r="R2657" s="69"/>
      <c r="S2657" s="69"/>
      <c r="T2657" s="69"/>
      <c r="U2657" s="69"/>
      <c r="V2657" s="69"/>
      <c r="W2657" s="69"/>
      <c r="X2657" s="69"/>
      <c r="Y2657" s="69"/>
      <c r="Z2657" s="69"/>
      <c r="AA2657" s="69"/>
      <c r="AB2657" s="69"/>
      <c r="AC2657" s="69"/>
      <c r="AD2657" s="69"/>
      <c r="AE2657" s="69"/>
    </row>
    <row r="2658" spans="1:31" ht="22.5" customHeight="1">
      <c r="A2658" s="69"/>
      <c r="B2658" s="69"/>
      <c r="C2658" s="69"/>
      <c r="D2658" s="69"/>
      <c r="E2658" s="185"/>
      <c r="F2658" s="69"/>
      <c r="G2658" s="185"/>
      <c r="H2658" s="69"/>
      <c r="I2658" s="69"/>
      <c r="J2658" s="69"/>
      <c r="K2658" s="69"/>
      <c r="L2658" s="69"/>
      <c r="M2658" s="69"/>
      <c r="N2658" s="69"/>
      <c r="O2658" s="69"/>
      <c r="P2658" s="69"/>
      <c r="Q2658" s="69"/>
      <c r="R2658" s="69"/>
      <c r="S2658" s="69"/>
      <c r="T2658" s="69"/>
      <c r="U2658" s="69"/>
      <c r="V2658" s="69"/>
      <c r="W2658" s="69"/>
      <c r="X2658" s="69"/>
      <c r="Y2658" s="69"/>
      <c r="Z2658" s="69"/>
      <c r="AA2658" s="69"/>
      <c r="AB2658" s="69"/>
      <c r="AC2658" s="69"/>
      <c r="AD2658" s="69"/>
      <c r="AE2658" s="69"/>
    </row>
    <row r="2659" spans="1:31" ht="22.5" customHeight="1">
      <c r="A2659" s="69"/>
      <c r="B2659" s="69"/>
      <c r="C2659" s="69"/>
      <c r="D2659" s="69"/>
      <c r="E2659" s="185"/>
      <c r="F2659" s="69"/>
      <c r="G2659" s="185"/>
      <c r="H2659" s="69"/>
      <c r="I2659" s="69"/>
      <c r="J2659" s="69"/>
      <c r="K2659" s="69"/>
      <c r="L2659" s="69"/>
      <c r="M2659" s="69"/>
      <c r="N2659" s="69"/>
      <c r="O2659" s="69"/>
      <c r="P2659" s="69"/>
      <c r="Q2659" s="69"/>
      <c r="R2659" s="69"/>
      <c r="S2659" s="69"/>
      <c r="T2659" s="69"/>
      <c r="U2659" s="69"/>
      <c r="V2659" s="69"/>
      <c r="W2659" s="69"/>
      <c r="X2659" s="69"/>
      <c r="Y2659" s="69"/>
      <c r="Z2659" s="69"/>
      <c r="AA2659" s="69"/>
      <c r="AB2659" s="69"/>
      <c r="AC2659" s="69"/>
      <c r="AD2659" s="69"/>
      <c r="AE2659" s="69"/>
    </row>
    <row r="2660" spans="1:31" ht="22.5" customHeight="1">
      <c r="A2660" s="69"/>
      <c r="B2660" s="69"/>
      <c r="C2660" s="69"/>
      <c r="D2660" s="69"/>
      <c r="E2660" s="185"/>
      <c r="F2660" s="69"/>
      <c r="G2660" s="185"/>
      <c r="H2660" s="69"/>
      <c r="I2660" s="69"/>
      <c r="J2660" s="69"/>
      <c r="K2660" s="69"/>
      <c r="L2660" s="69"/>
      <c r="M2660" s="69"/>
      <c r="N2660" s="69"/>
      <c r="O2660" s="69"/>
      <c r="P2660" s="69"/>
      <c r="Q2660" s="69"/>
      <c r="R2660" s="69"/>
      <c r="S2660" s="69"/>
      <c r="T2660" s="69"/>
      <c r="U2660" s="69"/>
      <c r="V2660" s="69"/>
      <c r="W2660" s="69"/>
      <c r="X2660" s="69"/>
      <c r="Y2660" s="69"/>
      <c r="Z2660" s="69"/>
      <c r="AA2660" s="69"/>
      <c r="AB2660" s="69"/>
      <c r="AC2660" s="69"/>
      <c r="AD2660" s="69"/>
      <c r="AE2660" s="69"/>
    </row>
    <row r="2661" spans="1:31" ht="22.5" customHeight="1">
      <c r="A2661" s="69"/>
      <c r="B2661" s="69"/>
      <c r="C2661" s="69"/>
      <c r="D2661" s="69"/>
      <c r="E2661" s="185"/>
      <c r="F2661" s="69"/>
      <c r="G2661" s="185"/>
      <c r="H2661" s="69"/>
      <c r="I2661" s="69"/>
      <c r="J2661" s="69"/>
      <c r="K2661" s="69"/>
      <c r="L2661" s="69"/>
      <c r="M2661" s="69"/>
      <c r="N2661" s="69"/>
      <c r="O2661" s="69"/>
      <c r="P2661" s="69"/>
      <c r="Q2661" s="69"/>
      <c r="R2661" s="69"/>
      <c r="S2661" s="69"/>
      <c r="T2661" s="69"/>
      <c r="U2661" s="69"/>
      <c r="V2661" s="69"/>
      <c r="W2661" s="69"/>
      <c r="X2661" s="69"/>
      <c r="Y2661" s="69"/>
      <c r="Z2661" s="69"/>
      <c r="AA2661" s="69"/>
      <c r="AB2661" s="69"/>
      <c r="AC2661" s="69"/>
      <c r="AD2661" s="69"/>
      <c r="AE2661" s="69"/>
    </row>
    <row r="2662" spans="1:31" ht="22.5" customHeight="1">
      <c r="A2662" s="69"/>
      <c r="B2662" s="69"/>
      <c r="C2662" s="69"/>
      <c r="D2662" s="69"/>
      <c r="E2662" s="185"/>
      <c r="F2662" s="69"/>
      <c r="G2662" s="185"/>
      <c r="H2662" s="69"/>
      <c r="I2662" s="69"/>
      <c r="J2662" s="69"/>
      <c r="K2662" s="69"/>
      <c r="L2662" s="69"/>
      <c r="M2662" s="69"/>
      <c r="N2662" s="69"/>
      <c r="O2662" s="69"/>
      <c r="P2662" s="69"/>
      <c r="Q2662" s="69"/>
      <c r="R2662" s="69"/>
      <c r="S2662" s="69"/>
      <c r="T2662" s="69"/>
      <c r="U2662" s="69"/>
      <c r="V2662" s="69"/>
      <c r="W2662" s="69"/>
      <c r="X2662" s="69"/>
      <c r="Y2662" s="69"/>
      <c r="Z2662" s="69"/>
      <c r="AA2662" s="69"/>
      <c r="AB2662" s="69"/>
      <c r="AC2662" s="69"/>
      <c r="AD2662" s="69"/>
      <c r="AE2662" s="69"/>
    </row>
    <row r="2663" spans="1:31" ht="22.5" customHeight="1">
      <c r="A2663" s="69"/>
      <c r="B2663" s="69"/>
      <c r="C2663" s="69"/>
      <c r="D2663" s="69"/>
      <c r="E2663" s="185"/>
      <c r="F2663" s="69"/>
      <c r="G2663" s="185"/>
      <c r="H2663" s="69"/>
      <c r="I2663" s="69"/>
      <c r="J2663" s="69"/>
      <c r="K2663" s="69"/>
      <c r="L2663" s="69"/>
      <c r="M2663" s="69"/>
      <c r="N2663" s="69"/>
      <c r="O2663" s="69"/>
      <c r="P2663" s="69"/>
      <c r="Q2663" s="69"/>
      <c r="R2663" s="69"/>
      <c r="S2663" s="69"/>
      <c r="T2663" s="69"/>
      <c r="U2663" s="69"/>
      <c r="V2663" s="69"/>
      <c r="W2663" s="69"/>
      <c r="X2663" s="69"/>
      <c r="Y2663" s="69"/>
      <c r="Z2663" s="69"/>
      <c r="AA2663" s="69"/>
      <c r="AB2663" s="69"/>
      <c r="AC2663" s="69"/>
      <c r="AD2663" s="69"/>
      <c r="AE2663" s="69"/>
    </row>
    <row r="2664" spans="1:31" ht="22.5" customHeight="1">
      <c r="A2664" s="69"/>
      <c r="B2664" s="69"/>
      <c r="C2664" s="69"/>
      <c r="D2664" s="69"/>
      <c r="E2664" s="185"/>
      <c r="F2664" s="69"/>
      <c r="G2664" s="185"/>
      <c r="H2664" s="69"/>
      <c r="I2664" s="69"/>
      <c r="J2664" s="69"/>
      <c r="K2664" s="69"/>
      <c r="L2664" s="69"/>
      <c r="M2664" s="69"/>
      <c r="N2664" s="69"/>
      <c r="O2664" s="69"/>
      <c r="P2664" s="69"/>
      <c r="Q2664" s="69"/>
      <c r="R2664" s="69"/>
      <c r="S2664" s="69"/>
      <c r="T2664" s="69"/>
      <c r="U2664" s="69"/>
      <c r="V2664" s="69"/>
      <c r="W2664" s="69"/>
      <c r="X2664" s="69"/>
      <c r="Y2664" s="69"/>
      <c r="Z2664" s="69"/>
      <c r="AA2664" s="69"/>
      <c r="AB2664" s="69"/>
      <c r="AC2664" s="69"/>
      <c r="AD2664" s="69"/>
      <c r="AE2664" s="69"/>
    </row>
    <row r="2665" spans="1:31" ht="22.5" customHeight="1">
      <c r="A2665" s="69"/>
      <c r="B2665" s="69"/>
      <c r="C2665" s="69"/>
      <c r="D2665" s="69"/>
      <c r="E2665" s="185"/>
      <c r="F2665" s="69"/>
      <c r="G2665" s="185"/>
      <c r="H2665" s="69"/>
      <c r="I2665" s="69"/>
      <c r="J2665" s="69"/>
      <c r="K2665" s="69"/>
      <c r="L2665" s="69"/>
      <c r="M2665" s="69"/>
      <c r="N2665" s="69"/>
      <c r="O2665" s="69"/>
      <c r="P2665" s="69"/>
      <c r="Q2665" s="69"/>
      <c r="R2665" s="69"/>
      <c r="S2665" s="69"/>
      <c r="T2665" s="69"/>
      <c r="U2665" s="69"/>
      <c r="V2665" s="69"/>
      <c r="W2665" s="69"/>
      <c r="X2665" s="69"/>
      <c r="Y2665" s="69"/>
      <c r="Z2665" s="69"/>
      <c r="AA2665" s="69"/>
      <c r="AB2665" s="69"/>
      <c r="AC2665" s="69"/>
      <c r="AD2665" s="69"/>
      <c r="AE2665" s="69"/>
    </row>
    <row r="2666" spans="1:31" ht="22.5" customHeight="1">
      <c r="A2666" s="69"/>
      <c r="B2666" s="69"/>
      <c r="C2666" s="69"/>
      <c r="D2666" s="69"/>
      <c r="E2666" s="185"/>
      <c r="F2666" s="69"/>
      <c r="G2666" s="185"/>
      <c r="H2666" s="69"/>
      <c r="I2666" s="69"/>
      <c r="J2666" s="69"/>
      <c r="K2666" s="69"/>
      <c r="L2666" s="69"/>
      <c r="M2666" s="69"/>
      <c r="N2666" s="69"/>
      <c r="O2666" s="69"/>
      <c r="P2666" s="69"/>
      <c r="Q2666" s="69"/>
      <c r="R2666" s="69"/>
      <c r="S2666" s="69"/>
      <c r="T2666" s="69"/>
      <c r="U2666" s="69"/>
      <c r="V2666" s="69"/>
      <c r="W2666" s="69"/>
      <c r="X2666" s="69"/>
      <c r="Y2666" s="69"/>
      <c r="Z2666" s="69"/>
      <c r="AA2666" s="69"/>
      <c r="AB2666" s="69"/>
      <c r="AC2666" s="69"/>
      <c r="AD2666" s="69"/>
      <c r="AE2666" s="69"/>
    </row>
    <row r="2667" spans="1:31" ht="22.5" customHeight="1">
      <c r="A2667" s="69"/>
      <c r="B2667" s="69"/>
      <c r="C2667" s="69"/>
      <c r="D2667" s="69"/>
      <c r="E2667" s="185"/>
      <c r="F2667" s="69"/>
      <c r="G2667" s="185"/>
      <c r="H2667" s="69"/>
      <c r="I2667" s="69"/>
      <c r="J2667" s="69"/>
      <c r="K2667" s="69"/>
      <c r="L2667" s="69"/>
      <c r="M2667" s="69"/>
      <c r="N2667" s="69"/>
      <c r="O2667" s="69"/>
      <c r="P2667" s="69"/>
      <c r="Q2667" s="69"/>
      <c r="R2667" s="69"/>
      <c r="S2667" s="69"/>
      <c r="T2667" s="69"/>
      <c r="U2667" s="69"/>
      <c r="V2667" s="69"/>
      <c r="W2667" s="69"/>
      <c r="X2667" s="69"/>
      <c r="Y2667" s="69"/>
      <c r="Z2667" s="69"/>
      <c r="AA2667" s="69"/>
      <c r="AB2667" s="69"/>
      <c r="AC2667" s="69"/>
      <c r="AD2667" s="69"/>
      <c r="AE2667" s="69"/>
    </row>
    <row r="2668" spans="1:31" ht="22.5" customHeight="1">
      <c r="A2668" s="69"/>
      <c r="B2668" s="69"/>
      <c r="C2668" s="69"/>
      <c r="D2668" s="69"/>
      <c r="E2668" s="185"/>
      <c r="F2668" s="69"/>
      <c r="G2668" s="185"/>
      <c r="H2668" s="69"/>
      <c r="I2668" s="69"/>
      <c r="J2668" s="69"/>
      <c r="K2668" s="69"/>
      <c r="L2668" s="69"/>
      <c r="M2668" s="69"/>
      <c r="N2668" s="69"/>
      <c r="O2668" s="69"/>
      <c r="P2668" s="69"/>
      <c r="Q2668" s="69"/>
      <c r="R2668" s="69"/>
      <c r="S2668" s="69"/>
      <c r="T2668" s="69"/>
      <c r="U2668" s="69"/>
      <c r="V2668" s="69"/>
      <c r="W2668" s="69"/>
      <c r="X2668" s="69"/>
      <c r="Y2668" s="69"/>
      <c r="Z2668" s="69"/>
      <c r="AA2668" s="69"/>
      <c r="AB2668" s="69"/>
      <c r="AC2668" s="69"/>
      <c r="AD2668" s="69"/>
      <c r="AE2668" s="69"/>
    </row>
    <row r="2669" spans="1:31" ht="22.5" customHeight="1">
      <c r="A2669" s="69"/>
      <c r="B2669" s="69"/>
      <c r="C2669" s="69"/>
      <c r="D2669" s="69"/>
      <c r="E2669" s="185"/>
      <c r="F2669" s="69"/>
      <c r="G2669" s="185"/>
      <c r="H2669" s="69"/>
      <c r="I2669" s="69"/>
      <c r="J2669" s="69"/>
      <c r="K2669" s="69"/>
      <c r="L2669" s="69"/>
      <c r="M2669" s="69"/>
      <c r="N2669" s="69"/>
      <c r="O2669" s="69"/>
      <c r="P2669" s="69"/>
      <c r="Q2669" s="69"/>
      <c r="R2669" s="69"/>
      <c r="S2669" s="69"/>
      <c r="T2669" s="69"/>
      <c r="U2669" s="69"/>
      <c r="V2669" s="69"/>
      <c r="W2669" s="69"/>
      <c r="X2669" s="69"/>
      <c r="Y2669" s="69"/>
      <c r="Z2669" s="69"/>
      <c r="AA2669" s="69"/>
      <c r="AB2669" s="69"/>
      <c r="AC2669" s="69"/>
      <c r="AD2669" s="69"/>
      <c r="AE2669" s="69"/>
    </row>
    <row r="2670" spans="1:31" ht="22.5" customHeight="1">
      <c r="A2670" s="69"/>
      <c r="B2670" s="69"/>
      <c r="C2670" s="69"/>
      <c r="D2670" s="69"/>
      <c r="E2670" s="185"/>
      <c r="F2670" s="69"/>
      <c r="G2670" s="185"/>
      <c r="H2670" s="69"/>
      <c r="I2670" s="69"/>
      <c r="J2670" s="69"/>
      <c r="K2670" s="69"/>
      <c r="L2670" s="69"/>
      <c r="M2670" s="69"/>
      <c r="N2670" s="69"/>
      <c r="O2670" s="69"/>
      <c r="P2670" s="69"/>
      <c r="Q2670" s="69"/>
      <c r="R2670" s="69"/>
      <c r="S2670" s="69"/>
      <c r="T2670" s="69"/>
      <c r="U2670" s="69"/>
      <c r="V2670" s="69"/>
      <c r="W2670" s="69"/>
      <c r="X2670" s="69"/>
      <c r="Y2670" s="69"/>
      <c r="Z2670" s="69"/>
      <c r="AA2670" s="69"/>
      <c r="AB2670" s="69"/>
      <c r="AC2670" s="69"/>
      <c r="AD2670" s="69"/>
      <c r="AE2670" s="69"/>
    </row>
    <row r="2671" spans="1:31" ht="22.5" customHeight="1">
      <c r="A2671" s="69"/>
      <c r="B2671" s="69"/>
      <c r="C2671" s="69"/>
      <c r="D2671" s="69"/>
      <c r="E2671" s="185"/>
      <c r="F2671" s="69"/>
      <c r="G2671" s="185"/>
      <c r="H2671" s="69"/>
      <c r="I2671" s="69"/>
      <c r="J2671" s="69"/>
      <c r="K2671" s="69"/>
      <c r="L2671" s="69"/>
      <c r="M2671" s="69"/>
      <c r="N2671" s="69"/>
      <c r="O2671" s="69"/>
      <c r="P2671" s="69"/>
      <c r="Q2671" s="69"/>
      <c r="R2671" s="69"/>
      <c r="S2671" s="69"/>
      <c r="T2671" s="69"/>
      <c r="U2671" s="69"/>
      <c r="V2671" s="69"/>
      <c r="W2671" s="69"/>
      <c r="X2671" s="69"/>
      <c r="Y2671" s="69"/>
      <c r="Z2671" s="69"/>
      <c r="AA2671" s="69"/>
      <c r="AB2671" s="69"/>
      <c r="AC2671" s="69"/>
      <c r="AD2671" s="69"/>
      <c r="AE2671" s="69"/>
    </row>
    <row r="2672" spans="1:31" ht="22.5" customHeight="1">
      <c r="A2672" s="69"/>
      <c r="B2672" s="69"/>
      <c r="C2672" s="69"/>
      <c r="D2672" s="69"/>
      <c r="E2672" s="185"/>
      <c r="F2672" s="69"/>
      <c r="G2672" s="185"/>
      <c r="H2672" s="69"/>
      <c r="I2672" s="69"/>
      <c r="J2672" s="69"/>
      <c r="K2672" s="69"/>
      <c r="L2672" s="69"/>
      <c r="M2672" s="69"/>
      <c r="N2672" s="69"/>
      <c r="O2672" s="69"/>
      <c r="P2672" s="69"/>
      <c r="Q2672" s="69"/>
      <c r="R2672" s="69"/>
      <c r="S2672" s="69"/>
      <c r="T2672" s="69"/>
      <c r="U2672" s="69"/>
      <c r="V2672" s="69"/>
      <c r="W2672" s="69"/>
      <c r="X2672" s="69"/>
      <c r="Y2672" s="69"/>
      <c r="Z2672" s="69"/>
      <c r="AA2672" s="69"/>
      <c r="AB2672" s="69"/>
      <c r="AC2672" s="69"/>
      <c r="AD2672" s="69"/>
      <c r="AE2672" s="69"/>
    </row>
    <row r="2673" spans="1:31" ht="22.5" customHeight="1">
      <c r="A2673" s="69"/>
      <c r="B2673" s="69"/>
      <c r="C2673" s="69"/>
      <c r="D2673" s="69"/>
      <c r="E2673" s="185"/>
      <c r="F2673" s="69"/>
      <c r="G2673" s="185"/>
      <c r="H2673" s="69"/>
      <c r="I2673" s="69"/>
      <c r="J2673" s="69"/>
      <c r="K2673" s="69"/>
      <c r="L2673" s="69"/>
      <c r="M2673" s="69"/>
      <c r="N2673" s="69"/>
      <c r="O2673" s="69"/>
      <c r="P2673" s="69"/>
      <c r="Q2673" s="69"/>
      <c r="R2673" s="69"/>
      <c r="S2673" s="69"/>
      <c r="T2673" s="69"/>
      <c r="U2673" s="69"/>
      <c r="V2673" s="69"/>
      <c r="W2673" s="69"/>
      <c r="X2673" s="69"/>
      <c r="Y2673" s="69"/>
      <c r="Z2673" s="69"/>
      <c r="AA2673" s="69"/>
      <c r="AB2673" s="69"/>
      <c r="AC2673" s="69"/>
      <c r="AD2673" s="69"/>
      <c r="AE2673" s="69"/>
    </row>
    <row r="2674" spans="1:31" ht="22.5" customHeight="1">
      <c r="A2674" s="69"/>
      <c r="B2674" s="69"/>
      <c r="C2674" s="69"/>
      <c r="D2674" s="69"/>
      <c r="E2674" s="185"/>
      <c r="F2674" s="69"/>
      <c r="G2674" s="185"/>
      <c r="H2674" s="69"/>
      <c r="I2674" s="69"/>
      <c r="J2674" s="69"/>
      <c r="K2674" s="69"/>
      <c r="L2674" s="69"/>
      <c r="M2674" s="69"/>
      <c r="N2674" s="69"/>
      <c r="O2674" s="69"/>
      <c r="P2674" s="69"/>
      <c r="Q2674" s="69"/>
      <c r="R2674" s="69"/>
      <c r="S2674" s="69"/>
      <c r="T2674" s="69"/>
      <c r="U2674" s="69"/>
      <c r="V2674" s="69"/>
      <c r="W2674" s="69"/>
      <c r="X2674" s="69"/>
      <c r="Y2674" s="69"/>
      <c r="Z2674" s="69"/>
      <c r="AA2674" s="69"/>
      <c r="AB2674" s="69"/>
      <c r="AC2674" s="69"/>
      <c r="AD2674" s="69"/>
      <c r="AE2674" s="69"/>
    </row>
    <row r="2675" spans="1:31" ht="22.5" customHeight="1">
      <c r="A2675" s="69"/>
      <c r="B2675" s="69"/>
      <c r="C2675" s="69"/>
      <c r="D2675" s="69"/>
      <c r="E2675" s="185"/>
      <c r="F2675" s="69"/>
      <c r="G2675" s="185"/>
      <c r="H2675" s="69"/>
      <c r="I2675" s="69"/>
      <c r="J2675" s="69"/>
      <c r="K2675" s="69"/>
      <c r="L2675" s="69"/>
      <c r="M2675" s="69"/>
      <c r="N2675" s="69"/>
      <c r="O2675" s="69"/>
      <c r="P2675" s="69"/>
      <c r="Q2675" s="69"/>
      <c r="R2675" s="69"/>
      <c r="S2675" s="69"/>
      <c r="T2675" s="69"/>
      <c r="U2675" s="69"/>
      <c r="V2675" s="69"/>
      <c r="W2675" s="69"/>
      <c r="X2675" s="69"/>
      <c r="Y2675" s="69"/>
      <c r="Z2675" s="69"/>
      <c r="AA2675" s="69"/>
      <c r="AB2675" s="69"/>
      <c r="AC2675" s="69"/>
      <c r="AD2675" s="69"/>
      <c r="AE2675" s="69"/>
    </row>
    <row r="2676" spans="1:31" ht="22.5" customHeight="1">
      <c r="A2676" s="69"/>
      <c r="B2676" s="69"/>
      <c r="C2676" s="69"/>
      <c r="D2676" s="69"/>
      <c r="E2676" s="185"/>
      <c r="F2676" s="69"/>
      <c r="G2676" s="185"/>
      <c r="H2676" s="69"/>
      <c r="I2676" s="69"/>
      <c r="J2676" s="69"/>
      <c r="K2676" s="69"/>
      <c r="L2676" s="69"/>
      <c r="M2676" s="69"/>
      <c r="N2676" s="69"/>
      <c r="O2676" s="69"/>
      <c r="P2676" s="69"/>
      <c r="Q2676" s="69"/>
      <c r="R2676" s="69"/>
      <c r="S2676" s="69"/>
      <c r="T2676" s="69"/>
      <c r="U2676" s="69"/>
      <c r="V2676" s="69"/>
      <c r="W2676" s="69"/>
      <c r="X2676" s="69"/>
      <c r="Y2676" s="69"/>
      <c r="Z2676" s="69"/>
      <c r="AA2676" s="69"/>
      <c r="AB2676" s="69"/>
      <c r="AC2676" s="69"/>
      <c r="AD2676" s="69"/>
      <c r="AE2676" s="69"/>
    </row>
    <row r="2677" spans="1:31" ht="22.5" customHeight="1">
      <c r="A2677" s="69"/>
      <c r="B2677" s="69"/>
      <c r="C2677" s="69"/>
      <c r="D2677" s="69"/>
      <c r="E2677" s="185"/>
      <c r="F2677" s="69"/>
      <c r="G2677" s="185"/>
      <c r="H2677" s="69"/>
      <c r="I2677" s="69"/>
      <c r="J2677" s="69"/>
      <c r="K2677" s="69"/>
      <c r="L2677" s="69"/>
      <c r="M2677" s="69"/>
      <c r="N2677" s="69"/>
      <c r="O2677" s="69"/>
      <c r="P2677" s="69"/>
      <c r="Q2677" s="69"/>
      <c r="R2677" s="69"/>
      <c r="S2677" s="69"/>
      <c r="T2677" s="69"/>
      <c r="U2677" s="69"/>
      <c r="V2677" s="69"/>
      <c r="W2677" s="69"/>
      <c r="X2677" s="69"/>
      <c r="Y2677" s="69"/>
      <c r="Z2677" s="69"/>
      <c r="AA2677" s="69"/>
      <c r="AB2677" s="69"/>
      <c r="AC2677" s="69"/>
      <c r="AD2677" s="69"/>
      <c r="AE2677" s="69"/>
    </row>
    <row r="2678" spans="1:31" ht="22.5" customHeight="1">
      <c r="A2678" s="69"/>
      <c r="B2678" s="69"/>
      <c r="C2678" s="69"/>
      <c r="D2678" s="69"/>
      <c r="E2678" s="185"/>
      <c r="F2678" s="69"/>
      <c r="G2678" s="185"/>
      <c r="H2678" s="69"/>
      <c r="I2678" s="69"/>
      <c r="J2678" s="69"/>
      <c r="K2678" s="69"/>
      <c r="L2678" s="69"/>
      <c r="M2678" s="69"/>
      <c r="N2678" s="69"/>
      <c r="O2678" s="69"/>
      <c r="P2678" s="69"/>
      <c r="Q2678" s="69"/>
      <c r="R2678" s="69"/>
      <c r="S2678" s="69"/>
      <c r="T2678" s="69"/>
      <c r="U2678" s="69"/>
      <c r="V2678" s="69"/>
      <c r="W2678" s="69"/>
      <c r="X2678" s="69"/>
      <c r="Y2678" s="69"/>
      <c r="Z2678" s="69"/>
      <c r="AA2678" s="69"/>
      <c r="AB2678" s="69"/>
      <c r="AC2678" s="69"/>
      <c r="AD2678" s="69"/>
      <c r="AE2678" s="69"/>
    </row>
    <row r="2679" spans="1:31" ht="22.5" customHeight="1">
      <c r="A2679" s="69"/>
      <c r="B2679" s="69"/>
      <c r="C2679" s="69"/>
      <c r="D2679" s="69"/>
      <c r="E2679" s="185"/>
      <c r="F2679" s="69"/>
      <c r="G2679" s="185"/>
      <c r="H2679" s="69"/>
      <c r="I2679" s="69"/>
      <c r="J2679" s="69"/>
      <c r="K2679" s="69"/>
      <c r="L2679" s="69"/>
      <c r="M2679" s="69"/>
      <c r="N2679" s="69"/>
      <c r="O2679" s="69"/>
      <c r="P2679" s="69"/>
      <c r="Q2679" s="69"/>
      <c r="R2679" s="69"/>
      <c r="S2679" s="69"/>
      <c r="T2679" s="69"/>
      <c r="U2679" s="69"/>
      <c r="V2679" s="69"/>
      <c r="W2679" s="69"/>
      <c r="X2679" s="69"/>
      <c r="Y2679" s="69"/>
      <c r="Z2679" s="69"/>
      <c r="AA2679" s="69"/>
      <c r="AB2679" s="69"/>
      <c r="AC2679" s="69"/>
      <c r="AD2679" s="69"/>
      <c r="AE2679" s="69"/>
    </row>
    <row r="2680" spans="1:31" ht="22.5" customHeight="1">
      <c r="A2680" s="69"/>
      <c r="B2680" s="69"/>
      <c r="C2680" s="69"/>
      <c r="D2680" s="69"/>
      <c r="E2680" s="185"/>
      <c r="F2680" s="69"/>
      <c r="G2680" s="185"/>
      <c r="H2680" s="69"/>
      <c r="I2680" s="69"/>
      <c r="J2680" s="69"/>
      <c r="K2680" s="69"/>
      <c r="L2680" s="69"/>
      <c r="M2680" s="69"/>
      <c r="N2680" s="69"/>
      <c r="O2680" s="69"/>
      <c r="P2680" s="69"/>
      <c r="Q2680" s="69"/>
      <c r="R2680" s="69"/>
      <c r="S2680" s="69"/>
      <c r="T2680" s="69"/>
      <c r="U2680" s="69"/>
      <c r="V2680" s="69"/>
      <c r="W2680" s="69"/>
      <c r="X2680" s="69"/>
      <c r="Y2680" s="69"/>
      <c r="Z2680" s="69"/>
      <c r="AA2680" s="69"/>
      <c r="AB2680" s="69"/>
      <c r="AC2680" s="69"/>
      <c r="AD2680" s="69"/>
      <c r="AE2680" s="69"/>
    </row>
    <row r="2681" spans="1:31" ht="22.5" customHeight="1">
      <c r="A2681" s="69"/>
      <c r="B2681" s="69"/>
      <c r="C2681" s="69"/>
      <c r="D2681" s="69"/>
      <c r="E2681" s="185"/>
      <c r="F2681" s="69"/>
      <c r="G2681" s="185"/>
      <c r="H2681" s="69"/>
      <c r="I2681" s="69"/>
      <c r="J2681" s="69"/>
      <c r="K2681" s="69"/>
      <c r="L2681" s="69"/>
      <c r="M2681" s="69"/>
      <c r="N2681" s="69"/>
      <c r="O2681" s="69"/>
      <c r="P2681" s="69"/>
      <c r="Q2681" s="69"/>
      <c r="R2681" s="69"/>
      <c r="S2681" s="69"/>
      <c r="T2681" s="69"/>
      <c r="U2681" s="69"/>
      <c r="V2681" s="69"/>
      <c r="W2681" s="69"/>
      <c r="X2681" s="69"/>
      <c r="Y2681" s="69"/>
      <c r="Z2681" s="69"/>
      <c r="AA2681" s="69"/>
      <c r="AB2681" s="69"/>
      <c r="AC2681" s="69"/>
      <c r="AD2681" s="69"/>
      <c r="AE2681" s="69"/>
    </row>
    <row r="2682" spans="1:31" ht="22.5" customHeight="1">
      <c r="A2682" s="69"/>
      <c r="B2682" s="69"/>
      <c r="C2682" s="69"/>
      <c r="D2682" s="69"/>
      <c r="E2682" s="185"/>
      <c r="F2682" s="69"/>
      <c r="G2682" s="185"/>
      <c r="H2682" s="69"/>
      <c r="I2682" s="69"/>
      <c r="J2682" s="69"/>
      <c r="K2682" s="69"/>
      <c r="L2682" s="69"/>
      <c r="M2682" s="69"/>
      <c r="N2682" s="69"/>
      <c r="O2682" s="69"/>
      <c r="P2682" s="69"/>
      <c r="Q2682" s="69"/>
      <c r="R2682" s="69"/>
      <c r="S2682" s="69"/>
      <c r="T2682" s="69"/>
      <c r="U2682" s="69"/>
      <c r="V2682" s="69"/>
      <c r="W2682" s="69"/>
      <c r="X2682" s="69"/>
      <c r="Y2682" s="69"/>
      <c r="Z2682" s="69"/>
      <c r="AA2682" s="69"/>
      <c r="AB2682" s="69"/>
      <c r="AC2682" s="69"/>
      <c r="AD2682" s="69"/>
      <c r="AE2682" s="69"/>
    </row>
    <row r="2683" spans="1:31" ht="22.5" customHeight="1">
      <c r="A2683" s="69"/>
      <c r="B2683" s="69"/>
      <c r="C2683" s="69"/>
      <c r="D2683" s="69"/>
      <c r="E2683" s="185"/>
      <c r="F2683" s="69"/>
      <c r="G2683" s="185"/>
      <c r="H2683" s="69"/>
      <c r="I2683" s="69"/>
      <c r="J2683" s="69"/>
      <c r="K2683" s="69"/>
      <c r="L2683" s="69"/>
      <c r="M2683" s="69"/>
      <c r="N2683" s="69"/>
      <c r="O2683" s="69"/>
      <c r="P2683" s="69"/>
      <c r="Q2683" s="69"/>
      <c r="R2683" s="69"/>
      <c r="S2683" s="69"/>
      <c r="T2683" s="69"/>
      <c r="U2683" s="69"/>
      <c r="V2683" s="69"/>
      <c r="W2683" s="69"/>
      <c r="X2683" s="69"/>
      <c r="Y2683" s="69"/>
      <c r="Z2683" s="69"/>
      <c r="AA2683" s="69"/>
      <c r="AB2683" s="69"/>
      <c r="AC2683" s="69"/>
      <c r="AD2683" s="69"/>
      <c r="AE2683" s="69"/>
    </row>
    <row r="2684" spans="1:31" ht="22.5" customHeight="1">
      <c r="A2684" s="69"/>
      <c r="B2684" s="69"/>
      <c r="C2684" s="69"/>
      <c r="D2684" s="69"/>
      <c r="E2684" s="185"/>
      <c r="F2684" s="69"/>
      <c r="G2684" s="185"/>
      <c r="H2684" s="69"/>
      <c r="I2684" s="69"/>
      <c r="J2684" s="69"/>
      <c r="K2684" s="69"/>
      <c r="L2684" s="69"/>
      <c r="M2684" s="69"/>
      <c r="N2684" s="69"/>
      <c r="O2684" s="69"/>
      <c r="P2684" s="69"/>
      <c r="Q2684" s="69"/>
      <c r="R2684" s="69"/>
      <c r="S2684" s="69"/>
      <c r="T2684" s="69"/>
      <c r="U2684" s="69"/>
      <c r="V2684" s="69"/>
      <c r="W2684" s="69"/>
      <c r="X2684" s="69"/>
      <c r="Y2684" s="69"/>
      <c r="Z2684" s="69"/>
      <c r="AA2684" s="69"/>
      <c r="AB2684" s="69"/>
      <c r="AC2684" s="69"/>
      <c r="AD2684" s="69"/>
      <c r="AE2684" s="69"/>
    </row>
    <row r="2685" spans="1:31" ht="22.5" customHeight="1">
      <c r="A2685" s="69"/>
      <c r="B2685" s="69"/>
      <c r="C2685" s="69"/>
      <c r="D2685" s="69"/>
      <c r="E2685" s="185"/>
      <c r="F2685" s="69"/>
      <c r="G2685" s="185"/>
      <c r="H2685" s="69"/>
      <c r="I2685" s="69"/>
      <c r="J2685" s="69"/>
      <c r="K2685" s="69"/>
      <c r="L2685" s="69"/>
      <c r="M2685" s="69"/>
      <c r="N2685" s="69"/>
      <c r="O2685" s="69"/>
      <c r="P2685" s="69"/>
      <c r="Q2685" s="69"/>
      <c r="R2685" s="69"/>
      <c r="S2685" s="69"/>
      <c r="T2685" s="69"/>
      <c r="U2685" s="69"/>
      <c r="V2685" s="69"/>
      <c r="W2685" s="69"/>
      <c r="X2685" s="69"/>
      <c r="Y2685" s="69"/>
      <c r="Z2685" s="69"/>
      <c r="AA2685" s="69"/>
      <c r="AB2685" s="69"/>
      <c r="AC2685" s="69"/>
      <c r="AD2685" s="69"/>
      <c r="AE2685" s="69"/>
    </row>
    <row r="2686" spans="1:31" ht="22.5" customHeight="1">
      <c r="A2686" s="69"/>
      <c r="B2686" s="69"/>
      <c r="C2686" s="69"/>
      <c r="D2686" s="69"/>
      <c r="E2686" s="185"/>
      <c r="F2686" s="69"/>
      <c r="G2686" s="185"/>
      <c r="H2686" s="69"/>
      <c r="I2686" s="69"/>
      <c r="J2686" s="69"/>
      <c r="K2686" s="69"/>
      <c r="L2686" s="69"/>
      <c r="M2686" s="69"/>
      <c r="N2686" s="69"/>
      <c r="O2686" s="69"/>
      <c r="P2686" s="69"/>
      <c r="Q2686" s="69"/>
      <c r="R2686" s="69"/>
      <c r="S2686" s="69"/>
      <c r="T2686" s="69"/>
      <c r="U2686" s="69"/>
      <c r="V2686" s="69"/>
      <c r="W2686" s="69"/>
      <c r="X2686" s="69"/>
      <c r="Y2686" s="69"/>
      <c r="Z2686" s="69"/>
      <c r="AA2686" s="69"/>
      <c r="AB2686" s="69"/>
      <c r="AC2686" s="69"/>
      <c r="AD2686" s="69"/>
      <c r="AE2686" s="69"/>
    </row>
    <row r="2687" spans="1:31" ht="22.5" customHeight="1">
      <c r="A2687" s="69"/>
      <c r="B2687" s="69"/>
      <c r="C2687" s="69"/>
      <c r="D2687" s="69"/>
      <c r="E2687" s="185"/>
      <c r="F2687" s="69"/>
      <c r="G2687" s="185"/>
      <c r="H2687" s="69"/>
      <c r="I2687" s="69"/>
      <c r="J2687" s="69"/>
      <c r="K2687" s="69"/>
      <c r="L2687" s="69"/>
      <c r="M2687" s="69"/>
      <c r="N2687" s="69"/>
      <c r="O2687" s="69"/>
      <c r="P2687" s="69"/>
      <c r="Q2687" s="69"/>
      <c r="R2687" s="69"/>
      <c r="S2687" s="69"/>
      <c r="T2687" s="69"/>
      <c r="U2687" s="69"/>
      <c r="V2687" s="69"/>
      <c r="W2687" s="69"/>
      <c r="X2687" s="69"/>
      <c r="Y2687" s="69"/>
      <c r="Z2687" s="69"/>
      <c r="AA2687" s="69"/>
      <c r="AB2687" s="69"/>
      <c r="AC2687" s="69"/>
      <c r="AD2687" s="69"/>
      <c r="AE2687" s="69"/>
    </row>
    <row r="2688" spans="1:31" ht="22.5" customHeight="1">
      <c r="A2688" s="69"/>
      <c r="B2688" s="69"/>
      <c r="C2688" s="69"/>
      <c r="D2688" s="69"/>
      <c r="E2688" s="185"/>
      <c r="F2688" s="69"/>
      <c r="G2688" s="185"/>
      <c r="H2688" s="69"/>
      <c r="I2688" s="69"/>
      <c r="J2688" s="69"/>
      <c r="K2688" s="69"/>
      <c r="L2688" s="69"/>
      <c r="M2688" s="69"/>
      <c r="N2688" s="69"/>
      <c r="O2688" s="69"/>
      <c r="P2688" s="69"/>
      <c r="Q2688" s="69"/>
      <c r="R2688" s="69"/>
      <c r="S2688" s="69"/>
      <c r="T2688" s="69"/>
      <c r="U2688" s="69"/>
      <c r="V2688" s="69"/>
      <c r="W2688" s="69"/>
      <c r="X2688" s="69"/>
      <c r="Y2688" s="69"/>
      <c r="Z2688" s="69"/>
      <c r="AA2688" s="69"/>
      <c r="AB2688" s="69"/>
      <c r="AC2688" s="69"/>
      <c r="AD2688" s="69"/>
      <c r="AE2688" s="69"/>
    </row>
    <row r="2689" spans="1:31" ht="22.5" customHeight="1">
      <c r="A2689" s="69"/>
      <c r="B2689" s="69"/>
      <c r="C2689" s="69"/>
      <c r="D2689" s="69"/>
      <c r="E2689" s="185"/>
      <c r="F2689" s="69"/>
      <c r="G2689" s="185"/>
      <c r="H2689" s="69"/>
      <c r="I2689" s="69"/>
      <c r="J2689" s="69"/>
      <c r="K2689" s="69"/>
      <c r="L2689" s="69"/>
      <c r="M2689" s="69"/>
      <c r="N2689" s="69"/>
      <c r="O2689" s="69"/>
      <c r="P2689" s="69"/>
      <c r="Q2689" s="69"/>
      <c r="R2689" s="69"/>
      <c r="S2689" s="69"/>
      <c r="T2689" s="69"/>
      <c r="U2689" s="69"/>
      <c r="V2689" s="69"/>
      <c r="W2689" s="69"/>
      <c r="X2689" s="69"/>
      <c r="Y2689" s="69"/>
      <c r="Z2689" s="69"/>
      <c r="AA2689" s="69"/>
      <c r="AB2689" s="69"/>
      <c r="AC2689" s="69"/>
      <c r="AD2689" s="69"/>
      <c r="AE2689" s="69"/>
    </row>
    <row r="2690" spans="1:31" ht="22.5" customHeight="1">
      <c r="A2690" s="69"/>
      <c r="B2690" s="69"/>
      <c r="C2690" s="69"/>
      <c r="D2690" s="69"/>
      <c r="E2690" s="185"/>
      <c r="F2690" s="69"/>
      <c r="G2690" s="185"/>
      <c r="H2690" s="69"/>
      <c r="I2690" s="69"/>
      <c r="J2690" s="69"/>
      <c r="K2690" s="69"/>
      <c r="L2690" s="69"/>
      <c r="M2690" s="69"/>
      <c r="N2690" s="69"/>
      <c r="O2690" s="69"/>
      <c r="P2690" s="69"/>
      <c r="Q2690" s="69"/>
      <c r="R2690" s="69"/>
      <c r="S2690" s="69"/>
      <c r="T2690" s="69"/>
      <c r="U2690" s="69"/>
      <c r="V2690" s="69"/>
      <c r="W2690" s="69"/>
      <c r="X2690" s="69"/>
      <c r="Y2690" s="69"/>
      <c r="Z2690" s="69"/>
      <c r="AA2690" s="69"/>
      <c r="AB2690" s="69"/>
      <c r="AC2690" s="69"/>
      <c r="AD2690" s="69"/>
      <c r="AE2690" s="69"/>
    </row>
    <row r="2691" spans="1:31" ht="22.5" customHeight="1">
      <c r="A2691" s="69"/>
      <c r="B2691" s="69"/>
      <c r="C2691" s="69"/>
      <c r="D2691" s="69"/>
      <c r="E2691" s="185"/>
      <c r="F2691" s="69"/>
      <c r="G2691" s="185"/>
      <c r="H2691" s="69"/>
      <c r="I2691" s="69"/>
      <c r="J2691" s="69"/>
      <c r="K2691" s="69"/>
      <c r="L2691" s="69"/>
      <c r="M2691" s="69"/>
      <c r="N2691" s="69"/>
      <c r="O2691" s="69"/>
      <c r="P2691" s="69"/>
      <c r="Q2691" s="69"/>
      <c r="R2691" s="69"/>
      <c r="S2691" s="69"/>
      <c r="T2691" s="69"/>
      <c r="U2691" s="69"/>
      <c r="V2691" s="69"/>
      <c r="W2691" s="69"/>
      <c r="X2691" s="69"/>
      <c r="Y2691" s="69"/>
      <c r="Z2691" s="69"/>
      <c r="AA2691" s="69"/>
      <c r="AB2691" s="69"/>
      <c r="AC2691" s="69"/>
      <c r="AD2691" s="69"/>
      <c r="AE2691" s="69"/>
    </row>
    <row r="2692" spans="1:31" ht="22.5" customHeight="1">
      <c r="A2692" s="69"/>
      <c r="B2692" s="69"/>
      <c r="C2692" s="69"/>
      <c r="D2692" s="69"/>
      <c r="E2692" s="185"/>
      <c r="F2692" s="69"/>
      <c r="G2692" s="185"/>
      <c r="H2692" s="69"/>
      <c r="I2692" s="69"/>
      <c r="J2692" s="69"/>
      <c r="K2692" s="69"/>
      <c r="L2692" s="69"/>
      <c r="M2692" s="69"/>
      <c r="N2692" s="69"/>
      <c r="O2692" s="69"/>
      <c r="P2692" s="69"/>
      <c r="Q2692" s="69"/>
      <c r="R2692" s="69"/>
      <c r="S2692" s="69"/>
      <c r="T2692" s="69"/>
      <c r="U2692" s="69"/>
      <c r="V2692" s="69"/>
      <c r="W2692" s="69"/>
      <c r="X2692" s="69"/>
      <c r="Y2692" s="69"/>
      <c r="Z2692" s="69"/>
      <c r="AA2692" s="69"/>
      <c r="AB2692" s="69"/>
      <c r="AC2692" s="69"/>
      <c r="AD2692" s="69"/>
      <c r="AE2692" s="69"/>
    </row>
    <row r="2693" spans="1:31" ht="22.5" customHeight="1">
      <c r="A2693" s="69"/>
      <c r="B2693" s="69"/>
      <c r="C2693" s="69"/>
      <c r="D2693" s="69"/>
      <c r="E2693" s="185"/>
      <c r="F2693" s="69"/>
      <c r="G2693" s="185"/>
      <c r="H2693" s="69"/>
      <c r="I2693" s="69"/>
      <c r="J2693" s="69"/>
      <c r="K2693" s="69"/>
      <c r="L2693" s="69"/>
      <c r="M2693" s="69"/>
      <c r="N2693" s="69"/>
      <c r="O2693" s="69"/>
      <c r="P2693" s="69"/>
      <c r="Q2693" s="69"/>
      <c r="R2693" s="69"/>
      <c r="S2693" s="69"/>
      <c r="T2693" s="69"/>
      <c r="U2693" s="69"/>
      <c r="V2693" s="69"/>
      <c r="W2693" s="69"/>
      <c r="X2693" s="69"/>
      <c r="Y2693" s="69"/>
      <c r="Z2693" s="69"/>
      <c r="AA2693" s="69"/>
      <c r="AB2693" s="69"/>
      <c r="AC2693" s="69"/>
      <c r="AD2693" s="69"/>
      <c r="AE2693" s="69"/>
    </row>
    <row r="2694" spans="1:31" ht="22.5" customHeight="1">
      <c r="A2694" s="69"/>
      <c r="B2694" s="69"/>
      <c r="C2694" s="69"/>
      <c r="D2694" s="69"/>
      <c r="E2694" s="185"/>
      <c r="F2694" s="69"/>
      <c r="G2694" s="185"/>
      <c r="H2694" s="69"/>
      <c r="I2694" s="69"/>
      <c r="J2694" s="69"/>
      <c r="K2694" s="69"/>
      <c r="L2694" s="69"/>
      <c r="M2694" s="69"/>
      <c r="N2694" s="69"/>
      <c r="O2694" s="69"/>
      <c r="P2694" s="69"/>
      <c r="Q2694" s="69"/>
      <c r="R2694" s="69"/>
      <c r="S2694" s="69"/>
      <c r="T2694" s="69"/>
      <c r="U2694" s="69"/>
      <c r="V2694" s="69"/>
      <c r="W2694" s="69"/>
      <c r="X2694" s="69"/>
      <c r="Y2694" s="69"/>
      <c r="Z2694" s="69"/>
      <c r="AA2694" s="69"/>
      <c r="AB2694" s="69"/>
      <c r="AC2694" s="69"/>
      <c r="AD2694" s="69"/>
      <c r="AE2694" s="69"/>
    </row>
    <row r="2695" spans="1:31" ht="22.5" customHeight="1">
      <c r="A2695" s="69"/>
      <c r="B2695" s="69"/>
      <c r="C2695" s="69"/>
      <c r="D2695" s="69"/>
      <c r="E2695" s="185"/>
      <c r="F2695" s="69"/>
      <c r="G2695" s="185"/>
      <c r="H2695" s="69"/>
      <c r="I2695" s="69"/>
      <c r="J2695" s="69"/>
      <c r="K2695" s="69"/>
      <c r="L2695" s="69"/>
      <c r="M2695" s="69"/>
      <c r="N2695" s="69"/>
      <c r="O2695" s="69"/>
      <c r="P2695" s="69"/>
      <c r="Q2695" s="69"/>
      <c r="R2695" s="69"/>
      <c r="S2695" s="69"/>
      <c r="T2695" s="69"/>
      <c r="U2695" s="69"/>
      <c r="V2695" s="69"/>
      <c r="W2695" s="69"/>
      <c r="X2695" s="69"/>
      <c r="Y2695" s="69"/>
      <c r="Z2695" s="69"/>
      <c r="AA2695" s="69"/>
      <c r="AB2695" s="69"/>
      <c r="AC2695" s="69"/>
      <c r="AD2695" s="69"/>
      <c r="AE2695" s="69"/>
    </row>
    <row r="2696" spans="1:31" ht="22.5" customHeight="1">
      <c r="A2696" s="69"/>
      <c r="B2696" s="69"/>
      <c r="C2696" s="69"/>
      <c r="D2696" s="69"/>
      <c r="E2696" s="185"/>
      <c r="F2696" s="69"/>
      <c r="G2696" s="185"/>
      <c r="H2696" s="69"/>
      <c r="I2696" s="69"/>
      <c r="J2696" s="69"/>
      <c r="K2696" s="69"/>
      <c r="L2696" s="69"/>
      <c r="M2696" s="69"/>
      <c r="N2696" s="69"/>
      <c r="O2696" s="69"/>
      <c r="P2696" s="69"/>
      <c r="Q2696" s="69"/>
      <c r="R2696" s="69"/>
      <c r="S2696" s="69"/>
      <c r="T2696" s="69"/>
      <c r="U2696" s="69"/>
      <c r="V2696" s="69"/>
      <c r="W2696" s="69"/>
      <c r="X2696" s="69"/>
      <c r="Y2696" s="69"/>
      <c r="Z2696" s="69"/>
      <c r="AA2696" s="69"/>
      <c r="AB2696" s="69"/>
      <c r="AC2696" s="69"/>
      <c r="AD2696" s="69"/>
      <c r="AE2696" s="69"/>
    </row>
    <row r="2697" spans="1:31" ht="22.5" customHeight="1">
      <c r="A2697" s="69"/>
      <c r="B2697" s="69"/>
      <c r="C2697" s="69"/>
      <c r="D2697" s="69"/>
      <c r="E2697" s="185"/>
      <c r="F2697" s="69"/>
      <c r="G2697" s="185"/>
      <c r="H2697" s="69"/>
      <c r="I2697" s="69"/>
      <c r="J2697" s="69"/>
      <c r="K2697" s="69"/>
      <c r="L2697" s="69"/>
      <c r="M2697" s="69"/>
      <c r="N2697" s="69"/>
      <c r="O2697" s="69"/>
      <c r="P2697" s="69"/>
      <c r="Q2697" s="69"/>
      <c r="R2697" s="69"/>
      <c r="S2697" s="69"/>
      <c r="T2697" s="69"/>
      <c r="U2697" s="69"/>
      <c r="V2697" s="69"/>
      <c r="W2697" s="69"/>
      <c r="X2697" s="69"/>
      <c r="Y2697" s="69"/>
      <c r="Z2697" s="69"/>
      <c r="AA2697" s="69"/>
      <c r="AB2697" s="69"/>
      <c r="AC2697" s="69"/>
      <c r="AD2697" s="69"/>
      <c r="AE2697" s="69"/>
    </row>
    <row r="2698" spans="1:31" ht="22.5" customHeight="1">
      <c r="A2698" s="69"/>
      <c r="B2698" s="69"/>
      <c r="C2698" s="69"/>
      <c r="D2698" s="69"/>
      <c r="E2698" s="185"/>
      <c r="F2698" s="69"/>
      <c r="G2698" s="185"/>
      <c r="H2698" s="69"/>
      <c r="I2698" s="69"/>
      <c r="J2698" s="69"/>
      <c r="K2698" s="69"/>
      <c r="L2698" s="69"/>
      <c r="M2698" s="69"/>
      <c r="N2698" s="69"/>
      <c r="O2698" s="69"/>
      <c r="P2698" s="69"/>
      <c r="Q2698" s="69"/>
      <c r="R2698" s="69"/>
      <c r="S2698" s="69"/>
      <c r="T2698" s="69"/>
      <c r="U2698" s="69"/>
      <c r="V2698" s="69"/>
      <c r="W2698" s="69"/>
      <c r="X2698" s="69"/>
      <c r="Y2698" s="69"/>
      <c r="Z2698" s="69"/>
      <c r="AA2698" s="69"/>
      <c r="AB2698" s="69"/>
      <c r="AC2698" s="69"/>
      <c r="AD2698" s="69"/>
      <c r="AE2698" s="69"/>
    </row>
    <row r="2699" spans="1:31" ht="22.5" customHeight="1">
      <c r="A2699" s="69"/>
      <c r="B2699" s="69"/>
      <c r="C2699" s="69"/>
      <c r="D2699" s="69"/>
      <c r="E2699" s="185"/>
      <c r="F2699" s="69"/>
      <c r="G2699" s="185"/>
      <c r="H2699" s="69"/>
      <c r="I2699" s="69"/>
      <c r="J2699" s="69"/>
      <c r="K2699" s="69"/>
      <c r="L2699" s="69"/>
      <c r="M2699" s="69"/>
      <c r="N2699" s="69"/>
      <c r="O2699" s="69"/>
      <c r="P2699" s="69"/>
      <c r="Q2699" s="69"/>
      <c r="R2699" s="69"/>
      <c r="S2699" s="69"/>
      <c r="T2699" s="69"/>
      <c r="U2699" s="69"/>
      <c r="V2699" s="69"/>
      <c r="W2699" s="69"/>
      <c r="X2699" s="69"/>
      <c r="Y2699" s="69"/>
      <c r="Z2699" s="69"/>
      <c r="AA2699" s="69"/>
      <c r="AB2699" s="69"/>
      <c r="AC2699" s="69"/>
      <c r="AD2699" s="69"/>
      <c r="AE2699" s="69"/>
    </row>
    <row r="2700" spans="1:31" ht="22.5" customHeight="1">
      <c r="A2700" s="69"/>
      <c r="B2700" s="69"/>
      <c r="C2700" s="69"/>
      <c r="D2700" s="69"/>
      <c r="E2700" s="185"/>
      <c r="F2700" s="69"/>
      <c r="G2700" s="185"/>
      <c r="H2700" s="69"/>
      <c r="I2700" s="69"/>
      <c r="J2700" s="69"/>
      <c r="K2700" s="69"/>
      <c r="L2700" s="69"/>
      <c r="M2700" s="69"/>
      <c r="N2700" s="69"/>
      <c r="O2700" s="69"/>
      <c r="P2700" s="69"/>
      <c r="Q2700" s="69"/>
      <c r="R2700" s="69"/>
      <c r="S2700" s="69"/>
      <c r="T2700" s="69"/>
      <c r="U2700" s="69"/>
      <c r="V2700" s="69"/>
      <c r="W2700" s="69"/>
      <c r="X2700" s="69"/>
      <c r="Y2700" s="69"/>
      <c r="Z2700" s="69"/>
      <c r="AA2700" s="69"/>
      <c r="AB2700" s="69"/>
      <c r="AC2700" s="69"/>
      <c r="AD2700" s="69"/>
      <c r="AE2700" s="69"/>
    </row>
    <row r="2701" spans="1:31" ht="22.5" customHeight="1">
      <c r="A2701" s="69"/>
      <c r="B2701" s="69"/>
      <c r="C2701" s="69"/>
      <c r="D2701" s="69"/>
      <c r="E2701" s="185"/>
      <c r="F2701" s="69"/>
      <c r="G2701" s="185"/>
      <c r="H2701" s="69"/>
      <c r="I2701" s="69"/>
      <c r="J2701" s="69"/>
      <c r="K2701" s="69"/>
      <c r="L2701" s="69"/>
      <c r="M2701" s="69"/>
      <c r="N2701" s="69"/>
      <c r="O2701" s="69"/>
      <c r="P2701" s="69"/>
      <c r="Q2701" s="69"/>
      <c r="R2701" s="69"/>
      <c r="S2701" s="69"/>
      <c r="T2701" s="69"/>
      <c r="U2701" s="69"/>
      <c r="V2701" s="69"/>
      <c r="W2701" s="69"/>
      <c r="X2701" s="69"/>
      <c r="Y2701" s="69"/>
      <c r="Z2701" s="69"/>
      <c r="AA2701" s="69"/>
      <c r="AB2701" s="69"/>
      <c r="AC2701" s="69"/>
      <c r="AD2701" s="69"/>
      <c r="AE2701" s="69"/>
    </row>
    <row r="2702" spans="1:31" ht="22.5" customHeight="1">
      <c r="A2702" s="69"/>
      <c r="B2702" s="69"/>
      <c r="C2702" s="69"/>
      <c r="D2702" s="69"/>
      <c r="E2702" s="185"/>
      <c r="F2702" s="69"/>
      <c r="G2702" s="185"/>
      <c r="H2702" s="69"/>
      <c r="I2702" s="69"/>
      <c r="J2702" s="69"/>
      <c r="K2702" s="69"/>
      <c r="L2702" s="69"/>
      <c r="M2702" s="69"/>
      <c r="N2702" s="69"/>
      <c r="O2702" s="69"/>
      <c r="P2702" s="69"/>
      <c r="Q2702" s="69"/>
      <c r="R2702" s="69"/>
      <c r="S2702" s="69"/>
      <c r="T2702" s="69"/>
      <c r="U2702" s="69"/>
      <c r="V2702" s="69"/>
      <c r="W2702" s="69"/>
      <c r="X2702" s="69"/>
      <c r="Y2702" s="69"/>
      <c r="Z2702" s="69"/>
      <c r="AA2702" s="69"/>
      <c r="AB2702" s="69"/>
      <c r="AC2702" s="69"/>
      <c r="AD2702" s="69"/>
      <c r="AE2702" s="69"/>
    </row>
    <row r="2703" spans="1:31" ht="22.5" customHeight="1">
      <c r="A2703" s="69"/>
      <c r="B2703" s="69"/>
      <c r="C2703" s="69"/>
      <c r="D2703" s="69"/>
      <c r="E2703" s="185"/>
      <c r="F2703" s="69"/>
      <c r="G2703" s="185"/>
      <c r="H2703" s="69"/>
      <c r="I2703" s="69"/>
      <c r="J2703" s="69"/>
      <c r="K2703" s="69"/>
      <c r="L2703" s="69"/>
      <c r="M2703" s="69"/>
      <c r="N2703" s="69"/>
      <c r="O2703" s="69"/>
      <c r="P2703" s="69"/>
      <c r="Q2703" s="69"/>
      <c r="R2703" s="69"/>
      <c r="S2703" s="69"/>
      <c r="T2703" s="69"/>
      <c r="U2703" s="69"/>
      <c r="V2703" s="69"/>
      <c r="W2703" s="69"/>
      <c r="X2703" s="69"/>
      <c r="Y2703" s="69"/>
      <c r="Z2703" s="69"/>
      <c r="AA2703" s="69"/>
      <c r="AB2703" s="69"/>
      <c r="AC2703" s="69"/>
      <c r="AD2703" s="69"/>
      <c r="AE2703" s="69"/>
    </row>
    <row r="2704" spans="1:31" ht="22.5" customHeight="1">
      <c r="A2704" s="69"/>
      <c r="B2704" s="69"/>
      <c r="C2704" s="69"/>
      <c r="D2704" s="69"/>
      <c r="E2704" s="185"/>
      <c r="F2704" s="69"/>
      <c r="G2704" s="185"/>
      <c r="H2704" s="69"/>
      <c r="I2704" s="69"/>
      <c r="J2704" s="69"/>
      <c r="K2704" s="69"/>
      <c r="L2704" s="69"/>
      <c r="M2704" s="69"/>
      <c r="N2704" s="69"/>
      <c r="O2704" s="69"/>
      <c r="P2704" s="69"/>
      <c r="Q2704" s="69"/>
      <c r="R2704" s="69"/>
      <c r="S2704" s="69"/>
      <c r="T2704" s="69"/>
      <c r="U2704" s="69"/>
      <c r="V2704" s="69"/>
      <c r="W2704" s="69"/>
      <c r="X2704" s="69"/>
      <c r="Y2704" s="69"/>
      <c r="Z2704" s="69"/>
      <c r="AA2704" s="69"/>
      <c r="AB2704" s="69"/>
      <c r="AC2704" s="69"/>
      <c r="AD2704" s="69"/>
      <c r="AE2704" s="69"/>
    </row>
    <row r="2705" spans="1:31" ht="22.5" customHeight="1">
      <c r="A2705" s="69"/>
      <c r="B2705" s="69"/>
      <c r="C2705" s="69"/>
      <c r="D2705" s="69"/>
      <c r="E2705" s="185"/>
      <c r="F2705" s="69"/>
      <c r="G2705" s="185"/>
      <c r="H2705" s="69"/>
      <c r="I2705" s="69"/>
      <c r="J2705" s="69"/>
      <c r="K2705" s="69"/>
      <c r="L2705" s="69"/>
      <c r="M2705" s="69"/>
      <c r="N2705" s="69"/>
      <c r="O2705" s="69"/>
      <c r="P2705" s="69"/>
      <c r="Q2705" s="69"/>
      <c r="R2705" s="69"/>
      <c r="S2705" s="69"/>
      <c r="T2705" s="69"/>
      <c r="U2705" s="69"/>
      <c r="V2705" s="69"/>
      <c r="W2705" s="69"/>
      <c r="X2705" s="69"/>
      <c r="Y2705" s="69"/>
      <c r="Z2705" s="69"/>
      <c r="AA2705" s="69"/>
      <c r="AB2705" s="69"/>
      <c r="AC2705" s="69"/>
      <c r="AD2705" s="69"/>
      <c r="AE2705" s="69"/>
    </row>
    <row r="2706" spans="1:31" ht="22.5" customHeight="1">
      <c r="A2706" s="69"/>
      <c r="B2706" s="69"/>
      <c r="C2706" s="69"/>
      <c r="D2706" s="69"/>
      <c r="E2706" s="185"/>
      <c r="F2706" s="69"/>
      <c r="G2706" s="185"/>
      <c r="H2706" s="69"/>
      <c r="I2706" s="69"/>
      <c r="J2706" s="69"/>
      <c r="K2706" s="69"/>
      <c r="L2706" s="69"/>
      <c r="M2706" s="69"/>
      <c r="N2706" s="69"/>
      <c r="O2706" s="69"/>
      <c r="P2706" s="69"/>
      <c r="Q2706" s="69"/>
      <c r="R2706" s="69"/>
      <c r="S2706" s="69"/>
      <c r="T2706" s="69"/>
      <c r="U2706" s="69"/>
      <c r="V2706" s="69"/>
      <c r="W2706" s="69"/>
      <c r="X2706" s="69"/>
      <c r="Y2706" s="69"/>
      <c r="Z2706" s="69"/>
      <c r="AA2706" s="69"/>
      <c r="AB2706" s="69"/>
      <c r="AC2706" s="69"/>
      <c r="AD2706" s="69"/>
      <c r="AE2706" s="69"/>
    </row>
    <row r="2707" spans="1:31" ht="22.5" customHeight="1">
      <c r="A2707" s="69"/>
      <c r="B2707" s="69"/>
      <c r="C2707" s="69"/>
      <c r="D2707" s="69"/>
      <c r="E2707" s="185"/>
      <c r="F2707" s="69"/>
      <c r="G2707" s="185"/>
      <c r="H2707" s="69"/>
      <c r="I2707" s="69"/>
      <c r="J2707" s="69"/>
      <c r="K2707" s="69"/>
      <c r="L2707" s="69"/>
      <c r="M2707" s="69"/>
      <c r="N2707" s="69"/>
      <c r="O2707" s="69"/>
      <c r="P2707" s="69"/>
      <c r="Q2707" s="69"/>
      <c r="R2707" s="69"/>
      <c r="S2707" s="69"/>
      <c r="T2707" s="69"/>
      <c r="U2707" s="69"/>
      <c r="V2707" s="69"/>
      <c r="W2707" s="69"/>
      <c r="X2707" s="69"/>
      <c r="Y2707" s="69"/>
      <c r="Z2707" s="69"/>
      <c r="AA2707" s="69"/>
      <c r="AB2707" s="69"/>
      <c r="AC2707" s="69"/>
      <c r="AD2707" s="69"/>
      <c r="AE2707" s="69"/>
    </row>
    <row r="2708" spans="1:31" ht="22.5" customHeight="1">
      <c r="A2708" s="69"/>
      <c r="B2708" s="69"/>
      <c r="C2708" s="69"/>
      <c r="D2708" s="69"/>
      <c r="E2708" s="185"/>
      <c r="F2708" s="69"/>
      <c r="G2708" s="185"/>
      <c r="H2708" s="69"/>
      <c r="I2708" s="69"/>
      <c r="J2708" s="69"/>
      <c r="K2708" s="69"/>
      <c r="L2708" s="69"/>
      <c r="M2708" s="69"/>
      <c r="N2708" s="69"/>
      <c r="O2708" s="69"/>
      <c r="P2708" s="69"/>
      <c r="Q2708" s="69"/>
      <c r="R2708" s="69"/>
      <c r="S2708" s="69"/>
      <c r="T2708" s="69"/>
      <c r="U2708" s="69"/>
      <c r="V2708" s="69"/>
      <c r="W2708" s="69"/>
      <c r="X2708" s="69"/>
      <c r="Y2708" s="69"/>
      <c r="Z2708" s="69"/>
      <c r="AA2708" s="69"/>
      <c r="AB2708" s="69"/>
      <c r="AC2708" s="69"/>
      <c r="AD2708" s="69"/>
      <c r="AE2708" s="69"/>
    </row>
    <row r="2709" spans="1:31" ht="22.5" customHeight="1">
      <c r="A2709" s="69"/>
      <c r="B2709" s="69"/>
      <c r="C2709" s="69"/>
      <c r="D2709" s="69"/>
      <c r="E2709" s="185"/>
      <c r="F2709" s="69"/>
      <c r="G2709" s="185"/>
      <c r="H2709" s="69"/>
      <c r="I2709" s="69"/>
      <c r="J2709" s="69"/>
      <c r="K2709" s="69"/>
      <c r="L2709" s="69"/>
      <c r="M2709" s="69"/>
      <c r="N2709" s="69"/>
      <c r="O2709" s="69"/>
      <c r="P2709" s="69"/>
      <c r="Q2709" s="69"/>
      <c r="R2709" s="69"/>
      <c r="S2709" s="69"/>
      <c r="T2709" s="69"/>
      <c r="U2709" s="69"/>
      <c r="V2709" s="69"/>
      <c r="W2709" s="69"/>
      <c r="X2709" s="69"/>
      <c r="Y2709" s="69"/>
      <c r="Z2709" s="69"/>
      <c r="AA2709" s="69"/>
      <c r="AB2709" s="69"/>
      <c r="AC2709" s="69"/>
      <c r="AD2709" s="69"/>
      <c r="AE2709" s="69"/>
    </row>
    <row r="2710" spans="1:31" ht="22.5" customHeight="1">
      <c r="A2710" s="69"/>
      <c r="B2710" s="69"/>
      <c r="C2710" s="69"/>
      <c r="D2710" s="69"/>
      <c r="E2710" s="185"/>
      <c r="F2710" s="69"/>
      <c r="G2710" s="185"/>
      <c r="H2710" s="69"/>
      <c r="I2710" s="69"/>
      <c r="J2710" s="69"/>
      <c r="K2710" s="69"/>
      <c r="L2710" s="69"/>
      <c r="M2710" s="69"/>
      <c r="N2710" s="69"/>
      <c r="O2710" s="69"/>
      <c r="P2710" s="69"/>
      <c r="Q2710" s="69"/>
      <c r="R2710" s="69"/>
      <c r="S2710" s="69"/>
      <c r="T2710" s="69"/>
      <c r="U2710" s="69"/>
      <c r="V2710" s="69"/>
      <c r="W2710" s="69"/>
      <c r="X2710" s="69"/>
      <c r="Y2710" s="69"/>
      <c r="Z2710" s="69"/>
      <c r="AA2710" s="69"/>
      <c r="AB2710" s="69"/>
      <c r="AC2710" s="69"/>
      <c r="AD2710" s="69"/>
      <c r="AE2710" s="69"/>
    </row>
    <row r="2711" spans="1:31" ht="22.5" customHeight="1">
      <c r="A2711" s="69"/>
      <c r="B2711" s="69"/>
      <c r="C2711" s="69"/>
      <c r="D2711" s="69"/>
      <c r="E2711" s="185"/>
      <c r="F2711" s="69"/>
      <c r="G2711" s="185"/>
      <c r="H2711" s="69"/>
      <c r="I2711" s="69"/>
      <c r="J2711" s="69"/>
      <c r="K2711" s="69"/>
      <c r="L2711" s="69"/>
      <c r="M2711" s="69"/>
      <c r="N2711" s="69"/>
      <c r="O2711" s="69"/>
      <c r="P2711" s="69"/>
      <c r="Q2711" s="69"/>
      <c r="R2711" s="69"/>
      <c r="S2711" s="69"/>
      <c r="T2711" s="69"/>
      <c r="U2711" s="69"/>
      <c r="V2711" s="69"/>
      <c r="W2711" s="69"/>
      <c r="X2711" s="69"/>
      <c r="Y2711" s="69"/>
      <c r="Z2711" s="69"/>
      <c r="AA2711" s="69"/>
      <c r="AB2711" s="69"/>
      <c r="AC2711" s="69"/>
      <c r="AD2711" s="69"/>
      <c r="AE2711" s="69"/>
    </row>
    <row r="2712" spans="1:31" ht="22.5" customHeight="1">
      <c r="A2712" s="69"/>
      <c r="B2712" s="69"/>
      <c r="C2712" s="69"/>
      <c r="D2712" s="69"/>
      <c r="E2712" s="185"/>
      <c r="F2712" s="69"/>
      <c r="G2712" s="185"/>
      <c r="H2712" s="69"/>
      <c r="I2712" s="69"/>
      <c r="J2712" s="69"/>
      <c r="K2712" s="69"/>
      <c r="L2712" s="69"/>
      <c r="M2712" s="69"/>
      <c r="N2712" s="69"/>
      <c r="O2712" s="69"/>
      <c r="P2712" s="69"/>
      <c r="Q2712" s="69"/>
      <c r="R2712" s="69"/>
      <c r="S2712" s="69"/>
      <c r="T2712" s="69"/>
      <c r="U2712" s="69"/>
      <c r="V2712" s="69"/>
      <c r="W2712" s="69"/>
      <c r="X2712" s="69"/>
      <c r="Y2712" s="69"/>
      <c r="Z2712" s="69"/>
      <c r="AA2712" s="69"/>
      <c r="AB2712" s="69"/>
      <c r="AC2712" s="69"/>
      <c r="AD2712" s="69"/>
      <c r="AE2712" s="69"/>
    </row>
    <row r="2713" spans="1:31" ht="22.5" customHeight="1">
      <c r="A2713" s="69"/>
      <c r="B2713" s="69"/>
      <c r="C2713" s="69"/>
      <c r="D2713" s="69"/>
      <c r="E2713" s="185"/>
      <c r="F2713" s="69"/>
      <c r="G2713" s="185"/>
      <c r="H2713" s="69"/>
      <c r="I2713" s="69"/>
      <c r="J2713" s="69"/>
      <c r="K2713" s="69"/>
      <c r="L2713" s="69"/>
      <c r="M2713" s="69"/>
      <c r="N2713" s="69"/>
      <c r="O2713" s="69"/>
      <c r="P2713" s="69"/>
      <c r="Q2713" s="69"/>
      <c r="R2713" s="69"/>
      <c r="S2713" s="69"/>
      <c r="T2713" s="69"/>
      <c r="U2713" s="69"/>
      <c r="V2713" s="69"/>
      <c r="W2713" s="69"/>
      <c r="X2713" s="69"/>
      <c r="Y2713" s="69"/>
      <c r="Z2713" s="69"/>
      <c r="AA2713" s="69"/>
      <c r="AB2713" s="69"/>
      <c r="AC2713" s="69"/>
      <c r="AD2713" s="69"/>
      <c r="AE2713" s="69"/>
    </row>
    <row r="2714" spans="1:31" ht="22.5" customHeight="1">
      <c r="A2714" s="69"/>
      <c r="B2714" s="69"/>
      <c r="C2714" s="69"/>
      <c r="D2714" s="69"/>
      <c r="E2714" s="185"/>
      <c r="F2714" s="69"/>
      <c r="G2714" s="185"/>
      <c r="H2714" s="69"/>
      <c r="I2714" s="69"/>
      <c r="J2714" s="69"/>
      <c r="K2714" s="69"/>
      <c r="L2714" s="69"/>
      <c r="M2714" s="69"/>
      <c r="N2714" s="69"/>
      <c r="O2714" s="69"/>
      <c r="P2714" s="69"/>
      <c r="Q2714" s="69"/>
      <c r="R2714" s="69"/>
      <c r="S2714" s="69"/>
      <c r="T2714" s="69"/>
      <c r="U2714" s="69"/>
      <c r="V2714" s="69"/>
      <c r="W2714" s="69"/>
      <c r="X2714" s="69"/>
      <c r="Y2714" s="69"/>
      <c r="Z2714" s="69"/>
      <c r="AA2714" s="69"/>
      <c r="AB2714" s="69"/>
      <c r="AC2714" s="69"/>
      <c r="AD2714" s="69"/>
      <c r="AE2714" s="69"/>
    </row>
    <row r="2715" spans="1:31" ht="22.5" customHeight="1">
      <c r="A2715" s="69"/>
      <c r="B2715" s="69"/>
      <c r="C2715" s="69"/>
      <c r="D2715" s="69"/>
      <c r="E2715" s="185"/>
      <c r="F2715" s="69"/>
      <c r="G2715" s="185"/>
      <c r="H2715" s="69"/>
      <c r="I2715" s="69"/>
      <c r="J2715" s="69"/>
      <c r="K2715" s="69"/>
      <c r="L2715" s="69"/>
      <c r="M2715" s="69"/>
      <c r="N2715" s="69"/>
      <c r="O2715" s="69"/>
      <c r="P2715" s="69"/>
      <c r="Q2715" s="69"/>
      <c r="R2715" s="69"/>
      <c r="S2715" s="69"/>
      <c r="T2715" s="69"/>
      <c r="U2715" s="69"/>
      <c r="V2715" s="69"/>
      <c r="W2715" s="69"/>
      <c r="X2715" s="69"/>
      <c r="Y2715" s="69"/>
      <c r="Z2715" s="69"/>
      <c r="AA2715" s="69"/>
      <c r="AB2715" s="69"/>
      <c r="AC2715" s="69"/>
      <c r="AD2715" s="69"/>
      <c r="AE2715" s="69"/>
    </row>
    <row r="2716" spans="1:31" ht="22.5" customHeight="1">
      <c r="A2716" s="69"/>
      <c r="B2716" s="69"/>
      <c r="C2716" s="69"/>
      <c r="D2716" s="69"/>
      <c r="E2716" s="185"/>
      <c r="F2716" s="69"/>
      <c r="G2716" s="185"/>
      <c r="H2716" s="69"/>
      <c r="I2716" s="69"/>
      <c r="J2716" s="69"/>
      <c r="K2716" s="69"/>
      <c r="L2716" s="69"/>
      <c r="M2716" s="69"/>
      <c r="N2716" s="69"/>
      <c r="O2716" s="69"/>
      <c r="P2716" s="69"/>
      <c r="Q2716" s="69"/>
      <c r="R2716" s="69"/>
      <c r="S2716" s="69"/>
      <c r="T2716" s="69"/>
      <c r="U2716" s="69"/>
      <c r="V2716" s="69"/>
      <c r="W2716" s="69"/>
      <c r="X2716" s="69"/>
      <c r="Y2716" s="69"/>
      <c r="Z2716" s="69"/>
      <c r="AA2716" s="69"/>
      <c r="AB2716" s="69"/>
      <c r="AC2716" s="69"/>
      <c r="AD2716" s="69"/>
      <c r="AE2716" s="69"/>
    </row>
    <row r="2717" spans="1:31" ht="22.5" customHeight="1">
      <c r="A2717" s="69"/>
      <c r="B2717" s="69"/>
      <c r="C2717" s="69"/>
      <c r="D2717" s="69"/>
      <c r="E2717" s="185"/>
      <c r="F2717" s="69"/>
      <c r="G2717" s="185"/>
      <c r="H2717" s="69"/>
      <c r="I2717" s="69"/>
      <c r="J2717" s="69"/>
      <c r="K2717" s="69"/>
      <c r="L2717" s="69"/>
      <c r="M2717" s="69"/>
      <c r="N2717" s="69"/>
      <c r="O2717" s="69"/>
      <c r="P2717" s="69"/>
      <c r="Q2717" s="69"/>
      <c r="R2717" s="69"/>
      <c r="S2717" s="69"/>
      <c r="T2717" s="69"/>
      <c r="U2717" s="69"/>
      <c r="V2717" s="69"/>
      <c r="W2717" s="69"/>
      <c r="X2717" s="69"/>
      <c r="Y2717" s="69"/>
      <c r="Z2717" s="69"/>
      <c r="AA2717" s="69"/>
      <c r="AB2717" s="69"/>
      <c r="AC2717" s="69"/>
      <c r="AD2717" s="69"/>
      <c r="AE2717" s="69"/>
    </row>
    <row r="2718" spans="1:31" ht="22.5" customHeight="1">
      <c r="A2718" s="69"/>
      <c r="B2718" s="69"/>
      <c r="C2718" s="69"/>
      <c r="D2718" s="69"/>
      <c r="E2718" s="185"/>
      <c r="F2718" s="69"/>
      <c r="G2718" s="185"/>
      <c r="H2718" s="69"/>
      <c r="I2718" s="69"/>
      <c r="J2718" s="69"/>
      <c r="K2718" s="69"/>
      <c r="L2718" s="69"/>
      <c r="M2718" s="69"/>
      <c r="N2718" s="69"/>
      <c r="O2718" s="69"/>
      <c r="P2718" s="69"/>
      <c r="Q2718" s="69"/>
      <c r="R2718" s="69"/>
      <c r="S2718" s="69"/>
      <c r="T2718" s="69"/>
      <c r="U2718" s="69"/>
      <c r="V2718" s="69"/>
      <c r="W2718" s="69"/>
      <c r="X2718" s="69"/>
      <c r="Y2718" s="69"/>
      <c r="Z2718" s="69"/>
      <c r="AA2718" s="69"/>
      <c r="AB2718" s="69"/>
      <c r="AC2718" s="69"/>
      <c r="AD2718" s="69"/>
      <c r="AE2718" s="69"/>
    </row>
    <row r="2719" spans="1:31" ht="22.5" customHeight="1">
      <c r="A2719" s="69"/>
      <c r="B2719" s="69"/>
      <c r="C2719" s="69"/>
      <c r="D2719" s="69"/>
      <c r="E2719" s="185"/>
      <c r="F2719" s="69"/>
      <c r="G2719" s="185"/>
      <c r="H2719" s="69"/>
      <c r="I2719" s="69"/>
      <c r="J2719" s="69"/>
      <c r="K2719" s="69"/>
      <c r="L2719" s="69"/>
      <c r="M2719" s="69"/>
      <c r="N2719" s="69"/>
      <c r="O2719" s="69"/>
      <c r="P2719" s="69"/>
      <c r="Q2719" s="69"/>
      <c r="R2719" s="69"/>
      <c r="S2719" s="69"/>
      <c r="T2719" s="69"/>
      <c r="U2719" s="69"/>
      <c r="V2719" s="69"/>
      <c r="W2719" s="69"/>
      <c r="X2719" s="69"/>
      <c r="Y2719" s="69"/>
      <c r="Z2719" s="69"/>
      <c r="AA2719" s="69"/>
      <c r="AB2719" s="69"/>
      <c r="AC2719" s="69"/>
      <c r="AD2719" s="69"/>
      <c r="AE2719" s="69"/>
    </row>
    <row r="2720" spans="1:31" ht="22.5" customHeight="1">
      <c r="A2720" s="69"/>
      <c r="B2720" s="69"/>
      <c r="C2720" s="69"/>
      <c r="D2720" s="69"/>
      <c r="E2720" s="185"/>
      <c r="F2720" s="69"/>
      <c r="G2720" s="185"/>
      <c r="H2720" s="69"/>
      <c r="I2720" s="69"/>
      <c r="J2720" s="69"/>
      <c r="K2720" s="69"/>
      <c r="L2720" s="69"/>
      <c r="M2720" s="69"/>
      <c r="N2720" s="69"/>
      <c r="O2720" s="69"/>
      <c r="P2720" s="69"/>
      <c r="Q2720" s="69"/>
      <c r="R2720" s="69"/>
      <c r="S2720" s="69"/>
      <c r="T2720" s="69"/>
      <c r="U2720" s="69"/>
      <c r="V2720" s="69"/>
      <c r="W2720" s="69"/>
      <c r="X2720" s="69"/>
      <c r="Y2720" s="69"/>
      <c r="Z2720" s="69"/>
      <c r="AA2720" s="69"/>
      <c r="AB2720" s="69"/>
      <c r="AC2720" s="69"/>
      <c r="AD2720" s="69"/>
      <c r="AE2720" s="69"/>
    </row>
    <row r="2721" spans="1:31" ht="22.5" customHeight="1">
      <c r="A2721" s="69"/>
      <c r="B2721" s="69"/>
      <c r="C2721" s="69"/>
      <c r="D2721" s="69"/>
      <c r="E2721" s="185"/>
      <c r="F2721" s="69"/>
      <c r="G2721" s="185"/>
      <c r="H2721" s="69"/>
      <c r="I2721" s="69"/>
      <c r="J2721" s="69"/>
      <c r="K2721" s="69"/>
      <c r="L2721" s="69"/>
      <c r="M2721" s="69"/>
      <c r="N2721" s="69"/>
      <c r="O2721" s="69"/>
      <c r="P2721" s="69"/>
      <c r="Q2721" s="69"/>
      <c r="R2721" s="69"/>
      <c r="S2721" s="69"/>
      <c r="T2721" s="69"/>
      <c r="U2721" s="69"/>
      <c r="V2721" s="69"/>
      <c r="W2721" s="69"/>
      <c r="X2721" s="69"/>
      <c r="Y2721" s="69"/>
      <c r="Z2721" s="69"/>
      <c r="AA2721" s="69"/>
      <c r="AB2721" s="69"/>
      <c r="AC2721" s="69"/>
      <c r="AD2721" s="69"/>
      <c r="AE2721" s="69"/>
    </row>
    <row r="2722" spans="1:31" ht="22.5" customHeight="1">
      <c r="A2722" s="69"/>
      <c r="B2722" s="69"/>
      <c r="C2722" s="69"/>
      <c r="D2722" s="69"/>
      <c r="E2722" s="185"/>
      <c r="F2722" s="69"/>
      <c r="G2722" s="185"/>
      <c r="H2722" s="69"/>
      <c r="I2722" s="69"/>
      <c r="J2722" s="69"/>
      <c r="K2722" s="69"/>
      <c r="L2722" s="69"/>
      <c r="M2722" s="69"/>
      <c r="N2722" s="69"/>
      <c r="O2722" s="69"/>
      <c r="P2722" s="69"/>
      <c r="Q2722" s="69"/>
      <c r="R2722" s="69"/>
      <c r="S2722" s="69"/>
      <c r="T2722" s="69"/>
      <c r="U2722" s="69"/>
      <c r="V2722" s="69"/>
      <c r="W2722" s="69"/>
      <c r="X2722" s="69"/>
      <c r="Y2722" s="69"/>
      <c r="Z2722" s="69"/>
      <c r="AA2722" s="69"/>
      <c r="AB2722" s="69"/>
      <c r="AC2722" s="69"/>
      <c r="AD2722" s="69"/>
      <c r="AE2722" s="69"/>
    </row>
    <row r="2723" spans="1:31" ht="22.5" customHeight="1">
      <c r="A2723" s="69"/>
      <c r="B2723" s="69"/>
      <c r="C2723" s="69"/>
      <c r="D2723" s="69"/>
      <c r="E2723" s="185"/>
      <c r="F2723" s="69"/>
      <c r="G2723" s="185"/>
      <c r="H2723" s="69"/>
      <c r="I2723" s="69"/>
      <c r="J2723" s="69"/>
      <c r="K2723" s="69"/>
      <c r="L2723" s="69"/>
      <c r="M2723" s="69"/>
      <c r="N2723" s="69"/>
      <c r="O2723" s="69"/>
      <c r="P2723" s="69"/>
      <c r="Q2723" s="69"/>
      <c r="R2723" s="69"/>
      <c r="S2723" s="69"/>
      <c r="T2723" s="69"/>
      <c r="U2723" s="69"/>
      <c r="V2723" s="69"/>
      <c r="W2723" s="69"/>
      <c r="X2723" s="69"/>
      <c r="Y2723" s="69"/>
      <c r="Z2723" s="69"/>
      <c r="AA2723" s="69"/>
      <c r="AB2723" s="69"/>
      <c r="AC2723" s="69"/>
      <c r="AD2723" s="69"/>
      <c r="AE2723" s="69"/>
    </row>
    <row r="2724" spans="1:31" ht="22.5" customHeight="1">
      <c r="A2724" s="69"/>
      <c r="B2724" s="69"/>
      <c r="C2724" s="69"/>
      <c r="D2724" s="69"/>
      <c r="E2724" s="185"/>
      <c r="F2724" s="69"/>
      <c r="G2724" s="185"/>
      <c r="H2724" s="69"/>
      <c r="I2724" s="69"/>
      <c r="J2724" s="69"/>
      <c r="K2724" s="69"/>
      <c r="L2724" s="69"/>
      <c r="M2724" s="69"/>
      <c r="N2724" s="69"/>
      <c r="O2724" s="69"/>
      <c r="P2724" s="69"/>
      <c r="Q2724" s="69"/>
      <c r="R2724" s="69"/>
      <c r="S2724" s="69"/>
      <c r="T2724" s="69"/>
      <c r="U2724" s="69"/>
      <c r="V2724" s="69"/>
      <c r="W2724" s="69"/>
      <c r="X2724" s="69"/>
      <c r="Y2724" s="69"/>
      <c r="Z2724" s="69"/>
      <c r="AA2724" s="69"/>
      <c r="AB2724" s="69"/>
      <c r="AC2724" s="69"/>
      <c r="AD2724" s="69"/>
      <c r="AE2724" s="69"/>
    </row>
    <row r="2725" spans="1:31" ht="22.5" customHeight="1">
      <c r="A2725" s="69"/>
      <c r="B2725" s="69"/>
      <c r="C2725" s="69"/>
      <c r="D2725" s="69"/>
      <c r="E2725" s="185"/>
      <c r="F2725" s="69"/>
      <c r="G2725" s="185"/>
      <c r="H2725" s="69"/>
      <c r="I2725" s="69"/>
      <c r="J2725" s="69"/>
      <c r="K2725" s="69"/>
      <c r="L2725" s="69"/>
      <c r="M2725" s="69"/>
      <c r="N2725" s="69"/>
      <c r="O2725" s="69"/>
      <c r="P2725" s="69"/>
      <c r="Q2725" s="69"/>
      <c r="R2725" s="69"/>
      <c r="S2725" s="69"/>
      <c r="T2725" s="69"/>
      <c r="U2725" s="69"/>
      <c r="V2725" s="69"/>
      <c r="W2725" s="69"/>
      <c r="X2725" s="69"/>
      <c r="Y2725" s="69"/>
      <c r="Z2725" s="69"/>
      <c r="AA2725" s="69"/>
      <c r="AB2725" s="69"/>
      <c r="AC2725" s="69"/>
      <c r="AD2725" s="69"/>
      <c r="AE2725" s="69"/>
    </row>
    <row r="2726" spans="1:31" ht="22.5" customHeight="1">
      <c r="A2726" s="69"/>
      <c r="B2726" s="69"/>
      <c r="C2726" s="69"/>
      <c r="D2726" s="69"/>
      <c r="E2726" s="185"/>
      <c r="F2726" s="69"/>
      <c r="G2726" s="185"/>
      <c r="H2726" s="69"/>
      <c r="I2726" s="69"/>
      <c r="J2726" s="69"/>
      <c r="K2726" s="69"/>
      <c r="L2726" s="69"/>
      <c r="M2726" s="69"/>
      <c r="N2726" s="69"/>
      <c r="O2726" s="69"/>
      <c r="P2726" s="69"/>
      <c r="Q2726" s="69"/>
      <c r="R2726" s="69"/>
      <c r="S2726" s="69"/>
      <c r="T2726" s="69"/>
      <c r="U2726" s="69"/>
      <c r="V2726" s="69"/>
      <c r="W2726" s="69"/>
      <c r="X2726" s="69"/>
      <c r="Y2726" s="69"/>
      <c r="Z2726" s="69"/>
      <c r="AA2726" s="69"/>
      <c r="AB2726" s="69"/>
      <c r="AC2726" s="69"/>
      <c r="AD2726" s="69"/>
      <c r="AE2726" s="69"/>
    </row>
    <row r="2727" spans="1:31" ht="22.5" customHeight="1">
      <c r="A2727" s="69"/>
      <c r="B2727" s="69"/>
      <c r="C2727" s="69"/>
      <c r="D2727" s="69"/>
      <c r="E2727" s="185"/>
      <c r="F2727" s="69"/>
      <c r="G2727" s="185"/>
      <c r="H2727" s="69"/>
      <c r="I2727" s="69"/>
      <c r="J2727" s="69"/>
      <c r="K2727" s="69"/>
      <c r="L2727" s="69"/>
      <c r="M2727" s="69"/>
      <c r="N2727" s="69"/>
      <c r="O2727" s="69"/>
      <c r="P2727" s="69"/>
      <c r="Q2727" s="69"/>
      <c r="R2727" s="69"/>
      <c r="S2727" s="69"/>
      <c r="T2727" s="69"/>
      <c r="U2727" s="69"/>
      <c r="V2727" s="69"/>
      <c r="W2727" s="69"/>
      <c r="X2727" s="69"/>
      <c r="Y2727" s="69"/>
      <c r="Z2727" s="69"/>
      <c r="AA2727" s="69"/>
      <c r="AB2727" s="69"/>
      <c r="AC2727" s="69"/>
      <c r="AD2727" s="69"/>
      <c r="AE2727" s="69"/>
    </row>
    <row r="2728" spans="1:31" ht="22.5" customHeight="1">
      <c r="A2728" s="69"/>
      <c r="B2728" s="69"/>
      <c r="C2728" s="69"/>
      <c r="D2728" s="69"/>
      <c r="E2728" s="185"/>
      <c r="F2728" s="69"/>
      <c r="G2728" s="185"/>
      <c r="H2728" s="69"/>
      <c r="I2728" s="69"/>
      <c r="J2728" s="69"/>
      <c r="K2728" s="69"/>
      <c r="L2728" s="69"/>
      <c r="M2728" s="69"/>
      <c r="N2728" s="69"/>
      <c r="O2728" s="69"/>
      <c r="P2728" s="69"/>
      <c r="Q2728" s="69"/>
      <c r="R2728" s="69"/>
      <c r="S2728" s="69"/>
      <c r="T2728" s="69"/>
      <c r="U2728" s="69"/>
      <c r="V2728" s="69"/>
      <c r="W2728" s="69"/>
      <c r="X2728" s="69"/>
      <c r="Y2728" s="69"/>
      <c r="Z2728" s="69"/>
      <c r="AA2728" s="69"/>
      <c r="AB2728" s="69"/>
      <c r="AC2728" s="69"/>
      <c r="AD2728" s="69"/>
      <c r="AE2728" s="69"/>
    </row>
    <row r="2729" spans="1:31" ht="22.5" customHeight="1">
      <c r="A2729" s="69"/>
      <c r="B2729" s="69"/>
      <c r="C2729" s="69"/>
      <c r="D2729" s="69"/>
      <c r="E2729" s="185"/>
      <c r="F2729" s="69"/>
      <c r="G2729" s="185"/>
      <c r="H2729" s="69"/>
      <c r="I2729" s="69"/>
      <c r="J2729" s="69"/>
      <c r="K2729" s="69"/>
      <c r="L2729" s="69"/>
      <c r="M2729" s="69"/>
      <c r="N2729" s="69"/>
      <c r="O2729" s="69"/>
      <c r="P2729" s="69"/>
      <c r="Q2729" s="69"/>
      <c r="R2729" s="69"/>
      <c r="S2729" s="69"/>
      <c r="T2729" s="69"/>
      <c r="U2729" s="69"/>
      <c r="V2729" s="69"/>
      <c r="W2729" s="69"/>
      <c r="X2729" s="69"/>
      <c r="Y2729" s="69"/>
      <c r="Z2729" s="69"/>
      <c r="AA2729" s="69"/>
      <c r="AB2729" s="69"/>
      <c r="AC2729" s="69"/>
      <c r="AD2729" s="69"/>
      <c r="AE2729" s="69"/>
    </row>
    <row r="2730" spans="1:31" ht="22.5" customHeight="1">
      <c r="A2730" s="69"/>
      <c r="B2730" s="69"/>
      <c r="C2730" s="69"/>
      <c r="D2730" s="69"/>
      <c r="E2730" s="185"/>
      <c r="F2730" s="69"/>
      <c r="G2730" s="185"/>
      <c r="H2730" s="69"/>
      <c r="I2730" s="69"/>
      <c r="J2730" s="69"/>
      <c r="K2730" s="69"/>
      <c r="L2730" s="69"/>
      <c r="M2730" s="69"/>
      <c r="N2730" s="69"/>
      <c r="O2730" s="69"/>
      <c r="P2730" s="69"/>
      <c r="Q2730" s="69"/>
      <c r="R2730" s="69"/>
      <c r="S2730" s="69"/>
      <c r="T2730" s="69"/>
      <c r="U2730" s="69"/>
      <c r="V2730" s="69"/>
      <c r="W2730" s="69"/>
      <c r="X2730" s="69"/>
      <c r="Y2730" s="69"/>
      <c r="Z2730" s="69"/>
      <c r="AA2730" s="69"/>
      <c r="AB2730" s="69"/>
      <c r="AC2730" s="69"/>
      <c r="AD2730" s="69"/>
      <c r="AE2730" s="69"/>
    </row>
    <row r="2731" spans="1:31" ht="22.5" customHeight="1">
      <c r="A2731" s="69"/>
      <c r="B2731" s="69"/>
      <c r="C2731" s="69"/>
      <c r="D2731" s="69"/>
      <c r="E2731" s="185"/>
      <c r="F2731" s="69"/>
      <c r="G2731" s="185"/>
      <c r="H2731" s="69"/>
      <c r="I2731" s="69"/>
      <c r="J2731" s="69"/>
      <c r="K2731" s="69"/>
      <c r="L2731" s="69"/>
      <c r="M2731" s="69"/>
      <c r="N2731" s="69"/>
      <c r="O2731" s="69"/>
      <c r="P2731" s="69"/>
      <c r="Q2731" s="69"/>
      <c r="R2731" s="69"/>
      <c r="S2731" s="69"/>
      <c r="T2731" s="69"/>
      <c r="U2731" s="69"/>
      <c r="V2731" s="69"/>
      <c r="W2731" s="69"/>
      <c r="X2731" s="69"/>
      <c r="Y2731" s="69"/>
      <c r="Z2731" s="69"/>
      <c r="AA2731" s="69"/>
      <c r="AB2731" s="69"/>
      <c r="AC2731" s="69"/>
      <c r="AD2731" s="69"/>
      <c r="AE2731" s="69"/>
    </row>
    <row r="2732" spans="1:31" ht="22.5" customHeight="1">
      <c r="A2732" s="69"/>
      <c r="B2732" s="69"/>
      <c r="C2732" s="69"/>
      <c r="D2732" s="69"/>
      <c r="E2732" s="185"/>
      <c r="F2732" s="69"/>
      <c r="G2732" s="185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69"/>
      <c r="S2732" s="69"/>
      <c r="T2732" s="69"/>
      <c r="U2732" s="69"/>
      <c r="V2732" s="69"/>
      <c r="W2732" s="69"/>
      <c r="X2732" s="69"/>
      <c r="Y2732" s="69"/>
      <c r="Z2732" s="69"/>
      <c r="AA2732" s="69"/>
      <c r="AB2732" s="69"/>
      <c r="AC2732" s="69"/>
      <c r="AD2732" s="69"/>
      <c r="AE2732" s="69"/>
    </row>
    <row r="2733" spans="1:31" ht="22.5" customHeight="1">
      <c r="A2733" s="69"/>
      <c r="B2733" s="69"/>
      <c r="C2733" s="69"/>
      <c r="D2733" s="69"/>
      <c r="E2733" s="185"/>
      <c r="F2733" s="69"/>
      <c r="G2733" s="185"/>
      <c r="H2733" s="69"/>
      <c r="I2733" s="69"/>
      <c r="J2733" s="69"/>
      <c r="K2733" s="69"/>
      <c r="L2733" s="69"/>
      <c r="M2733" s="69"/>
      <c r="N2733" s="69"/>
      <c r="O2733" s="69"/>
      <c r="P2733" s="69"/>
      <c r="Q2733" s="69"/>
      <c r="R2733" s="69"/>
      <c r="S2733" s="69"/>
      <c r="T2733" s="69"/>
      <c r="U2733" s="69"/>
      <c r="V2733" s="69"/>
      <c r="W2733" s="69"/>
      <c r="X2733" s="69"/>
      <c r="Y2733" s="69"/>
      <c r="Z2733" s="69"/>
      <c r="AA2733" s="69"/>
      <c r="AB2733" s="69"/>
      <c r="AC2733" s="69"/>
      <c r="AD2733" s="69"/>
      <c r="AE2733" s="69"/>
    </row>
    <row r="2734" spans="1:31" ht="22.5" customHeight="1">
      <c r="A2734" s="69"/>
      <c r="B2734" s="69"/>
      <c r="C2734" s="69"/>
      <c r="D2734" s="69"/>
      <c r="E2734" s="185"/>
      <c r="F2734" s="69"/>
      <c r="G2734" s="185"/>
      <c r="H2734" s="69"/>
      <c r="I2734" s="69"/>
      <c r="J2734" s="69"/>
      <c r="K2734" s="69"/>
      <c r="L2734" s="69"/>
      <c r="M2734" s="69"/>
      <c r="N2734" s="69"/>
      <c r="O2734" s="69"/>
      <c r="P2734" s="69"/>
      <c r="Q2734" s="69"/>
      <c r="R2734" s="69"/>
      <c r="S2734" s="69"/>
      <c r="T2734" s="69"/>
      <c r="U2734" s="69"/>
      <c r="V2734" s="69"/>
      <c r="W2734" s="69"/>
      <c r="X2734" s="69"/>
      <c r="Y2734" s="69"/>
      <c r="Z2734" s="69"/>
      <c r="AA2734" s="69"/>
      <c r="AB2734" s="69"/>
      <c r="AC2734" s="69"/>
      <c r="AD2734" s="69"/>
      <c r="AE2734" s="69"/>
    </row>
    <row r="2735" spans="1:31" ht="22.5" customHeight="1">
      <c r="A2735" s="69"/>
      <c r="B2735" s="69"/>
      <c r="C2735" s="69"/>
      <c r="D2735" s="69"/>
      <c r="E2735" s="185"/>
      <c r="F2735" s="69"/>
      <c r="G2735" s="185"/>
      <c r="H2735" s="69"/>
      <c r="I2735" s="69"/>
      <c r="J2735" s="69"/>
      <c r="K2735" s="69"/>
      <c r="L2735" s="69"/>
      <c r="M2735" s="69"/>
      <c r="N2735" s="69"/>
      <c r="O2735" s="69"/>
      <c r="P2735" s="69"/>
      <c r="Q2735" s="69"/>
      <c r="R2735" s="69"/>
      <c r="S2735" s="69"/>
      <c r="T2735" s="69"/>
      <c r="U2735" s="69"/>
      <c r="V2735" s="69"/>
      <c r="W2735" s="69"/>
      <c r="X2735" s="69"/>
      <c r="Y2735" s="69"/>
      <c r="Z2735" s="69"/>
      <c r="AA2735" s="69"/>
      <c r="AB2735" s="69"/>
      <c r="AC2735" s="69"/>
      <c r="AD2735" s="69"/>
      <c r="AE2735" s="69"/>
    </row>
    <row r="2736" spans="1:31" ht="22.5" customHeight="1">
      <c r="A2736" s="69"/>
      <c r="B2736" s="69"/>
      <c r="C2736" s="69"/>
      <c r="D2736" s="69"/>
      <c r="E2736" s="185"/>
      <c r="F2736" s="69"/>
      <c r="G2736" s="185"/>
      <c r="H2736" s="69"/>
      <c r="I2736" s="69"/>
      <c r="J2736" s="69"/>
      <c r="K2736" s="69"/>
      <c r="L2736" s="69"/>
      <c r="M2736" s="69"/>
      <c r="N2736" s="69"/>
      <c r="O2736" s="69"/>
      <c r="P2736" s="69"/>
      <c r="Q2736" s="69"/>
      <c r="R2736" s="69"/>
      <c r="S2736" s="69"/>
      <c r="T2736" s="69"/>
      <c r="U2736" s="69"/>
      <c r="V2736" s="69"/>
      <c r="W2736" s="69"/>
      <c r="X2736" s="69"/>
      <c r="Y2736" s="69"/>
      <c r="Z2736" s="69"/>
      <c r="AA2736" s="69"/>
      <c r="AB2736" s="69"/>
      <c r="AC2736" s="69"/>
      <c r="AD2736" s="69"/>
      <c r="AE2736" s="69"/>
    </row>
    <row r="2737" spans="1:31" ht="22.5" customHeight="1">
      <c r="A2737" s="69"/>
      <c r="B2737" s="69"/>
      <c r="C2737" s="69"/>
      <c r="D2737" s="69"/>
      <c r="E2737" s="185"/>
      <c r="F2737" s="69"/>
      <c r="G2737" s="185"/>
      <c r="H2737" s="69"/>
      <c r="I2737" s="69"/>
      <c r="J2737" s="69"/>
      <c r="K2737" s="69"/>
      <c r="L2737" s="69"/>
      <c r="M2737" s="69"/>
      <c r="N2737" s="69"/>
      <c r="O2737" s="69"/>
      <c r="P2737" s="69"/>
      <c r="Q2737" s="69"/>
      <c r="R2737" s="69"/>
      <c r="S2737" s="69"/>
      <c r="T2737" s="69"/>
      <c r="U2737" s="69"/>
      <c r="V2737" s="69"/>
      <c r="W2737" s="69"/>
      <c r="X2737" s="69"/>
      <c r="Y2737" s="69"/>
      <c r="Z2737" s="69"/>
      <c r="AA2737" s="69"/>
      <c r="AB2737" s="69"/>
      <c r="AC2737" s="69"/>
      <c r="AD2737" s="69"/>
      <c r="AE2737" s="69"/>
    </row>
    <row r="2738" spans="1:31" ht="22.5" customHeight="1">
      <c r="A2738" s="69"/>
      <c r="B2738" s="69"/>
      <c r="C2738" s="69"/>
      <c r="D2738" s="69"/>
      <c r="E2738" s="185"/>
      <c r="F2738" s="69"/>
      <c r="G2738" s="185"/>
      <c r="H2738" s="69"/>
      <c r="I2738" s="69"/>
      <c r="J2738" s="69"/>
      <c r="K2738" s="69"/>
      <c r="L2738" s="69"/>
      <c r="M2738" s="69"/>
      <c r="N2738" s="69"/>
      <c r="O2738" s="69"/>
      <c r="P2738" s="69"/>
      <c r="Q2738" s="69"/>
      <c r="R2738" s="69"/>
      <c r="S2738" s="69"/>
      <c r="T2738" s="69"/>
      <c r="U2738" s="69"/>
      <c r="V2738" s="69"/>
      <c r="W2738" s="69"/>
      <c r="X2738" s="69"/>
      <c r="Y2738" s="69"/>
      <c r="Z2738" s="69"/>
      <c r="AA2738" s="69"/>
      <c r="AB2738" s="69"/>
      <c r="AC2738" s="69"/>
      <c r="AD2738" s="69"/>
      <c r="AE2738" s="69"/>
    </row>
    <row r="2739" spans="1:31" ht="22.5" customHeight="1">
      <c r="A2739" s="69"/>
      <c r="B2739" s="69"/>
      <c r="C2739" s="69"/>
      <c r="D2739" s="69"/>
      <c r="E2739" s="185"/>
      <c r="F2739" s="69"/>
      <c r="G2739" s="185"/>
      <c r="H2739" s="69"/>
      <c r="I2739" s="69"/>
      <c r="J2739" s="69"/>
      <c r="K2739" s="69"/>
      <c r="L2739" s="69"/>
      <c r="M2739" s="69"/>
      <c r="N2739" s="69"/>
      <c r="O2739" s="69"/>
      <c r="P2739" s="69"/>
      <c r="Q2739" s="69"/>
      <c r="R2739" s="69"/>
      <c r="S2739" s="69"/>
      <c r="T2739" s="69"/>
      <c r="U2739" s="69"/>
      <c r="V2739" s="69"/>
      <c r="W2739" s="69"/>
      <c r="X2739" s="69"/>
      <c r="Y2739" s="69"/>
      <c r="Z2739" s="69"/>
      <c r="AA2739" s="69"/>
      <c r="AB2739" s="69"/>
      <c r="AC2739" s="69"/>
      <c r="AD2739" s="69"/>
      <c r="AE2739" s="69"/>
    </row>
    <row r="2740" spans="1:31" ht="22.5" customHeight="1">
      <c r="A2740" s="69"/>
      <c r="B2740" s="69"/>
      <c r="C2740" s="69"/>
      <c r="D2740" s="69"/>
      <c r="E2740" s="185"/>
      <c r="F2740" s="69"/>
      <c r="G2740" s="185"/>
      <c r="H2740" s="69"/>
      <c r="I2740" s="69"/>
      <c r="J2740" s="69"/>
      <c r="K2740" s="69"/>
      <c r="L2740" s="69"/>
      <c r="M2740" s="69"/>
      <c r="N2740" s="69"/>
      <c r="O2740" s="69"/>
      <c r="P2740" s="69"/>
      <c r="Q2740" s="69"/>
      <c r="R2740" s="69"/>
      <c r="S2740" s="69"/>
      <c r="T2740" s="69"/>
      <c r="U2740" s="69"/>
      <c r="V2740" s="69"/>
      <c r="W2740" s="69"/>
      <c r="X2740" s="69"/>
      <c r="Y2740" s="69"/>
      <c r="Z2740" s="69"/>
      <c r="AA2740" s="69"/>
      <c r="AB2740" s="69"/>
      <c r="AC2740" s="69"/>
      <c r="AD2740" s="69"/>
      <c r="AE2740" s="69"/>
    </row>
    <row r="2741" spans="1:31" ht="22.5" customHeight="1">
      <c r="A2741" s="69"/>
      <c r="B2741" s="69"/>
      <c r="C2741" s="69"/>
      <c r="D2741" s="69"/>
      <c r="E2741" s="185"/>
      <c r="F2741" s="69"/>
      <c r="G2741" s="185"/>
      <c r="H2741" s="69"/>
      <c r="I2741" s="69"/>
      <c r="J2741" s="69"/>
      <c r="K2741" s="69"/>
      <c r="L2741" s="69"/>
      <c r="M2741" s="69"/>
      <c r="N2741" s="69"/>
      <c r="O2741" s="69"/>
      <c r="P2741" s="69"/>
      <c r="Q2741" s="69"/>
      <c r="R2741" s="69"/>
      <c r="S2741" s="69"/>
      <c r="T2741" s="69"/>
      <c r="U2741" s="69"/>
      <c r="V2741" s="69"/>
      <c r="W2741" s="69"/>
      <c r="X2741" s="69"/>
      <c r="Y2741" s="69"/>
      <c r="Z2741" s="69"/>
      <c r="AA2741" s="69"/>
      <c r="AB2741" s="69"/>
      <c r="AC2741" s="69"/>
      <c r="AD2741" s="69"/>
      <c r="AE2741" s="69"/>
    </row>
    <row r="2742" spans="1:31" ht="22.5" customHeight="1">
      <c r="A2742" s="69"/>
      <c r="B2742" s="69"/>
      <c r="C2742" s="69"/>
      <c r="D2742" s="69"/>
      <c r="E2742" s="185"/>
      <c r="F2742" s="69"/>
      <c r="G2742" s="185"/>
      <c r="H2742" s="69"/>
      <c r="I2742" s="69"/>
      <c r="J2742" s="69"/>
      <c r="K2742" s="69"/>
      <c r="L2742" s="69"/>
      <c r="M2742" s="69"/>
      <c r="N2742" s="69"/>
      <c r="O2742" s="69"/>
      <c r="P2742" s="69"/>
      <c r="Q2742" s="69"/>
      <c r="R2742" s="69"/>
      <c r="S2742" s="69"/>
      <c r="T2742" s="69"/>
      <c r="U2742" s="69"/>
      <c r="V2742" s="69"/>
      <c r="W2742" s="69"/>
      <c r="X2742" s="69"/>
      <c r="Y2742" s="69"/>
      <c r="Z2742" s="69"/>
      <c r="AA2742" s="69"/>
      <c r="AB2742" s="69"/>
      <c r="AC2742" s="69"/>
      <c r="AD2742" s="69"/>
      <c r="AE2742" s="69"/>
    </row>
    <row r="2743" spans="1:31" ht="22.5" customHeight="1">
      <c r="A2743" s="69"/>
      <c r="B2743" s="69"/>
      <c r="C2743" s="69"/>
      <c r="D2743" s="69"/>
      <c r="E2743" s="185"/>
      <c r="F2743" s="69"/>
      <c r="G2743" s="185"/>
      <c r="H2743" s="69"/>
      <c r="I2743" s="69"/>
      <c r="J2743" s="69"/>
      <c r="K2743" s="69"/>
      <c r="L2743" s="69"/>
      <c r="M2743" s="69"/>
      <c r="N2743" s="69"/>
      <c r="O2743" s="69"/>
      <c r="P2743" s="69"/>
      <c r="Q2743" s="69"/>
      <c r="R2743" s="69"/>
      <c r="S2743" s="69"/>
      <c r="T2743" s="69"/>
      <c r="U2743" s="69"/>
      <c r="V2743" s="69"/>
      <c r="W2743" s="69"/>
      <c r="X2743" s="69"/>
      <c r="Y2743" s="69"/>
      <c r="Z2743" s="69"/>
      <c r="AA2743" s="69"/>
      <c r="AB2743" s="69"/>
      <c r="AC2743" s="69"/>
      <c r="AD2743" s="69"/>
      <c r="AE2743" s="69"/>
    </row>
    <row r="2744" spans="1:31" ht="22.5" customHeight="1">
      <c r="A2744" s="69"/>
      <c r="B2744" s="69"/>
      <c r="C2744" s="69"/>
      <c r="D2744" s="69"/>
      <c r="E2744" s="185"/>
      <c r="F2744" s="69"/>
      <c r="G2744" s="185"/>
      <c r="H2744" s="69"/>
      <c r="I2744" s="69"/>
      <c r="J2744" s="69"/>
      <c r="K2744" s="69"/>
      <c r="L2744" s="69"/>
      <c r="M2744" s="69"/>
      <c r="N2744" s="69"/>
      <c r="O2744" s="69"/>
      <c r="P2744" s="69"/>
      <c r="Q2744" s="69"/>
      <c r="R2744" s="69"/>
      <c r="S2744" s="69"/>
      <c r="T2744" s="69"/>
      <c r="U2744" s="69"/>
      <c r="V2744" s="69"/>
      <c r="W2744" s="69"/>
      <c r="X2744" s="69"/>
      <c r="Y2744" s="69"/>
      <c r="Z2744" s="69"/>
      <c r="AA2744" s="69"/>
      <c r="AB2744" s="69"/>
      <c r="AC2744" s="69"/>
      <c r="AD2744" s="69"/>
      <c r="AE2744" s="69"/>
    </row>
    <row r="2745" spans="1:31" ht="22.5" customHeight="1">
      <c r="A2745" s="69"/>
      <c r="B2745" s="69"/>
      <c r="C2745" s="69"/>
      <c r="D2745" s="69"/>
      <c r="E2745" s="185"/>
      <c r="F2745" s="69"/>
      <c r="G2745" s="185"/>
      <c r="H2745" s="69"/>
      <c r="I2745" s="69"/>
      <c r="J2745" s="69"/>
      <c r="K2745" s="69"/>
      <c r="L2745" s="69"/>
      <c r="M2745" s="69"/>
      <c r="N2745" s="69"/>
      <c r="O2745" s="69"/>
      <c r="P2745" s="69"/>
      <c r="Q2745" s="69"/>
      <c r="R2745" s="69"/>
      <c r="S2745" s="69"/>
      <c r="T2745" s="69"/>
      <c r="U2745" s="69"/>
      <c r="V2745" s="69"/>
      <c r="W2745" s="69"/>
      <c r="X2745" s="69"/>
      <c r="Y2745" s="69"/>
      <c r="Z2745" s="69"/>
      <c r="AA2745" s="69"/>
      <c r="AB2745" s="69"/>
      <c r="AC2745" s="69"/>
      <c r="AD2745" s="69"/>
      <c r="AE2745" s="69"/>
    </row>
    <row r="2746" spans="1:31" ht="22.5" customHeight="1">
      <c r="A2746" s="69"/>
      <c r="B2746" s="69"/>
      <c r="C2746" s="69"/>
      <c r="D2746" s="69"/>
      <c r="E2746" s="185"/>
      <c r="F2746" s="69"/>
      <c r="G2746" s="185"/>
      <c r="H2746" s="69"/>
      <c r="I2746" s="69"/>
      <c r="J2746" s="69"/>
      <c r="K2746" s="69"/>
      <c r="L2746" s="69"/>
      <c r="M2746" s="69"/>
      <c r="N2746" s="69"/>
      <c r="O2746" s="69"/>
      <c r="P2746" s="69"/>
      <c r="Q2746" s="69"/>
      <c r="R2746" s="69"/>
      <c r="S2746" s="69"/>
      <c r="T2746" s="69"/>
      <c r="U2746" s="69"/>
      <c r="V2746" s="69"/>
      <c r="W2746" s="69"/>
      <c r="X2746" s="69"/>
      <c r="Y2746" s="69"/>
      <c r="Z2746" s="69"/>
      <c r="AA2746" s="69"/>
      <c r="AB2746" s="69"/>
      <c r="AC2746" s="69"/>
      <c r="AD2746" s="69"/>
      <c r="AE2746" s="69"/>
    </row>
    <row r="2747" spans="1:31" ht="22.5" customHeight="1">
      <c r="A2747" s="69"/>
      <c r="B2747" s="69"/>
      <c r="C2747" s="69"/>
      <c r="D2747" s="69"/>
      <c r="E2747" s="185"/>
      <c r="F2747" s="69"/>
      <c r="G2747" s="185"/>
      <c r="H2747" s="69"/>
      <c r="I2747" s="69"/>
      <c r="J2747" s="69"/>
      <c r="K2747" s="69"/>
      <c r="L2747" s="69"/>
      <c r="M2747" s="69"/>
      <c r="N2747" s="69"/>
      <c r="O2747" s="69"/>
      <c r="P2747" s="69"/>
      <c r="Q2747" s="69"/>
      <c r="R2747" s="69"/>
      <c r="S2747" s="69"/>
      <c r="T2747" s="69"/>
      <c r="U2747" s="69"/>
      <c r="V2747" s="69"/>
      <c r="W2747" s="69"/>
      <c r="X2747" s="69"/>
      <c r="Y2747" s="69"/>
      <c r="Z2747" s="69"/>
      <c r="AA2747" s="69"/>
      <c r="AB2747" s="69"/>
      <c r="AC2747" s="69"/>
      <c r="AD2747" s="69"/>
      <c r="AE2747" s="69"/>
    </row>
    <row r="2748" spans="1:31" ht="22.5" customHeight="1">
      <c r="A2748" s="69"/>
      <c r="B2748" s="69"/>
      <c r="C2748" s="69"/>
      <c r="D2748" s="69"/>
      <c r="E2748" s="185"/>
      <c r="F2748" s="69"/>
      <c r="G2748" s="185"/>
      <c r="H2748" s="69"/>
      <c r="I2748" s="69"/>
      <c r="J2748" s="69"/>
      <c r="K2748" s="69"/>
      <c r="L2748" s="69"/>
      <c r="M2748" s="69"/>
      <c r="N2748" s="69"/>
      <c r="O2748" s="69"/>
      <c r="P2748" s="69"/>
      <c r="Q2748" s="69"/>
      <c r="R2748" s="69"/>
      <c r="S2748" s="69"/>
      <c r="T2748" s="69"/>
      <c r="U2748" s="69"/>
      <c r="V2748" s="69"/>
      <c r="W2748" s="69"/>
      <c r="X2748" s="69"/>
      <c r="Y2748" s="69"/>
      <c r="Z2748" s="69"/>
      <c r="AA2748" s="69"/>
      <c r="AB2748" s="69"/>
      <c r="AC2748" s="69"/>
      <c r="AD2748" s="69"/>
      <c r="AE2748" s="69"/>
    </row>
    <row r="2749" spans="1:31" ht="22.5" customHeight="1">
      <c r="A2749" s="69"/>
      <c r="B2749" s="69"/>
      <c r="C2749" s="69"/>
      <c r="D2749" s="69"/>
      <c r="E2749" s="185"/>
      <c r="F2749" s="69"/>
      <c r="G2749" s="185"/>
      <c r="H2749" s="69"/>
      <c r="I2749" s="69"/>
      <c r="J2749" s="69"/>
      <c r="K2749" s="69"/>
      <c r="L2749" s="69"/>
      <c r="M2749" s="69"/>
      <c r="N2749" s="69"/>
      <c r="O2749" s="69"/>
      <c r="P2749" s="69"/>
      <c r="Q2749" s="69"/>
      <c r="R2749" s="69"/>
      <c r="S2749" s="69"/>
      <c r="T2749" s="69"/>
      <c r="U2749" s="69"/>
      <c r="V2749" s="69"/>
      <c r="W2749" s="69"/>
      <c r="X2749" s="69"/>
      <c r="Y2749" s="69"/>
      <c r="Z2749" s="69"/>
      <c r="AA2749" s="69"/>
      <c r="AB2749" s="69"/>
      <c r="AC2749" s="69"/>
      <c r="AD2749" s="69"/>
      <c r="AE2749" s="69"/>
    </row>
    <row r="2750" spans="1:31" ht="22.5" customHeight="1">
      <c r="A2750" s="69"/>
      <c r="B2750" s="69"/>
      <c r="C2750" s="69"/>
      <c r="D2750" s="69"/>
      <c r="E2750" s="185"/>
      <c r="F2750" s="69"/>
      <c r="G2750" s="185"/>
      <c r="H2750" s="69"/>
      <c r="I2750" s="69"/>
      <c r="J2750" s="69"/>
      <c r="K2750" s="69"/>
      <c r="L2750" s="69"/>
      <c r="M2750" s="69"/>
      <c r="N2750" s="69"/>
      <c r="O2750" s="69"/>
      <c r="P2750" s="69"/>
      <c r="Q2750" s="69"/>
      <c r="R2750" s="69"/>
      <c r="S2750" s="69"/>
      <c r="T2750" s="69"/>
      <c r="U2750" s="69"/>
      <c r="V2750" s="69"/>
      <c r="W2750" s="69"/>
      <c r="X2750" s="69"/>
      <c r="Y2750" s="69"/>
      <c r="Z2750" s="69"/>
      <c r="AA2750" s="69"/>
      <c r="AB2750" s="69"/>
      <c r="AC2750" s="69"/>
      <c r="AD2750" s="69"/>
      <c r="AE2750" s="69"/>
    </row>
    <row r="2751" spans="1:31" ht="22.5" customHeight="1">
      <c r="A2751" s="69"/>
      <c r="B2751" s="69"/>
      <c r="C2751" s="69"/>
      <c r="D2751" s="69"/>
      <c r="E2751" s="185"/>
      <c r="F2751" s="69"/>
      <c r="G2751" s="185"/>
      <c r="H2751" s="69"/>
      <c r="I2751" s="69"/>
      <c r="J2751" s="69"/>
      <c r="K2751" s="69"/>
      <c r="L2751" s="69"/>
      <c r="M2751" s="69"/>
      <c r="N2751" s="69"/>
      <c r="O2751" s="69"/>
      <c r="P2751" s="69"/>
      <c r="Q2751" s="69"/>
      <c r="R2751" s="69"/>
      <c r="S2751" s="69"/>
      <c r="T2751" s="69"/>
      <c r="U2751" s="69"/>
      <c r="V2751" s="69"/>
      <c r="W2751" s="69"/>
      <c r="X2751" s="69"/>
      <c r="Y2751" s="69"/>
      <c r="Z2751" s="69"/>
      <c r="AA2751" s="69"/>
      <c r="AB2751" s="69"/>
      <c r="AC2751" s="69"/>
      <c r="AD2751" s="69"/>
      <c r="AE2751" s="69"/>
    </row>
    <row r="2752" spans="1:31" ht="22.5" customHeight="1">
      <c r="A2752" s="69"/>
      <c r="B2752" s="69"/>
      <c r="C2752" s="69"/>
      <c r="D2752" s="69"/>
      <c r="E2752" s="185"/>
      <c r="F2752" s="69"/>
      <c r="G2752" s="185"/>
      <c r="H2752" s="69"/>
      <c r="I2752" s="69"/>
      <c r="J2752" s="69"/>
      <c r="K2752" s="69"/>
      <c r="L2752" s="69"/>
      <c r="M2752" s="69"/>
      <c r="N2752" s="69"/>
      <c r="O2752" s="69"/>
      <c r="P2752" s="69"/>
      <c r="Q2752" s="69"/>
      <c r="R2752" s="69"/>
      <c r="S2752" s="69"/>
      <c r="T2752" s="69"/>
      <c r="U2752" s="69"/>
      <c r="V2752" s="69"/>
      <c r="W2752" s="69"/>
      <c r="X2752" s="69"/>
      <c r="Y2752" s="69"/>
      <c r="Z2752" s="69"/>
      <c r="AA2752" s="69"/>
      <c r="AB2752" s="69"/>
      <c r="AC2752" s="69"/>
      <c r="AD2752" s="69"/>
      <c r="AE2752" s="69"/>
    </row>
    <row r="2753" spans="1:31" ht="22.5" customHeight="1">
      <c r="A2753" s="69"/>
      <c r="B2753" s="69"/>
      <c r="C2753" s="69"/>
      <c r="D2753" s="69"/>
      <c r="E2753" s="185"/>
      <c r="F2753" s="69"/>
      <c r="G2753" s="185"/>
      <c r="H2753" s="69"/>
      <c r="I2753" s="69"/>
      <c r="J2753" s="69"/>
      <c r="K2753" s="69"/>
      <c r="L2753" s="69"/>
      <c r="M2753" s="69"/>
      <c r="N2753" s="69"/>
      <c r="O2753" s="69"/>
      <c r="P2753" s="69"/>
      <c r="Q2753" s="69"/>
      <c r="R2753" s="69"/>
      <c r="S2753" s="69"/>
      <c r="T2753" s="69"/>
      <c r="U2753" s="69"/>
      <c r="V2753" s="69"/>
      <c r="W2753" s="69"/>
      <c r="X2753" s="69"/>
      <c r="Y2753" s="69"/>
      <c r="Z2753" s="69"/>
      <c r="AA2753" s="69"/>
      <c r="AB2753" s="69"/>
      <c r="AC2753" s="69"/>
      <c r="AD2753" s="69"/>
      <c r="AE2753" s="69"/>
    </row>
    <row r="2754" spans="1:31" ht="22.5" customHeight="1">
      <c r="A2754" s="69"/>
      <c r="B2754" s="69"/>
      <c r="C2754" s="69"/>
      <c r="D2754" s="69"/>
      <c r="E2754" s="185"/>
      <c r="F2754" s="69"/>
      <c r="G2754" s="185"/>
      <c r="H2754" s="69"/>
      <c r="I2754" s="69"/>
      <c r="J2754" s="69"/>
      <c r="K2754" s="69"/>
      <c r="L2754" s="69"/>
      <c r="M2754" s="69"/>
      <c r="N2754" s="69"/>
      <c r="O2754" s="69"/>
      <c r="P2754" s="69"/>
      <c r="Q2754" s="69"/>
      <c r="R2754" s="69"/>
      <c r="S2754" s="69"/>
      <c r="T2754" s="69"/>
      <c r="U2754" s="69"/>
      <c r="V2754" s="69"/>
      <c r="W2754" s="69"/>
      <c r="X2754" s="69"/>
      <c r="Y2754" s="69"/>
      <c r="Z2754" s="69"/>
      <c r="AA2754" s="69"/>
      <c r="AB2754" s="69"/>
      <c r="AC2754" s="69"/>
      <c r="AD2754" s="69"/>
      <c r="AE2754" s="69"/>
    </row>
    <row r="2755" spans="1:31" ht="22.5" customHeight="1">
      <c r="A2755" s="69"/>
      <c r="B2755" s="69"/>
      <c r="C2755" s="69"/>
      <c r="D2755" s="69"/>
      <c r="E2755" s="185"/>
      <c r="F2755" s="69"/>
      <c r="G2755" s="185"/>
      <c r="H2755" s="69"/>
      <c r="I2755" s="69"/>
      <c r="J2755" s="69"/>
      <c r="K2755" s="69"/>
      <c r="L2755" s="69"/>
      <c r="M2755" s="69"/>
      <c r="N2755" s="69"/>
      <c r="O2755" s="69"/>
      <c r="P2755" s="69"/>
      <c r="Q2755" s="69"/>
      <c r="R2755" s="69"/>
      <c r="S2755" s="69"/>
      <c r="T2755" s="69"/>
      <c r="U2755" s="69"/>
      <c r="V2755" s="69"/>
      <c r="W2755" s="69"/>
      <c r="X2755" s="69"/>
      <c r="Y2755" s="69"/>
      <c r="Z2755" s="69"/>
      <c r="AA2755" s="69"/>
      <c r="AB2755" s="69"/>
      <c r="AC2755" s="69"/>
      <c r="AD2755" s="69"/>
      <c r="AE2755" s="69"/>
    </row>
    <row r="2756" spans="1:31" ht="22.5" customHeight="1">
      <c r="A2756" s="69"/>
      <c r="B2756" s="69"/>
      <c r="C2756" s="69"/>
      <c r="D2756" s="69"/>
      <c r="E2756" s="185"/>
      <c r="F2756" s="69"/>
      <c r="G2756" s="185"/>
      <c r="H2756" s="69"/>
      <c r="I2756" s="69"/>
      <c r="J2756" s="69"/>
      <c r="K2756" s="69"/>
      <c r="L2756" s="69"/>
      <c r="M2756" s="69"/>
      <c r="N2756" s="69"/>
      <c r="O2756" s="69"/>
      <c r="P2756" s="69"/>
      <c r="Q2756" s="69"/>
      <c r="R2756" s="69"/>
      <c r="S2756" s="69"/>
      <c r="T2756" s="69"/>
      <c r="U2756" s="69"/>
      <c r="V2756" s="69"/>
      <c r="W2756" s="69"/>
      <c r="X2756" s="69"/>
      <c r="Y2756" s="69"/>
      <c r="Z2756" s="69"/>
      <c r="AA2756" s="69"/>
      <c r="AB2756" s="69"/>
      <c r="AC2756" s="69"/>
      <c r="AD2756" s="69"/>
      <c r="AE2756" s="69"/>
    </row>
    <row r="2757" spans="1:31" ht="22.5" customHeight="1">
      <c r="A2757" s="69"/>
      <c r="B2757" s="69"/>
      <c r="C2757" s="69"/>
      <c r="D2757" s="69"/>
      <c r="E2757" s="185"/>
      <c r="F2757" s="69"/>
      <c r="G2757" s="185"/>
      <c r="H2757" s="69"/>
      <c r="I2757" s="69"/>
      <c r="J2757" s="69"/>
      <c r="K2757" s="69"/>
      <c r="L2757" s="69"/>
      <c r="M2757" s="69"/>
      <c r="N2757" s="69"/>
      <c r="O2757" s="69"/>
      <c r="P2757" s="69"/>
      <c r="Q2757" s="69"/>
      <c r="R2757" s="69"/>
      <c r="S2757" s="69"/>
      <c r="T2757" s="69"/>
      <c r="U2757" s="69"/>
      <c r="V2757" s="69"/>
      <c r="W2757" s="69"/>
      <c r="X2757" s="69"/>
      <c r="Y2757" s="69"/>
      <c r="Z2757" s="69"/>
      <c r="AA2757" s="69"/>
      <c r="AB2757" s="69"/>
      <c r="AC2757" s="69"/>
      <c r="AD2757" s="69"/>
      <c r="AE2757" s="69"/>
    </row>
    <row r="2758" spans="1:31" ht="22.5" customHeight="1">
      <c r="A2758" s="69"/>
      <c r="B2758" s="69"/>
      <c r="C2758" s="69"/>
      <c r="D2758" s="69"/>
      <c r="E2758" s="185"/>
      <c r="F2758" s="69"/>
      <c r="G2758" s="185"/>
      <c r="H2758" s="69"/>
      <c r="I2758" s="69"/>
      <c r="J2758" s="69"/>
      <c r="K2758" s="69"/>
      <c r="L2758" s="69"/>
      <c r="M2758" s="69"/>
      <c r="N2758" s="69"/>
      <c r="O2758" s="69"/>
      <c r="P2758" s="69"/>
      <c r="Q2758" s="69"/>
      <c r="R2758" s="69"/>
      <c r="S2758" s="69"/>
      <c r="T2758" s="69"/>
      <c r="U2758" s="69"/>
      <c r="V2758" s="69"/>
      <c r="W2758" s="69"/>
      <c r="X2758" s="69"/>
      <c r="Y2758" s="69"/>
      <c r="Z2758" s="69"/>
      <c r="AA2758" s="69"/>
      <c r="AB2758" s="69"/>
      <c r="AC2758" s="69"/>
      <c r="AD2758" s="69"/>
      <c r="AE2758" s="69"/>
    </row>
    <row r="2759" spans="1:31" ht="22.5" customHeight="1">
      <c r="A2759" s="69"/>
      <c r="B2759" s="69"/>
      <c r="C2759" s="69"/>
      <c r="D2759" s="69"/>
      <c r="E2759" s="185"/>
      <c r="F2759" s="69"/>
      <c r="G2759" s="185"/>
      <c r="H2759" s="69"/>
      <c r="I2759" s="69"/>
      <c r="J2759" s="69"/>
      <c r="K2759" s="69"/>
      <c r="L2759" s="69"/>
      <c r="M2759" s="69"/>
      <c r="N2759" s="69"/>
      <c r="O2759" s="69"/>
      <c r="P2759" s="69"/>
      <c r="Q2759" s="69"/>
      <c r="R2759" s="69"/>
      <c r="S2759" s="69"/>
      <c r="T2759" s="69"/>
      <c r="U2759" s="69"/>
      <c r="V2759" s="69"/>
      <c r="W2759" s="69"/>
      <c r="X2759" s="69"/>
      <c r="Y2759" s="69"/>
      <c r="Z2759" s="69"/>
      <c r="AA2759" s="69"/>
      <c r="AB2759" s="69"/>
      <c r="AC2759" s="69"/>
      <c r="AD2759" s="69"/>
      <c r="AE2759" s="69"/>
    </row>
    <row r="2760" spans="1:31" ht="22.5" customHeight="1">
      <c r="A2760" s="69"/>
      <c r="B2760" s="69"/>
      <c r="C2760" s="69"/>
      <c r="D2760" s="69"/>
      <c r="E2760" s="185"/>
      <c r="F2760" s="69"/>
      <c r="G2760" s="185"/>
      <c r="H2760" s="69"/>
      <c r="I2760" s="69"/>
      <c r="J2760" s="69"/>
      <c r="K2760" s="69"/>
      <c r="L2760" s="69"/>
      <c r="M2760" s="69"/>
      <c r="N2760" s="69"/>
      <c r="O2760" s="69"/>
      <c r="P2760" s="69"/>
      <c r="Q2760" s="69"/>
      <c r="R2760" s="69"/>
      <c r="S2760" s="69"/>
      <c r="T2760" s="69"/>
      <c r="U2760" s="69"/>
      <c r="V2760" s="69"/>
      <c r="W2760" s="69"/>
      <c r="X2760" s="69"/>
      <c r="Y2760" s="69"/>
      <c r="Z2760" s="69"/>
      <c r="AA2760" s="69"/>
      <c r="AB2760" s="69"/>
      <c r="AC2760" s="69"/>
      <c r="AD2760" s="69"/>
      <c r="AE2760" s="69"/>
    </row>
    <row r="2761" spans="1:31" ht="22.5" customHeight="1">
      <c r="A2761" s="69"/>
      <c r="B2761" s="69"/>
      <c r="C2761" s="69"/>
      <c r="D2761" s="69"/>
      <c r="E2761" s="185"/>
      <c r="F2761" s="69"/>
      <c r="G2761" s="185"/>
      <c r="H2761" s="69"/>
      <c r="I2761" s="69"/>
      <c r="J2761" s="69"/>
      <c r="K2761" s="69"/>
      <c r="L2761" s="69"/>
      <c r="M2761" s="69"/>
      <c r="N2761" s="69"/>
      <c r="O2761" s="69"/>
      <c r="P2761" s="69"/>
      <c r="Q2761" s="69"/>
      <c r="R2761" s="69"/>
      <c r="S2761" s="69"/>
      <c r="T2761" s="69"/>
      <c r="U2761" s="69"/>
      <c r="V2761" s="69"/>
      <c r="W2761" s="69"/>
      <c r="X2761" s="69"/>
      <c r="Y2761" s="69"/>
      <c r="Z2761" s="69"/>
      <c r="AA2761" s="69"/>
      <c r="AB2761" s="69"/>
      <c r="AC2761" s="69"/>
      <c r="AD2761" s="69"/>
      <c r="AE2761" s="69"/>
    </row>
    <row r="2762" spans="1:31" ht="22.5" customHeight="1">
      <c r="A2762" s="69"/>
      <c r="B2762" s="69"/>
      <c r="C2762" s="69"/>
      <c r="D2762" s="69"/>
      <c r="E2762" s="185"/>
      <c r="F2762" s="69"/>
      <c r="G2762" s="185"/>
      <c r="H2762" s="69"/>
      <c r="I2762" s="69"/>
      <c r="J2762" s="69"/>
      <c r="K2762" s="69"/>
      <c r="L2762" s="69"/>
      <c r="M2762" s="69"/>
      <c r="N2762" s="69"/>
      <c r="O2762" s="69"/>
      <c r="P2762" s="69"/>
      <c r="Q2762" s="69"/>
      <c r="R2762" s="69"/>
      <c r="S2762" s="69"/>
      <c r="T2762" s="69"/>
      <c r="U2762" s="69"/>
      <c r="V2762" s="69"/>
      <c r="W2762" s="69"/>
      <c r="X2762" s="69"/>
      <c r="Y2762" s="69"/>
      <c r="Z2762" s="69"/>
      <c r="AA2762" s="69"/>
      <c r="AB2762" s="69"/>
      <c r="AC2762" s="69"/>
      <c r="AD2762" s="69"/>
      <c r="AE2762" s="69"/>
    </row>
    <row r="2763" spans="1:31" ht="22.5" customHeight="1">
      <c r="A2763" s="69"/>
      <c r="B2763" s="69"/>
      <c r="C2763" s="69"/>
      <c r="D2763" s="69"/>
      <c r="E2763" s="185"/>
      <c r="F2763" s="69"/>
      <c r="G2763" s="185"/>
      <c r="H2763" s="69"/>
      <c r="I2763" s="69"/>
      <c r="J2763" s="69"/>
      <c r="K2763" s="69"/>
      <c r="L2763" s="69"/>
      <c r="M2763" s="69"/>
      <c r="N2763" s="69"/>
      <c r="O2763" s="69"/>
      <c r="P2763" s="69"/>
      <c r="Q2763" s="69"/>
      <c r="R2763" s="69"/>
      <c r="S2763" s="69"/>
      <c r="T2763" s="69"/>
      <c r="U2763" s="69"/>
      <c r="V2763" s="69"/>
      <c r="W2763" s="69"/>
      <c r="X2763" s="69"/>
      <c r="Y2763" s="69"/>
      <c r="Z2763" s="69"/>
      <c r="AA2763" s="69"/>
      <c r="AB2763" s="69"/>
      <c r="AC2763" s="69"/>
      <c r="AD2763" s="69"/>
      <c r="AE2763" s="69"/>
    </row>
    <row r="2764" spans="1:31" ht="22.5" customHeight="1">
      <c r="A2764" s="69"/>
      <c r="B2764" s="69"/>
      <c r="C2764" s="69"/>
      <c r="D2764" s="69"/>
      <c r="E2764" s="185"/>
      <c r="F2764" s="69"/>
      <c r="G2764" s="185"/>
      <c r="H2764" s="69"/>
      <c r="I2764" s="69"/>
      <c r="J2764" s="69"/>
      <c r="K2764" s="69"/>
      <c r="L2764" s="69"/>
      <c r="M2764" s="69"/>
      <c r="N2764" s="69"/>
      <c r="O2764" s="69"/>
      <c r="P2764" s="69"/>
      <c r="Q2764" s="69"/>
      <c r="R2764" s="69"/>
      <c r="S2764" s="69"/>
      <c r="T2764" s="69"/>
      <c r="U2764" s="69"/>
      <c r="V2764" s="69"/>
      <c r="W2764" s="69"/>
      <c r="X2764" s="69"/>
      <c r="Y2764" s="69"/>
      <c r="Z2764" s="69"/>
      <c r="AA2764" s="69"/>
      <c r="AB2764" s="69"/>
      <c r="AC2764" s="69"/>
      <c r="AD2764" s="69"/>
      <c r="AE2764" s="69"/>
    </row>
    <row r="2765" spans="1:31" ht="22.5" customHeight="1">
      <c r="A2765" s="69"/>
      <c r="B2765" s="69"/>
      <c r="C2765" s="69"/>
      <c r="D2765" s="69"/>
      <c r="E2765" s="185"/>
      <c r="F2765" s="69"/>
      <c r="G2765" s="185"/>
      <c r="H2765" s="69"/>
      <c r="I2765" s="69"/>
      <c r="J2765" s="69"/>
      <c r="K2765" s="69"/>
      <c r="L2765" s="69"/>
      <c r="M2765" s="69"/>
      <c r="N2765" s="69"/>
      <c r="O2765" s="69"/>
      <c r="P2765" s="69"/>
      <c r="Q2765" s="69"/>
      <c r="R2765" s="69"/>
      <c r="S2765" s="69"/>
      <c r="T2765" s="69"/>
      <c r="U2765" s="69"/>
      <c r="V2765" s="69"/>
      <c r="W2765" s="69"/>
      <c r="X2765" s="69"/>
      <c r="Y2765" s="69"/>
      <c r="Z2765" s="69"/>
      <c r="AA2765" s="69"/>
      <c r="AB2765" s="69"/>
      <c r="AC2765" s="69"/>
      <c r="AD2765" s="69"/>
      <c r="AE2765" s="69"/>
    </row>
    <row r="2766" spans="1:31" ht="22.5" customHeight="1">
      <c r="A2766" s="69"/>
      <c r="B2766" s="69"/>
      <c r="C2766" s="69"/>
      <c r="D2766" s="69"/>
      <c r="E2766" s="185"/>
      <c r="F2766" s="69"/>
      <c r="G2766" s="185"/>
      <c r="H2766" s="69"/>
      <c r="I2766" s="69"/>
      <c r="J2766" s="69"/>
      <c r="K2766" s="69"/>
      <c r="L2766" s="69"/>
      <c r="M2766" s="69"/>
      <c r="N2766" s="69"/>
      <c r="O2766" s="69"/>
      <c r="P2766" s="69"/>
      <c r="Q2766" s="69"/>
      <c r="R2766" s="69"/>
      <c r="S2766" s="69"/>
      <c r="T2766" s="69"/>
      <c r="U2766" s="69"/>
      <c r="V2766" s="69"/>
      <c r="W2766" s="69"/>
      <c r="X2766" s="69"/>
      <c r="Y2766" s="69"/>
      <c r="Z2766" s="69"/>
      <c r="AA2766" s="69"/>
      <c r="AB2766" s="69"/>
      <c r="AC2766" s="69"/>
      <c r="AD2766" s="69"/>
      <c r="AE2766" s="69"/>
    </row>
    <row r="2767" spans="1:31" ht="22.5" customHeight="1">
      <c r="A2767" s="69"/>
      <c r="B2767" s="69"/>
      <c r="C2767" s="69"/>
      <c r="D2767" s="69"/>
      <c r="E2767" s="185"/>
      <c r="F2767" s="69"/>
      <c r="G2767" s="185"/>
      <c r="H2767" s="69"/>
      <c r="I2767" s="69"/>
      <c r="J2767" s="69"/>
      <c r="K2767" s="69"/>
      <c r="L2767" s="69"/>
      <c r="M2767" s="69"/>
      <c r="N2767" s="69"/>
      <c r="O2767" s="69"/>
      <c r="P2767" s="69"/>
      <c r="Q2767" s="69"/>
      <c r="R2767" s="69"/>
      <c r="S2767" s="69"/>
      <c r="T2767" s="69"/>
      <c r="U2767" s="69"/>
      <c r="V2767" s="69"/>
      <c r="W2767" s="69"/>
      <c r="X2767" s="69"/>
      <c r="Y2767" s="69"/>
      <c r="Z2767" s="69"/>
      <c r="AA2767" s="69"/>
      <c r="AB2767" s="69"/>
      <c r="AC2767" s="69"/>
      <c r="AD2767" s="69"/>
      <c r="AE2767" s="69"/>
    </row>
    <row r="2768" spans="1:31" ht="22.5" customHeight="1">
      <c r="A2768" s="69"/>
      <c r="B2768" s="69"/>
      <c r="C2768" s="69"/>
      <c r="D2768" s="69"/>
      <c r="E2768" s="185"/>
      <c r="F2768" s="69"/>
      <c r="G2768" s="185"/>
      <c r="H2768" s="69"/>
      <c r="I2768" s="69"/>
      <c r="J2768" s="69"/>
      <c r="K2768" s="69"/>
      <c r="L2768" s="69"/>
      <c r="M2768" s="69"/>
      <c r="N2768" s="69"/>
      <c r="O2768" s="69"/>
      <c r="P2768" s="69"/>
      <c r="Q2768" s="69"/>
      <c r="R2768" s="69"/>
      <c r="S2768" s="69"/>
      <c r="T2768" s="69"/>
      <c r="U2768" s="69"/>
      <c r="V2768" s="69"/>
      <c r="W2768" s="69"/>
      <c r="X2768" s="69"/>
      <c r="Y2768" s="69"/>
      <c r="Z2768" s="69"/>
      <c r="AA2768" s="69"/>
      <c r="AB2768" s="69"/>
      <c r="AC2768" s="69"/>
      <c r="AD2768" s="69"/>
      <c r="AE2768" s="69"/>
    </row>
    <row r="2769" spans="1:31" ht="22.5" customHeight="1">
      <c r="A2769" s="69"/>
      <c r="B2769" s="69"/>
      <c r="C2769" s="69"/>
      <c r="D2769" s="69"/>
      <c r="E2769" s="185"/>
      <c r="F2769" s="69"/>
      <c r="G2769" s="185"/>
      <c r="H2769" s="69"/>
      <c r="I2769" s="69"/>
      <c r="J2769" s="69"/>
      <c r="K2769" s="69"/>
      <c r="L2769" s="69"/>
      <c r="M2769" s="69"/>
      <c r="N2769" s="69"/>
      <c r="O2769" s="69"/>
      <c r="P2769" s="69"/>
      <c r="Q2769" s="69"/>
      <c r="R2769" s="69"/>
      <c r="S2769" s="69"/>
      <c r="T2769" s="69"/>
      <c r="U2769" s="69"/>
      <c r="V2769" s="69"/>
      <c r="W2769" s="69"/>
      <c r="X2769" s="69"/>
      <c r="Y2769" s="69"/>
      <c r="Z2769" s="69"/>
      <c r="AA2769" s="69"/>
      <c r="AB2769" s="69"/>
      <c r="AC2769" s="69"/>
      <c r="AD2769" s="69"/>
      <c r="AE2769" s="69"/>
    </row>
    <row r="2770" spans="1:31" ht="22.5" customHeight="1">
      <c r="A2770" s="69"/>
      <c r="B2770" s="69"/>
      <c r="C2770" s="69"/>
      <c r="D2770" s="69"/>
      <c r="E2770" s="185"/>
      <c r="F2770" s="69"/>
      <c r="G2770" s="185"/>
      <c r="H2770" s="69"/>
      <c r="I2770" s="69"/>
      <c r="J2770" s="69"/>
      <c r="K2770" s="69"/>
      <c r="L2770" s="69"/>
      <c r="M2770" s="69"/>
      <c r="N2770" s="69"/>
      <c r="O2770" s="69"/>
      <c r="P2770" s="69"/>
      <c r="Q2770" s="69"/>
      <c r="R2770" s="69"/>
      <c r="S2770" s="69"/>
      <c r="T2770" s="69"/>
      <c r="U2770" s="69"/>
      <c r="V2770" s="69"/>
      <c r="W2770" s="69"/>
      <c r="X2770" s="69"/>
      <c r="Y2770" s="69"/>
      <c r="Z2770" s="69"/>
      <c r="AA2770" s="69"/>
      <c r="AB2770" s="69"/>
      <c r="AC2770" s="69"/>
      <c r="AD2770" s="69"/>
      <c r="AE2770" s="69"/>
    </row>
    <row r="2771" spans="1:31" ht="22.5" customHeight="1">
      <c r="A2771" s="69"/>
      <c r="B2771" s="69"/>
      <c r="C2771" s="69"/>
      <c r="D2771" s="69"/>
      <c r="E2771" s="185"/>
      <c r="F2771" s="69"/>
      <c r="G2771" s="185"/>
      <c r="H2771" s="69"/>
      <c r="I2771" s="69"/>
      <c r="J2771" s="69"/>
      <c r="K2771" s="69"/>
      <c r="L2771" s="69"/>
      <c r="M2771" s="69"/>
      <c r="N2771" s="69"/>
      <c r="O2771" s="69"/>
      <c r="P2771" s="69"/>
      <c r="Q2771" s="69"/>
      <c r="R2771" s="69"/>
      <c r="S2771" s="69"/>
      <c r="T2771" s="69"/>
      <c r="U2771" s="69"/>
      <c r="V2771" s="69"/>
      <c r="W2771" s="69"/>
      <c r="X2771" s="69"/>
      <c r="Y2771" s="69"/>
      <c r="Z2771" s="69"/>
      <c r="AA2771" s="69"/>
      <c r="AB2771" s="69"/>
      <c r="AC2771" s="69"/>
      <c r="AD2771" s="69"/>
      <c r="AE2771" s="69"/>
    </row>
    <row r="2772" spans="1:31" ht="22.5" customHeight="1">
      <c r="A2772" s="69"/>
      <c r="B2772" s="69"/>
      <c r="C2772" s="69"/>
      <c r="D2772" s="69"/>
      <c r="E2772" s="185"/>
      <c r="F2772" s="69"/>
      <c r="G2772" s="185"/>
      <c r="H2772" s="69"/>
      <c r="I2772" s="69"/>
      <c r="J2772" s="69"/>
      <c r="K2772" s="69"/>
      <c r="L2772" s="69"/>
      <c r="M2772" s="69"/>
      <c r="N2772" s="69"/>
      <c r="O2772" s="69"/>
      <c r="P2772" s="69"/>
      <c r="Q2772" s="69"/>
      <c r="R2772" s="69"/>
      <c r="S2772" s="69"/>
      <c r="T2772" s="69"/>
      <c r="U2772" s="69"/>
      <c r="V2772" s="69"/>
      <c r="W2772" s="69"/>
      <c r="X2772" s="69"/>
      <c r="Y2772" s="69"/>
      <c r="Z2772" s="69"/>
      <c r="AA2772" s="69"/>
      <c r="AB2772" s="69"/>
      <c r="AC2772" s="69"/>
      <c r="AD2772" s="69"/>
      <c r="AE2772" s="69"/>
    </row>
    <row r="2773" spans="1:31" ht="22.5" customHeight="1">
      <c r="A2773" s="69"/>
      <c r="B2773" s="69"/>
      <c r="C2773" s="69"/>
      <c r="D2773" s="69"/>
      <c r="E2773" s="185"/>
      <c r="F2773" s="69"/>
      <c r="G2773" s="185"/>
      <c r="H2773" s="69"/>
      <c r="I2773" s="69"/>
      <c r="J2773" s="69"/>
      <c r="K2773" s="69"/>
      <c r="L2773" s="69"/>
      <c r="M2773" s="69"/>
      <c r="N2773" s="69"/>
      <c r="O2773" s="69"/>
      <c r="P2773" s="69"/>
      <c r="Q2773" s="69"/>
      <c r="R2773" s="69"/>
      <c r="S2773" s="69"/>
      <c r="T2773" s="69"/>
      <c r="U2773" s="69"/>
      <c r="V2773" s="69"/>
      <c r="W2773" s="69"/>
      <c r="X2773" s="69"/>
      <c r="Y2773" s="69"/>
      <c r="Z2773" s="69"/>
      <c r="AA2773" s="69"/>
      <c r="AB2773" s="69"/>
      <c r="AC2773" s="69"/>
      <c r="AD2773" s="69"/>
      <c r="AE2773" s="69"/>
    </row>
    <row r="2774" spans="1:31" ht="22.5" customHeight="1">
      <c r="A2774" s="69"/>
      <c r="B2774" s="69"/>
      <c r="C2774" s="69"/>
      <c r="D2774" s="69"/>
      <c r="E2774" s="185"/>
      <c r="F2774" s="69"/>
      <c r="G2774" s="185"/>
      <c r="H2774" s="69"/>
      <c r="I2774" s="69"/>
      <c r="J2774" s="69"/>
      <c r="K2774" s="69"/>
      <c r="L2774" s="69"/>
      <c r="M2774" s="69"/>
      <c r="N2774" s="69"/>
      <c r="O2774" s="69"/>
      <c r="P2774" s="69"/>
      <c r="Q2774" s="69"/>
      <c r="R2774" s="69"/>
      <c r="S2774" s="69"/>
      <c r="T2774" s="69"/>
      <c r="U2774" s="69"/>
      <c r="V2774" s="69"/>
      <c r="W2774" s="69"/>
      <c r="X2774" s="69"/>
      <c r="Y2774" s="69"/>
      <c r="Z2774" s="69"/>
      <c r="AA2774" s="69"/>
      <c r="AB2774" s="69"/>
      <c r="AC2774" s="69"/>
      <c r="AD2774" s="69"/>
      <c r="AE2774" s="69"/>
    </row>
    <row r="2775" spans="1:31" ht="22.5" customHeight="1">
      <c r="A2775" s="69"/>
      <c r="B2775" s="69"/>
      <c r="C2775" s="69"/>
      <c r="D2775" s="69"/>
      <c r="E2775" s="185"/>
      <c r="F2775" s="69"/>
      <c r="G2775" s="185"/>
      <c r="H2775" s="69"/>
      <c r="I2775" s="69"/>
      <c r="J2775" s="69"/>
      <c r="K2775" s="69"/>
      <c r="L2775" s="69"/>
      <c r="M2775" s="69"/>
      <c r="N2775" s="69"/>
      <c r="O2775" s="69"/>
      <c r="P2775" s="69"/>
      <c r="Q2775" s="69"/>
      <c r="R2775" s="69"/>
      <c r="S2775" s="69"/>
      <c r="T2775" s="69"/>
      <c r="U2775" s="69"/>
      <c r="V2775" s="69"/>
      <c r="W2775" s="69"/>
      <c r="X2775" s="69"/>
      <c r="Y2775" s="69"/>
      <c r="Z2775" s="69"/>
      <c r="AA2775" s="69"/>
      <c r="AB2775" s="69"/>
      <c r="AC2775" s="69"/>
      <c r="AD2775" s="69"/>
      <c r="AE2775" s="69"/>
    </row>
    <row r="2776" spans="1:31" ht="22.5" customHeight="1">
      <c r="A2776" s="69"/>
      <c r="B2776" s="69"/>
      <c r="C2776" s="69"/>
      <c r="D2776" s="69"/>
      <c r="E2776" s="185"/>
      <c r="F2776" s="69"/>
      <c r="G2776" s="185"/>
      <c r="H2776" s="69"/>
      <c r="I2776" s="69"/>
      <c r="J2776" s="69"/>
      <c r="K2776" s="69"/>
      <c r="L2776" s="69"/>
      <c r="M2776" s="69"/>
      <c r="N2776" s="69"/>
      <c r="O2776" s="69"/>
      <c r="P2776" s="69"/>
      <c r="Q2776" s="69"/>
      <c r="R2776" s="69"/>
      <c r="S2776" s="69"/>
      <c r="T2776" s="69"/>
      <c r="U2776" s="69"/>
      <c r="V2776" s="69"/>
      <c r="W2776" s="69"/>
      <c r="X2776" s="69"/>
      <c r="Y2776" s="69"/>
      <c r="Z2776" s="69"/>
      <c r="AA2776" s="69"/>
      <c r="AB2776" s="69"/>
      <c r="AC2776" s="69"/>
      <c r="AD2776" s="69"/>
      <c r="AE2776" s="69"/>
    </row>
    <row r="2777" spans="1:31" ht="22.5" customHeight="1">
      <c r="A2777" s="69"/>
      <c r="B2777" s="69"/>
      <c r="C2777" s="69"/>
      <c r="D2777" s="69"/>
      <c r="E2777" s="185"/>
      <c r="F2777" s="69"/>
      <c r="G2777" s="185"/>
      <c r="H2777" s="69"/>
      <c r="I2777" s="69"/>
      <c r="J2777" s="69"/>
      <c r="K2777" s="69"/>
      <c r="L2777" s="69"/>
      <c r="M2777" s="69"/>
      <c r="N2777" s="69"/>
      <c r="O2777" s="69"/>
      <c r="P2777" s="69"/>
      <c r="Q2777" s="69"/>
      <c r="R2777" s="69"/>
      <c r="S2777" s="69"/>
      <c r="T2777" s="69"/>
      <c r="U2777" s="69"/>
      <c r="V2777" s="69"/>
      <c r="W2777" s="69"/>
      <c r="X2777" s="69"/>
      <c r="Y2777" s="69"/>
      <c r="Z2777" s="69"/>
      <c r="AA2777" s="69"/>
      <c r="AB2777" s="69"/>
      <c r="AC2777" s="69"/>
      <c r="AD2777" s="69"/>
      <c r="AE2777" s="69"/>
    </row>
    <row r="2778" spans="1:31" ht="22.5" customHeight="1">
      <c r="A2778" s="69"/>
      <c r="B2778" s="69"/>
      <c r="C2778" s="69"/>
      <c r="D2778" s="69"/>
      <c r="E2778" s="185"/>
      <c r="F2778" s="69"/>
      <c r="G2778" s="185"/>
      <c r="H2778" s="69"/>
      <c r="I2778" s="69"/>
      <c r="J2778" s="69"/>
      <c r="K2778" s="69"/>
      <c r="L2778" s="69"/>
      <c r="M2778" s="69"/>
      <c r="N2778" s="69"/>
      <c r="O2778" s="69"/>
      <c r="P2778" s="69"/>
      <c r="Q2778" s="69"/>
      <c r="R2778" s="69"/>
      <c r="S2778" s="69"/>
      <c r="T2778" s="69"/>
      <c r="U2778" s="69"/>
      <c r="V2778" s="69"/>
      <c r="W2778" s="69"/>
      <c r="X2778" s="69"/>
      <c r="Y2778" s="69"/>
      <c r="Z2778" s="69"/>
      <c r="AA2778" s="69"/>
      <c r="AB2778" s="69"/>
      <c r="AC2778" s="69"/>
      <c r="AD2778" s="69"/>
      <c r="AE2778" s="69"/>
    </row>
    <row r="2779" spans="1:31" ht="22.5" customHeight="1">
      <c r="A2779" s="69"/>
      <c r="B2779" s="69"/>
      <c r="C2779" s="69"/>
      <c r="D2779" s="69"/>
      <c r="E2779" s="185"/>
      <c r="F2779" s="69"/>
      <c r="G2779" s="185"/>
      <c r="H2779" s="69"/>
      <c r="I2779" s="69"/>
      <c r="J2779" s="69"/>
      <c r="K2779" s="69"/>
      <c r="L2779" s="69"/>
      <c r="M2779" s="69"/>
      <c r="N2779" s="69"/>
      <c r="O2779" s="69"/>
      <c r="P2779" s="69"/>
      <c r="Q2779" s="69"/>
      <c r="R2779" s="69"/>
      <c r="S2779" s="69"/>
      <c r="T2779" s="69"/>
      <c r="U2779" s="69"/>
      <c r="V2779" s="69"/>
      <c r="W2779" s="69"/>
      <c r="X2779" s="69"/>
      <c r="Y2779" s="69"/>
      <c r="Z2779" s="69"/>
      <c r="AA2779" s="69"/>
      <c r="AB2779" s="69"/>
      <c r="AC2779" s="69"/>
      <c r="AD2779" s="69"/>
      <c r="AE2779" s="69"/>
    </row>
    <row r="2780" spans="1:31" ht="22.5" customHeight="1">
      <c r="A2780" s="69"/>
      <c r="B2780" s="69"/>
      <c r="C2780" s="69"/>
      <c r="D2780" s="69"/>
      <c r="E2780" s="185"/>
      <c r="F2780" s="69"/>
      <c r="G2780" s="185"/>
      <c r="H2780" s="69"/>
      <c r="I2780" s="69"/>
      <c r="J2780" s="69"/>
      <c r="K2780" s="69"/>
      <c r="L2780" s="69"/>
      <c r="M2780" s="69"/>
      <c r="N2780" s="69"/>
      <c r="O2780" s="69"/>
      <c r="P2780" s="69"/>
      <c r="Q2780" s="69"/>
      <c r="R2780" s="69"/>
      <c r="S2780" s="69"/>
      <c r="T2780" s="69"/>
      <c r="U2780" s="69"/>
      <c r="V2780" s="69"/>
      <c r="W2780" s="69"/>
      <c r="X2780" s="69"/>
      <c r="Y2780" s="69"/>
      <c r="Z2780" s="69"/>
      <c r="AA2780" s="69"/>
      <c r="AB2780" s="69"/>
      <c r="AC2780" s="69"/>
      <c r="AD2780" s="69"/>
      <c r="AE2780" s="69"/>
    </row>
    <row r="2781" spans="1:31" ht="22.5" customHeight="1">
      <c r="A2781" s="69"/>
      <c r="B2781" s="69"/>
      <c r="C2781" s="69"/>
      <c r="D2781" s="69"/>
      <c r="E2781" s="185"/>
      <c r="F2781" s="69"/>
      <c r="G2781" s="185"/>
      <c r="H2781" s="69"/>
      <c r="I2781" s="69"/>
      <c r="J2781" s="69"/>
      <c r="K2781" s="69"/>
      <c r="L2781" s="69"/>
      <c r="M2781" s="69"/>
      <c r="N2781" s="69"/>
      <c r="O2781" s="69"/>
      <c r="P2781" s="69"/>
      <c r="Q2781" s="69"/>
      <c r="R2781" s="69"/>
      <c r="S2781" s="69"/>
      <c r="T2781" s="69"/>
      <c r="U2781" s="69"/>
      <c r="V2781" s="69"/>
      <c r="W2781" s="69"/>
      <c r="X2781" s="69"/>
      <c r="Y2781" s="69"/>
      <c r="Z2781" s="69"/>
      <c r="AA2781" s="69"/>
      <c r="AB2781" s="69"/>
      <c r="AC2781" s="69"/>
      <c r="AD2781" s="69"/>
      <c r="AE2781" s="69"/>
    </row>
    <row r="2782" spans="1:31" ht="22.5" customHeight="1">
      <c r="A2782" s="69"/>
      <c r="B2782" s="69"/>
      <c r="C2782" s="69"/>
      <c r="D2782" s="69"/>
      <c r="E2782" s="185"/>
      <c r="F2782" s="69"/>
      <c r="G2782" s="185"/>
      <c r="H2782" s="69"/>
      <c r="I2782" s="69"/>
      <c r="J2782" s="69"/>
      <c r="K2782" s="69"/>
      <c r="L2782" s="69"/>
      <c r="M2782" s="69"/>
      <c r="N2782" s="69"/>
      <c r="O2782" s="69"/>
      <c r="P2782" s="69"/>
      <c r="Q2782" s="69"/>
      <c r="R2782" s="69"/>
      <c r="S2782" s="69"/>
      <c r="T2782" s="69"/>
      <c r="U2782" s="69"/>
      <c r="V2782" s="69"/>
      <c r="W2782" s="69"/>
      <c r="X2782" s="69"/>
      <c r="Y2782" s="69"/>
      <c r="Z2782" s="69"/>
      <c r="AA2782" s="69"/>
      <c r="AB2782" s="69"/>
      <c r="AC2782" s="69"/>
      <c r="AD2782" s="69"/>
      <c r="AE2782" s="69"/>
    </row>
    <row r="2783" spans="1:31" ht="22.5" customHeight="1">
      <c r="A2783" s="69"/>
      <c r="B2783" s="69"/>
      <c r="C2783" s="69"/>
      <c r="D2783" s="69"/>
      <c r="E2783" s="185"/>
      <c r="F2783" s="69"/>
      <c r="G2783" s="185"/>
      <c r="H2783" s="69"/>
      <c r="I2783" s="69"/>
      <c r="J2783" s="69"/>
      <c r="K2783" s="69"/>
      <c r="L2783" s="69"/>
      <c r="M2783" s="69"/>
      <c r="N2783" s="69"/>
      <c r="O2783" s="69"/>
      <c r="P2783" s="69"/>
      <c r="Q2783" s="69"/>
      <c r="R2783" s="69"/>
      <c r="S2783" s="69"/>
      <c r="T2783" s="69"/>
      <c r="U2783" s="69"/>
      <c r="V2783" s="69"/>
      <c r="W2783" s="69"/>
      <c r="X2783" s="69"/>
      <c r="Y2783" s="69"/>
      <c r="Z2783" s="69"/>
      <c r="AA2783" s="69"/>
      <c r="AB2783" s="69"/>
      <c r="AC2783" s="69"/>
      <c r="AD2783" s="69"/>
      <c r="AE2783" s="69"/>
    </row>
    <row r="2784" spans="1:31" ht="22.5" customHeight="1">
      <c r="A2784" s="69"/>
      <c r="B2784" s="69"/>
      <c r="C2784" s="69"/>
      <c r="D2784" s="69"/>
      <c r="E2784" s="185"/>
      <c r="F2784" s="69"/>
      <c r="G2784" s="185"/>
      <c r="H2784" s="69"/>
      <c r="I2784" s="69"/>
      <c r="J2784" s="69"/>
      <c r="K2784" s="69"/>
      <c r="L2784" s="69"/>
      <c r="M2784" s="69"/>
      <c r="N2784" s="69"/>
      <c r="O2784" s="69"/>
      <c r="P2784" s="69"/>
      <c r="Q2784" s="69"/>
      <c r="R2784" s="69"/>
      <c r="S2784" s="69"/>
      <c r="T2784" s="69"/>
      <c r="U2784" s="69"/>
      <c r="V2784" s="69"/>
      <c r="W2784" s="69"/>
      <c r="X2784" s="69"/>
      <c r="Y2784" s="69"/>
      <c r="Z2784" s="69"/>
      <c r="AA2784" s="69"/>
      <c r="AB2784" s="69"/>
      <c r="AC2784" s="69"/>
      <c r="AD2784" s="69"/>
      <c r="AE2784" s="69"/>
    </row>
    <row r="2785" spans="1:31" ht="22.5" customHeight="1">
      <c r="A2785" s="69"/>
      <c r="B2785" s="69"/>
      <c r="C2785" s="69"/>
      <c r="D2785" s="69"/>
      <c r="E2785" s="185"/>
      <c r="F2785" s="69"/>
      <c r="G2785" s="185"/>
      <c r="H2785" s="69"/>
      <c r="I2785" s="69"/>
      <c r="J2785" s="69"/>
      <c r="K2785" s="69"/>
      <c r="L2785" s="69"/>
      <c r="M2785" s="69"/>
      <c r="N2785" s="69"/>
      <c r="O2785" s="69"/>
      <c r="P2785" s="69"/>
      <c r="Q2785" s="69"/>
      <c r="R2785" s="69"/>
      <c r="S2785" s="69"/>
      <c r="T2785" s="69"/>
      <c r="U2785" s="69"/>
      <c r="V2785" s="69"/>
      <c r="W2785" s="69"/>
      <c r="X2785" s="69"/>
      <c r="Y2785" s="69"/>
      <c r="Z2785" s="69"/>
      <c r="AA2785" s="69"/>
      <c r="AB2785" s="69"/>
      <c r="AC2785" s="69"/>
      <c r="AD2785" s="69"/>
      <c r="AE2785" s="69"/>
    </row>
    <row r="2786" spans="1:31" ht="22.5" customHeight="1">
      <c r="A2786" s="69"/>
      <c r="B2786" s="69"/>
      <c r="C2786" s="69"/>
      <c r="D2786" s="69"/>
      <c r="E2786" s="185"/>
      <c r="F2786" s="69"/>
      <c r="G2786" s="185"/>
      <c r="H2786" s="69"/>
      <c r="I2786" s="69"/>
      <c r="J2786" s="69"/>
      <c r="K2786" s="69"/>
      <c r="L2786" s="69"/>
      <c r="M2786" s="69"/>
      <c r="N2786" s="69"/>
      <c r="O2786" s="69"/>
      <c r="P2786" s="69"/>
      <c r="Q2786" s="69"/>
      <c r="R2786" s="69"/>
      <c r="S2786" s="69"/>
      <c r="T2786" s="69"/>
      <c r="U2786" s="69"/>
      <c r="V2786" s="69"/>
      <c r="W2786" s="69"/>
      <c r="X2786" s="69"/>
      <c r="Y2786" s="69"/>
      <c r="Z2786" s="69"/>
      <c r="AA2786" s="69"/>
      <c r="AB2786" s="69"/>
      <c r="AC2786" s="69"/>
      <c r="AD2786" s="69"/>
      <c r="AE2786" s="69"/>
    </row>
    <row r="2787" spans="1:31" ht="22.5" customHeight="1">
      <c r="A2787" s="69"/>
      <c r="B2787" s="69"/>
      <c r="C2787" s="69"/>
      <c r="D2787" s="69"/>
      <c r="E2787" s="185"/>
      <c r="F2787" s="69"/>
      <c r="G2787" s="185"/>
      <c r="H2787" s="69"/>
      <c r="I2787" s="69"/>
      <c r="J2787" s="69"/>
      <c r="K2787" s="69"/>
      <c r="L2787" s="69"/>
      <c r="M2787" s="69"/>
      <c r="N2787" s="69"/>
      <c r="O2787" s="69"/>
      <c r="P2787" s="69"/>
      <c r="Q2787" s="69"/>
      <c r="R2787" s="69"/>
      <c r="S2787" s="69"/>
      <c r="T2787" s="69"/>
      <c r="U2787" s="69"/>
      <c r="V2787" s="69"/>
      <c r="W2787" s="69"/>
      <c r="X2787" s="69"/>
      <c r="Y2787" s="69"/>
      <c r="Z2787" s="69"/>
      <c r="AA2787" s="69"/>
      <c r="AB2787" s="69"/>
      <c r="AC2787" s="69"/>
      <c r="AD2787" s="69"/>
      <c r="AE2787" s="69"/>
    </row>
    <row r="2788" spans="1:31" ht="22.5" customHeight="1">
      <c r="A2788" s="69"/>
      <c r="B2788" s="69"/>
      <c r="C2788" s="69"/>
      <c r="D2788" s="69"/>
      <c r="E2788" s="185"/>
      <c r="F2788" s="69"/>
      <c r="G2788" s="185"/>
      <c r="H2788" s="69"/>
      <c r="I2788" s="69"/>
      <c r="J2788" s="69"/>
      <c r="K2788" s="69"/>
      <c r="L2788" s="69"/>
      <c r="M2788" s="69"/>
      <c r="N2788" s="69"/>
      <c r="O2788" s="69"/>
      <c r="P2788" s="69"/>
      <c r="Q2788" s="69"/>
      <c r="R2788" s="69"/>
      <c r="S2788" s="69"/>
      <c r="T2788" s="69"/>
      <c r="U2788" s="69"/>
      <c r="V2788" s="69"/>
      <c r="W2788" s="69"/>
      <c r="X2788" s="69"/>
      <c r="Y2788" s="69"/>
      <c r="Z2788" s="69"/>
      <c r="AA2788" s="69"/>
      <c r="AB2788" s="69"/>
      <c r="AC2788" s="69"/>
      <c r="AD2788" s="69"/>
      <c r="AE2788" s="69"/>
    </row>
    <row r="2789" spans="1:31" ht="22.5" customHeight="1">
      <c r="A2789" s="69"/>
      <c r="B2789" s="69"/>
      <c r="C2789" s="69"/>
      <c r="D2789" s="69"/>
      <c r="E2789" s="185"/>
      <c r="F2789" s="69"/>
      <c r="G2789" s="185"/>
      <c r="H2789" s="69"/>
      <c r="I2789" s="69"/>
      <c r="J2789" s="69"/>
      <c r="K2789" s="69"/>
      <c r="L2789" s="69"/>
      <c r="M2789" s="69"/>
      <c r="N2789" s="69"/>
      <c r="O2789" s="69"/>
      <c r="P2789" s="69"/>
      <c r="Q2789" s="69"/>
      <c r="R2789" s="69"/>
      <c r="S2789" s="69"/>
      <c r="T2789" s="69"/>
      <c r="U2789" s="69"/>
      <c r="V2789" s="69"/>
      <c r="W2789" s="69"/>
      <c r="X2789" s="69"/>
      <c r="Y2789" s="69"/>
      <c r="Z2789" s="69"/>
      <c r="AA2789" s="69"/>
      <c r="AB2789" s="69"/>
      <c r="AC2789" s="69"/>
      <c r="AD2789" s="69"/>
      <c r="AE2789" s="69"/>
    </row>
    <row r="2790" spans="1:31" ht="22.5" customHeight="1">
      <c r="A2790" s="69"/>
      <c r="B2790" s="69"/>
      <c r="C2790" s="69"/>
      <c r="D2790" s="69"/>
      <c r="E2790" s="185"/>
      <c r="F2790" s="69"/>
      <c r="G2790" s="185"/>
      <c r="H2790" s="69"/>
      <c r="I2790" s="69"/>
      <c r="J2790" s="69"/>
      <c r="K2790" s="69"/>
      <c r="L2790" s="69"/>
      <c r="M2790" s="69"/>
      <c r="N2790" s="69"/>
      <c r="O2790" s="69"/>
      <c r="P2790" s="69"/>
      <c r="Q2790" s="69"/>
      <c r="R2790" s="69"/>
      <c r="S2790" s="69"/>
      <c r="T2790" s="69"/>
      <c r="U2790" s="69"/>
      <c r="V2790" s="69"/>
      <c r="W2790" s="69"/>
      <c r="X2790" s="69"/>
      <c r="Y2790" s="69"/>
      <c r="Z2790" s="69"/>
      <c r="AA2790" s="69"/>
      <c r="AB2790" s="69"/>
      <c r="AC2790" s="69"/>
      <c r="AD2790" s="69"/>
      <c r="AE2790" s="69"/>
    </row>
    <row r="2791" spans="1:31" ht="22.5" customHeight="1">
      <c r="A2791" s="69"/>
      <c r="B2791" s="69"/>
      <c r="C2791" s="69"/>
      <c r="D2791" s="69"/>
      <c r="E2791" s="185"/>
      <c r="F2791" s="69"/>
      <c r="G2791" s="185"/>
      <c r="H2791" s="69"/>
      <c r="I2791" s="69"/>
      <c r="J2791" s="69"/>
      <c r="K2791" s="69"/>
      <c r="L2791" s="69"/>
      <c r="M2791" s="69"/>
      <c r="N2791" s="69"/>
      <c r="O2791" s="69"/>
      <c r="P2791" s="69"/>
      <c r="Q2791" s="69"/>
      <c r="R2791" s="69"/>
      <c r="S2791" s="69"/>
      <c r="T2791" s="69"/>
      <c r="U2791" s="69"/>
      <c r="V2791" s="69"/>
      <c r="W2791" s="69"/>
      <c r="X2791" s="69"/>
      <c r="Y2791" s="69"/>
      <c r="Z2791" s="69"/>
      <c r="AA2791" s="69"/>
      <c r="AB2791" s="69"/>
      <c r="AC2791" s="69"/>
      <c r="AD2791" s="69"/>
      <c r="AE2791" s="69"/>
    </row>
    <row r="2792" spans="1:31" ht="22.5" customHeight="1">
      <c r="A2792" s="69"/>
      <c r="B2792" s="69"/>
      <c r="C2792" s="69"/>
      <c r="D2792" s="69"/>
      <c r="E2792" s="185"/>
      <c r="F2792" s="69"/>
      <c r="G2792" s="185"/>
      <c r="H2792" s="69"/>
      <c r="I2792" s="69"/>
      <c r="J2792" s="69"/>
      <c r="K2792" s="69"/>
      <c r="L2792" s="69"/>
      <c r="M2792" s="69"/>
      <c r="N2792" s="69"/>
      <c r="O2792" s="69"/>
      <c r="P2792" s="69"/>
      <c r="Q2792" s="69"/>
      <c r="R2792" s="69"/>
      <c r="S2792" s="69"/>
      <c r="T2792" s="69"/>
      <c r="U2792" s="69"/>
      <c r="V2792" s="69"/>
      <c r="W2792" s="69"/>
      <c r="X2792" s="69"/>
      <c r="Y2792" s="69"/>
      <c r="Z2792" s="69"/>
      <c r="AA2792" s="69"/>
      <c r="AB2792" s="69"/>
      <c r="AC2792" s="69"/>
      <c r="AD2792" s="69"/>
      <c r="AE2792" s="69"/>
    </row>
    <row r="2793" spans="1:31" ht="22.5" customHeight="1">
      <c r="A2793" s="69"/>
      <c r="B2793" s="69"/>
      <c r="C2793" s="69"/>
      <c r="D2793" s="69"/>
      <c r="E2793" s="185"/>
      <c r="F2793" s="69"/>
      <c r="G2793" s="185"/>
      <c r="H2793" s="69"/>
      <c r="I2793" s="69"/>
      <c r="J2793" s="69"/>
      <c r="K2793" s="69"/>
      <c r="L2793" s="69"/>
      <c r="M2793" s="69"/>
      <c r="N2793" s="69"/>
      <c r="O2793" s="69"/>
      <c r="P2793" s="69"/>
      <c r="Q2793" s="69"/>
      <c r="R2793" s="69"/>
      <c r="S2793" s="69"/>
      <c r="T2793" s="69"/>
      <c r="U2793" s="69"/>
      <c r="V2793" s="69"/>
      <c r="W2793" s="69"/>
      <c r="X2793" s="69"/>
      <c r="Y2793" s="69"/>
      <c r="Z2793" s="69"/>
      <c r="AA2793" s="69"/>
      <c r="AB2793" s="69"/>
      <c r="AC2793" s="69"/>
      <c r="AD2793" s="69"/>
      <c r="AE2793" s="69"/>
    </row>
    <row r="2794" spans="1:31" ht="22.5" customHeight="1">
      <c r="A2794" s="69"/>
      <c r="B2794" s="69"/>
      <c r="C2794" s="69"/>
      <c r="D2794" s="69"/>
      <c r="E2794" s="185"/>
      <c r="F2794" s="69"/>
      <c r="G2794" s="185"/>
      <c r="H2794" s="69"/>
      <c r="I2794" s="69"/>
      <c r="J2794" s="69"/>
      <c r="K2794" s="69"/>
      <c r="L2794" s="69"/>
      <c r="M2794" s="69"/>
      <c r="N2794" s="69"/>
      <c r="O2794" s="69"/>
      <c r="P2794" s="69"/>
      <c r="Q2794" s="69"/>
      <c r="R2794" s="69"/>
      <c r="S2794" s="69"/>
      <c r="T2794" s="69"/>
      <c r="U2794" s="69"/>
      <c r="V2794" s="69"/>
      <c r="W2794" s="69"/>
      <c r="X2794" s="69"/>
      <c r="Y2794" s="69"/>
      <c r="Z2794" s="69"/>
      <c r="AA2794" s="69"/>
      <c r="AB2794" s="69"/>
      <c r="AC2794" s="69"/>
      <c r="AD2794" s="69"/>
      <c r="AE2794" s="69"/>
    </row>
    <row r="2795" spans="1:31" ht="22.5" customHeight="1">
      <c r="A2795" s="69"/>
      <c r="B2795" s="69"/>
      <c r="C2795" s="69"/>
      <c r="D2795" s="69"/>
      <c r="E2795" s="185"/>
      <c r="F2795" s="69"/>
      <c r="G2795" s="185"/>
      <c r="H2795" s="69"/>
      <c r="I2795" s="69"/>
      <c r="J2795" s="69"/>
      <c r="K2795" s="69"/>
      <c r="L2795" s="69"/>
      <c r="M2795" s="69"/>
      <c r="N2795" s="69"/>
      <c r="O2795" s="69"/>
      <c r="P2795" s="69"/>
      <c r="Q2795" s="69"/>
      <c r="R2795" s="69"/>
      <c r="S2795" s="69"/>
      <c r="T2795" s="69"/>
      <c r="U2795" s="69"/>
      <c r="V2795" s="69"/>
      <c r="W2795" s="69"/>
      <c r="X2795" s="69"/>
      <c r="Y2795" s="69"/>
      <c r="Z2795" s="69"/>
      <c r="AA2795" s="69"/>
      <c r="AB2795" s="69"/>
      <c r="AC2795" s="69"/>
      <c r="AD2795" s="69"/>
      <c r="AE2795" s="69"/>
    </row>
    <row r="2796" spans="1:31" ht="22.5" customHeight="1">
      <c r="A2796" s="69"/>
      <c r="B2796" s="69"/>
      <c r="C2796" s="69"/>
      <c r="D2796" s="69"/>
      <c r="E2796" s="185"/>
      <c r="F2796" s="69"/>
      <c r="G2796" s="185"/>
      <c r="H2796" s="69"/>
      <c r="I2796" s="69"/>
      <c r="J2796" s="69"/>
      <c r="K2796" s="69"/>
      <c r="L2796" s="69"/>
      <c r="M2796" s="69"/>
      <c r="N2796" s="69"/>
      <c r="O2796" s="69"/>
      <c r="P2796" s="69"/>
      <c r="Q2796" s="69"/>
      <c r="R2796" s="69"/>
      <c r="S2796" s="69"/>
      <c r="T2796" s="69"/>
      <c r="U2796" s="69"/>
      <c r="V2796" s="69"/>
      <c r="W2796" s="69"/>
      <c r="X2796" s="69"/>
      <c r="Y2796" s="69"/>
      <c r="Z2796" s="69"/>
      <c r="AA2796" s="69"/>
      <c r="AB2796" s="69"/>
      <c r="AC2796" s="69"/>
      <c r="AD2796" s="69"/>
      <c r="AE2796" s="69"/>
    </row>
    <row r="2797" spans="1:31" ht="22.5" customHeight="1">
      <c r="A2797" s="69"/>
      <c r="B2797" s="69"/>
      <c r="C2797" s="69"/>
      <c r="D2797" s="69"/>
      <c r="E2797" s="185"/>
      <c r="F2797" s="69"/>
      <c r="G2797" s="185"/>
      <c r="H2797" s="69"/>
      <c r="I2797" s="69"/>
      <c r="J2797" s="69"/>
      <c r="K2797" s="69"/>
      <c r="L2797" s="69"/>
      <c r="M2797" s="69"/>
      <c r="N2797" s="69"/>
      <c r="O2797" s="69"/>
      <c r="P2797" s="69"/>
      <c r="Q2797" s="69"/>
      <c r="R2797" s="69"/>
      <c r="S2797" s="69"/>
      <c r="T2797" s="69"/>
      <c r="U2797" s="69"/>
      <c r="V2797" s="69"/>
      <c r="W2797" s="69"/>
      <c r="X2797" s="69"/>
      <c r="Y2797" s="69"/>
      <c r="Z2797" s="69"/>
      <c r="AA2797" s="69"/>
      <c r="AB2797" s="69"/>
      <c r="AC2797" s="69"/>
      <c r="AD2797" s="69"/>
      <c r="AE2797" s="69"/>
    </row>
    <row r="2798" spans="1:31" ht="22.5" customHeight="1">
      <c r="A2798" s="69"/>
      <c r="B2798" s="69"/>
      <c r="C2798" s="69"/>
      <c r="D2798" s="69"/>
      <c r="E2798" s="185"/>
      <c r="F2798" s="69"/>
      <c r="G2798" s="185"/>
      <c r="H2798" s="69"/>
      <c r="I2798" s="69"/>
      <c r="J2798" s="69"/>
      <c r="K2798" s="69"/>
      <c r="L2798" s="69"/>
      <c r="M2798" s="69"/>
      <c r="N2798" s="69"/>
      <c r="O2798" s="69"/>
      <c r="P2798" s="69"/>
      <c r="Q2798" s="69"/>
      <c r="R2798" s="69"/>
      <c r="S2798" s="69"/>
      <c r="T2798" s="69"/>
      <c r="U2798" s="69"/>
      <c r="V2798" s="69"/>
      <c r="W2798" s="69"/>
      <c r="X2798" s="69"/>
      <c r="Y2798" s="69"/>
      <c r="Z2798" s="69"/>
      <c r="AA2798" s="69"/>
      <c r="AB2798" s="69"/>
      <c r="AC2798" s="69"/>
      <c r="AD2798" s="69"/>
      <c r="AE2798" s="69"/>
    </row>
    <row r="2799" spans="1:31" ht="22.5" customHeight="1">
      <c r="A2799" s="69"/>
      <c r="B2799" s="69"/>
      <c r="C2799" s="69"/>
      <c r="D2799" s="69"/>
      <c r="E2799" s="185"/>
      <c r="F2799" s="69"/>
      <c r="G2799" s="185"/>
      <c r="H2799" s="69"/>
      <c r="I2799" s="69"/>
      <c r="J2799" s="69"/>
      <c r="K2799" s="69"/>
      <c r="L2799" s="69"/>
      <c r="M2799" s="69"/>
      <c r="N2799" s="69"/>
      <c r="O2799" s="69"/>
      <c r="P2799" s="69"/>
      <c r="Q2799" s="69"/>
      <c r="R2799" s="69"/>
      <c r="S2799" s="69"/>
      <c r="T2799" s="69"/>
      <c r="U2799" s="69"/>
      <c r="V2799" s="69"/>
      <c r="W2799" s="69"/>
      <c r="X2799" s="69"/>
      <c r="Y2799" s="69"/>
      <c r="Z2799" s="69"/>
      <c r="AA2799" s="69"/>
      <c r="AB2799" s="69"/>
      <c r="AC2799" s="69"/>
      <c r="AD2799" s="69"/>
      <c r="AE2799" s="69"/>
    </row>
    <row r="2800" spans="1:31" ht="22.5" customHeight="1">
      <c r="A2800" s="69"/>
      <c r="B2800" s="69"/>
      <c r="C2800" s="69"/>
      <c r="D2800" s="69"/>
      <c r="E2800" s="185"/>
      <c r="F2800" s="69"/>
      <c r="G2800" s="185"/>
      <c r="H2800" s="69"/>
      <c r="I2800" s="69"/>
      <c r="J2800" s="69"/>
      <c r="K2800" s="69"/>
      <c r="L2800" s="69"/>
      <c r="M2800" s="69"/>
      <c r="N2800" s="69"/>
      <c r="O2800" s="69"/>
      <c r="P2800" s="69"/>
      <c r="Q2800" s="69"/>
      <c r="R2800" s="69"/>
      <c r="S2800" s="69"/>
      <c r="T2800" s="69"/>
      <c r="U2800" s="69"/>
      <c r="V2800" s="69"/>
      <c r="W2800" s="69"/>
      <c r="X2800" s="69"/>
      <c r="Y2800" s="69"/>
      <c r="Z2800" s="69"/>
      <c r="AA2800" s="69"/>
      <c r="AB2800" s="69"/>
      <c r="AC2800" s="69"/>
      <c r="AD2800" s="69"/>
      <c r="AE2800" s="69"/>
    </row>
    <row r="2801" spans="1:31" ht="22.5" customHeight="1">
      <c r="A2801" s="69"/>
      <c r="B2801" s="69"/>
      <c r="C2801" s="69"/>
      <c r="D2801" s="69"/>
      <c r="E2801" s="185"/>
      <c r="F2801" s="69"/>
      <c r="G2801" s="185"/>
      <c r="H2801" s="69"/>
      <c r="I2801" s="69"/>
      <c r="J2801" s="69"/>
      <c r="K2801" s="69"/>
      <c r="L2801" s="69"/>
      <c r="M2801" s="69"/>
      <c r="N2801" s="69"/>
      <c r="O2801" s="69"/>
      <c r="P2801" s="69"/>
      <c r="Q2801" s="69"/>
      <c r="R2801" s="69"/>
      <c r="S2801" s="69"/>
      <c r="T2801" s="69"/>
      <c r="U2801" s="69"/>
      <c r="V2801" s="69"/>
      <c r="W2801" s="69"/>
      <c r="X2801" s="69"/>
      <c r="Y2801" s="69"/>
      <c r="Z2801" s="69"/>
      <c r="AA2801" s="69"/>
      <c r="AB2801" s="69"/>
      <c r="AC2801" s="69"/>
      <c r="AD2801" s="69"/>
      <c r="AE2801" s="69"/>
    </row>
    <row r="2802" spans="1:31" ht="22.5" customHeight="1">
      <c r="A2802" s="69"/>
      <c r="B2802" s="69"/>
      <c r="C2802" s="69"/>
      <c r="D2802" s="69"/>
      <c r="E2802" s="185"/>
      <c r="F2802" s="69"/>
      <c r="G2802" s="185"/>
      <c r="H2802" s="69"/>
      <c r="I2802" s="69"/>
      <c r="J2802" s="69"/>
      <c r="K2802" s="69"/>
      <c r="L2802" s="69"/>
      <c r="M2802" s="69"/>
      <c r="N2802" s="69"/>
      <c r="O2802" s="69"/>
      <c r="P2802" s="69"/>
      <c r="Q2802" s="69"/>
      <c r="R2802" s="69"/>
      <c r="S2802" s="69"/>
      <c r="T2802" s="69"/>
      <c r="U2802" s="69"/>
      <c r="V2802" s="69"/>
      <c r="W2802" s="69"/>
      <c r="X2802" s="69"/>
      <c r="Y2802" s="69"/>
      <c r="Z2802" s="69"/>
      <c r="AA2802" s="69"/>
      <c r="AB2802" s="69"/>
      <c r="AC2802" s="69"/>
      <c r="AD2802" s="69"/>
      <c r="AE2802" s="69"/>
    </row>
    <row r="2803" spans="1:31" ht="22.5" customHeight="1">
      <c r="A2803" s="69"/>
      <c r="B2803" s="69"/>
      <c r="C2803" s="69"/>
      <c r="D2803" s="69"/>
      <c r="E2803" s="185"/>
      <c r="F2803" s="69"/>
      <c r="G2803" s="185"/>
      <c r="H2803" s="69"/>
      <c r="I2803" s="69"/>
      <c r="J2803" s="69"/>
      <c r="K2803" s="69"/>
      <c r="L2803" s="69"/>
      <c r="M2803" s="69"/>
      <c r="N2803" s="69"/>
      <c r="O2803" s="69"/>
      <c r="P2803" s="69"/>
      <c r="Q2803" s="69"/>
      <c r="R2803" s="69"/>
      <c r="S2803" s="69"/>
      <c r="T2803" s="69"/>
      <c r="U2803" s="69"/>
      <c r="V2803" s="69"/>
      <c r="W2803" s="69"/>
      <c r="X2803" s="69"/>
      <c r="Y2803" s="69"/>
      <c r="Z2803" s="69"/>
      <c r="AA2803" s="69"/>
      <c r="AB2803" s="69"/>
      <c r="AC2803" s="69"/>
      <c r="AD2803" s="69"/>
      <c r="AE2803" s="69"/>
    </row>
    <row r="2804" spans="1:31" ht="22.5" customHeight="1">
      <c r="A2804" s="69"/>
      <c r="B2804" s="69"/>
      <c r="C2804" s="69"/>
      <c r="D2804" s="69"/>
      <c r="E2804" s="185"/>
      <c r="F2804" s="69"/>
      <c r="G2804" s="185"/>
      <c r="H2804" s="69"/>
      <c r="I2804" s="69"/>
      <c r="J2804" s="69"/>
      <c r="K2804" s="69"/>
      <c r="L2804" s="69"/>
      <c r="M2804" s="69"/>
      <c r="N2804" s="69"/>
      <c r="O2804" s="69"/>
      <c r="P2804" s="69"/>
      <c r="Q2804" s="69"/>
      <c r="R2804" s="69"/>
      <c r="S2804" s="69"/>
      <c r="T2804" s="69"/>
      <c r="U2804" s="69"/>
      <c r="V2804" s="69"/>
      <c r="W2804" s="69"/>
      <c r="X2804" s="69"/>
      <c r="Y2804" s="69"/>
      <c r="Z2804" s="69"/>
      <c r="AA2804" s="69"/>
      <c r="AB2804" s="69"/>
      <c r="AC2804" s="69"/>
      <c r="AD2804" s="69"/>
      <c r="AE2804" s="69"/>
    </row>
    <row r="2805" spans="1:31" ht="22.5" customHeight="1">
      <c r="A2805" s="69"/>
      <c r="B2805" s="69"/>
      <c r="C2805" s="69"/>
      <c r="D2805" s="69"/>
      <c r="E2805" s="185"/>
      <c r="F2805" s="69"/>
      <c r="G2805" s="185"/>
      <c r="H2805" s="69"/>
      <c r="I2805" s="69"/>
      <c r="J2805" s="69"/>
      <c r="K2805" s="69"/>
      <c r="L2805" s="69"/>
      <c r="M2805" s="69"/>
      <c r="N2805" s="69"/>
      <c r="O2805" s="69"/>
      <c r="P2805" s="69"/>
      <c r="Q2805" s="69"/>
      <c r="R2805" s="69"/>
      <c r="S2805" s="69"/>
      <c r="T2805" s="69"/>
      <c r="U2805" s="69"/>
      <c r="V2805" s="69"/>
      <c r="W2805" s="69"/>
      <c r="X2805" s="69"/>
      <c r="Y2805" s="69"/>
      <c r="Z2805" s="69"/>
      <c r="AA2805" s="69"/>
      <c r="AB2805" s="69"/>
      <c r="AC2805" s="69"/>
      <c r="AD2805" s="69"/>
      <c r="AE2805" s="69"/>
    </row>
    <row r="2806" spans="1:31" ht="22.5" customHeight="1">
      <c r="A2806" s="69"/>
      <c r="B2806" s="69"/>
      <c r="C2806" s="69"/>
      <c r="D2806" s="69"/>
      <c r="E2806" s="185"/>
      <c r="F2806" s="69"/>
      <c r="G2806" s="185"/>
      <c r="H2806" s="69"/>
      <c r="I2806" s="69"/>
      <c r="J2806" s="69"/>
      <c r="K2806" s="69"/>
      <c r="L2806" s="69"/>
      <c r="M2806" s="69"/>
      <c r="N2806" s="69"/>
      <c r="O2806" s="69"/>
      <c r="P2806" s="69"/>
      <c r="Q2806" s="69"/>
      <c r="R2806" s="69"/>
      <c r="S2806" s="69"/>
      <c r="T2806" s="69"/>
      <c r="U2806" s="69"/>
      <c r="V2806" s="69"/>
      <c r="W2806" s="69"/>
      <c r="X2806" s="69"/>
      <c r="Y2806" s="69"/>
      <c r="Z2806" s="69"/>
      <c r="AA2806" s="69"/>
      <c r="AB2806" s="69"/>
      <c r="AC2806" s="69"/>
      <c r="AD2806" s="69"/>
      <c r="AE2806" s="69"/>
    </row>
    <row r="2807" spans="1:31" ht="22.5" customHeight="1">
      <c r="A2807" s="69"/>
      <c r="B2807" s="69"/>
      <c r="C2807" s="69"/>
      <c r="D2807" s="69"/>
      <c r="E2807" s="185"/>
      <c r="F2807" s="69"/>
      <c r="G2807" s="185"/>
      <c r="H2807" s="69"/>
      <c r="I2807" s="69"/>
      <c r="J2807" s="69"/>
      <c r="K2807" s="69"/>
      <c r="L2807" s="69"/>
      <c r="M2807" s="69"/>
      <c r="N2807" s="69"/>
      <c r="O2807" s="69"/>
      <c r="P2807" s="69"/>
      <c r="Q2807" s="69"/>
      <c r="R2807" s="69"/>
      <c r="S2807" s="69"/>
      <c r="T2807" s="69"/>
      <c r="U2807" s="69"/>
      <c r="V2807" s="69"/>
      <c r="W2807" s="69"/>
      <c r="X2807" s="69"/>
      <c r="Y2807" s="69"/>
      <c r="Z2807" s="69"/>
      <c r="AA2807" s="69"/>
      <c r="AB2807" s="69"/>
      <c r="AC2807" s="69"/>
      <c r="AD2807" s="69"/>
      <c r="AE2807" s="69"/>
    </row>
    <row r="2808" spans="1:31" ht="22.5" customHeight="1">
      <c r="A2808" s="69"/>
      <c r="B2808" s="69"/>
      <c r="C2808" s="69"/>
      <c r="D2808" s="69"/>
      <c r="E2808" s="185"/>
      <c r="F2808" s="69"/>
      <c r="G2808" s="185"/>
      <c r="H2808" s="69"/>
      <c r="I2808" s="69"/>
      <c r="J2808" s="69"/>
      <c r="K2808" s="69"/>
      <c r="L2808" s="69"/>
      <c r="M2808" s="69"/>
      <c r="N2808" s="69"/>
      <c r="O2808" s="69"/>
      <c r="P2808" s="69"/>
      <c r="Q2808" s="69"/>
      <c r="R2808" s="69"/>
      <c r="S2808" s="69"/>
      <c r="T2808" s="69"/>
      <c r="U2808" s="69"/>
      <c r="V2808" s="69"/>
      <c r="W2808" s="69"/>
      <c r="X2808" s="69"/>
      <c r="Y2808" s="69"/>
      <c r="Z2808" s="69"/>
      <c r="AA2808" s="69"/>
      <c r="AB2808" s="69"/>
      <c r="AC2808" s="69"/>
      <c r="AD2808" s="69"/>
      <c r="AE2808" s="69"/>
    </row>
    <row r="2809" spans="1:31" ht="22.5" customHeight="1">
      <c r="A2809" s="69"/>
      <c r="B2809" s="69"/>
      <c r="C2809" s="69"/>
      <c r="D2809" s="69"/>
      <c r="E2809" s="185"/>
      <c r="F2809" s="69"/>
      <c r="G2809" s="185"/>
      <c r="H2809" s="69"/>
      <c r="I2809" s="69"/>
      <c r="J2809" s="69"/>
      <c r="K2809" s="69"/>
      <c r="L2809" s="69"/>
      <c r="M2809" s="69"/>
      <c r="N2809" s="69"/>
      <c r="O2809" s="69"/>
      <c r="P2809" s="69"/>
      <c r="Q2809" s="69"/>
      <c r="R2809" s="69"/>
      <c r="S2809" s="69"/>
      <c r="T2809" s="69"/>
      <c r="U2809" s="69"/>
      <c r="V2809" s="69"/>
      <c r="W2809" s="69"/>
      <c r="X2809" s="69"/>
      <c r="Y2809" s="69"/>
      <c r="Z2809" s="69"/>
      <c r="AA2809" s="69"/>
      <c r="AB2809" s="69"/>
      <c r="AC2809" s="69"/>
      <c r="AD2809" s="69"/>
      <c r="AE2809" s="69"/>
    </row>
    <row r="2810" spans="1:31" ht="22.5" customHeight="1">
      <c r="A2810" s="69"/>
      <c r="B2810" s="69"/>
      <c r="C2810" s="69"/>
      <c r="D2810" s="69"/>
      <c r="E2810" s="185"/>
      <c r="F2810" s="69"/>
      <c r="G2810" s="185"/>
      <c r="H2810" s="69"/>
      <c r="I2810" s="69"/>
      <c r="J2810" s="69"/>
      <c r="K2810" s="69"/>
      <c r="L2810" s="69"/>
      <c r="M2810" s="69"/>
      <c r="N2810" s="69"/>
      <c r="O2810" s="69"/>
      <c r="P2810" s="69"/>
      <c r="Q2810" s="69"/>
      <c r="R2810" s="69"/>
      <c r="S2810" s="69"/>
      <c r="T2810" s="69"/>
      <c r="U2810" s="69"/>
      <c r="V2810" s="69"/>
      <c r="W2810" s="69"/>
      <c r="X2810" s="69"/>
      <c r="Y2810" s="69"/>
      <c r="Z2810" s="69"/>
      <c r="AA2810" s="69"/>
      <c r="AB2810" s="69"/>
      <c r="AC2810" s="69"/>
      <c r="AD2810" s="69"/>
      <c r="AE2810" s="69"/>
    </row>
    <row r="2811" spans="1:31" ht="22.5" customHeight="1">
      <c r="A2811" s="69"/>
      <c r="B2811" s="69"/>
      <c r="C2811" s="69"/>
      <c r="D2811" s="69"/>
      <c r="E2811" s="185"/>
      <c r="F2811" s="69"/>
      <c r="G2811" s="185"/>
      <c r="H2811" s="69"/>
      <c r="I2811" s="69"/>
      <c r="J2811" s="69"/>
      <c r="K2811" s="69"/>
      <c r="L2811" s="69"/>
      <c r="M2811" s="69"/>
      <c r="N2811" s="69"/>
      <c r="O2811" s="69"/>
      <c r="P2811" s="69"/>
      <c r="Q2811" s="69"/>
      <c r="R2811" s="69"/>
      <c r="S2811" s="69"/>
      <c r="T2811" s="69"/>
      <c r="U2811" s="69"/>
      <c r="V2811" s="69"/>
      <c r="W2811" s="69"/>
      <c r="X2811" s="69"/>
      <c r="Y2811" s="69"/>
      <c r="Z2811" s="69"/>
      <c r="AA2811" s="69"/>
      <c r="AB2811" s="69"/>
      <c r="AC2811" s="69"/>
      <c r="AD2811" s="69"/>
      <c r="AE2811" s="69"/>
    </row>
    <row r="2812" spans="1:31" ht="22.5" customHeight="1">
      <c r="A2812" s="69"/>
      <c r="B2812" s="69"/>
      <c r="C2812" s="69"/>
      <c r="D2812" s="69"/>
      <c r="E2812" s="185"/>
      <c r="F2812" s="69"/>
      <c r="G2812" s="185"/>
      <c r="H2812" s="69"/>
      <c r="I2812" s="69"/>
      <c r="J2812" s="69"/>
      <c r="K2812" s="69"/>
      <c r="L2812" s="69"/>
      <c r="M2812" s="69"/>
      <c r="N2812" s="69"/>
      <c r="O2812" s="69"/>
      <c r="P2812" s="69"/>
      <c r="Q2812" s="69"/>
      <c r="R2812" s="69"/>
      <c r="S2812" s="69"/>
      <c r="T2812" s="69"/>
      <c r="U2812" s="69"/>
      <c r="V2812" s="69"/>
      <c r="W2812" s="69"/>
      <c r="X2812" s="69"/>
      <c r="Y2812" s="69"/>
      <c r="Z2812" s="69"/>
      <c r="AA2812" s="69"/>
      <c r="AB2812" s="69"/>
      <c r="AC2812" s="69"/>
      <c r="AD2812" s="69"/>
      <c r="AE2812" s="69"/>
    </row>
    <row r="2813" spans="1:31" ht="22.5" customHeight="1">
      <c r="A2813" s="69"/>
      <c r="B2813" s="69"/>
      <c r="C2813" s="69"/>
      <c r="D2813" s="69"/>
      <c r="E2813" s="185"/>
      <c r="F2813" s="69"/>
      <c r="G2813" s="185"/>
      <c r="H2813" s="69"/>
      <c r="I2813" s="69"/>
      <c r="J2813" s="69"/>
      <c r="K2813" s="69"/>
      <c r="L2813" s="69"/>
      <c r="M2813" s="69"/>
      <c r="N2813" s="69"/>
      <c r="O2813" s="69"/>
      <c r="P2813" s="69"/>
      <c r="Q2813" s="69"/>
      <c r="R2813" s="69"/>
      <c r="S2813" s="69"/>
      <c r="T2813" s="69"/>
      <c r="U2813" s="69"/>
      <c r="V2813" s="69"/>
      <c r="W2813" s="69"/>
      <c r="X2813" s="69"/>
      <c r="Y2813" s="69"/>
      <c r="Z2813" s="69"/>
      <c r="AA2813" s="69"/>
      <c r="AB2813" s="69"/>
      <c r="AC2813" s="69"/>
      <c r="AD2813" s="69"/>
      <c r="AE2813" s="69"/>
    </row>
    <row r="2814" spans="1:31" ht="22.5" customHeight="1">
      <c r="A2814" s="69"/>
      <c r="B2814" s="69"/>
      <c r="C2814" s="69"/>
      <c r="D2814" s="69"/>
      <c r="E2814" s="185"/>
      <c r="F2814" s="69"/>
      <c r="G2814" s="185"/>
      <c r="H2814" s="69"/>
      <c r="I2814" s="69"/>
      <c r="J2814" s="69"/>
      <c r="K2814" s="69"/>
      <c r="L2814" s="69"/>
      <c r="M2814" s="69"/>
      <c r="N2814" s="69"/>
      <c r="O2814" s="69"/>
      <c r="P2814" s="69"/>
      <c r="Q2814" s="69"/>
      <c r="R2814" s="69"/>
      <c r="S2814" s="69"/>
      <c r="T2814" s="69"/>
      <c r="U2814" s="69"/>
      <c r="V2814" s="69"/>
      <c r="W2814" s="69"/>
      <c r="X2814" s="69"/>
      <c r="Y2814" s="69"/>
      <c r="Z2814" s="69"/>
      <c r="AA2814" s="69"/>
      <c r="AB2814" s="69"/>
      <c r="AC2814" s="69"/>
      <c r="AD2814" s="69"/>
      <c r="AE2814" s="69"/>
    </row>
    <row r="2815" spans="1:31" ht="22.5" customHeight="1">
      <c r="A2815" s="69"/>
      <c r="B2815" s="69"/>
      <c r="C2815" s="69"/>
      <c r="D2815" s="69"/>
      <c r="E2815" s="185"/>
      <c r="F2815" s="69"/>
      <c r="G2815" s="185"/>
      <c r="H2815" s="69"/>
      <c r="I2815" s="69"/>
      <c r="J2815" s="69"/>
      <c r="K2815" s="69"/>
      <c r="L2815" s="69"/>
      <c r="M2815" s="69"/>
      <c r="N2815" s="69"/>
      <c r="O2815" s="69"/>
      <c r="P2815" s="69"/>
      <c r="Q2815" s="69"/>
      <c r="R2815" s="69"/>
      <c r="S2815" s="69"/>
      <c r="T2815" s="69"/>
      <c r="U2815" s="69"/>
      <c r="V2815" s="69"/>
      <c r="W2815" s="69"/>
      <c r="X2815" s="69"/>
      <c r="Y2815" s="69"/>
      <c r="Z2815" s="69"/>
      <c r="AA2815" s="69"/>
      <c r="AB2815" s="69"/>
      <c r="AC2815" s="69"/>
      <c r="AD2815" s="69"/>
      <c r="AE2815" s="69"/>
    </row>
    <row r="2816" spans="1:31" ht="22.5" customHeight="1">
      <c r="A2816" s="69"/>
      <c r="B2816" s="69"/>
      <c r="C2816" s="69"/>
      <c r="D2816" s="69"/>
      <c r="E2816" s="185"/>
      <c r="F2816" s="69"/>
      <c r="G2816" s="185"/>
      <c r="H2816" s="69"/>
      <c r="I2816" s="69"/>
      <c r="J2816" s="69"/>
      <c r="K2816" s="69"/>
      <c r="L2816" s="69"/>
      <c r="M2816" s="69"/>
      <c r="N2816" s="69"/>
      <c r="O2816" s="69"/>
      <c r="P2816" s="69"/>
      <c r="Q2816" s="69"/>
      <c r="R2816" s="69"/>
      <c r="S2816" s="69"/>
      <c r="T2816" s="69"/>
      <c r="U2816" s="69"/>
      <c r="V2816" s="69"/>
      <c r="W2816" s="69"/>
      <c r="X2816" s="69"/>
      <c r="Y2816" s="69"/>
      <c r="Z2816" s="69"/>
      <c r="AA2816" s="69"/>
      <c r="AB2816" s="69"/>
      <c r="AC2816" s="69"/>
      <c r="AD2816" s="69"/>
      <c r="AE2816" s="69"/>
    </row>
    <row r="2817" spans="1:31" ht="22.5" customHeight="1">
      <c r="A2817" s="69"/>
      <c r="B2817" s="69"/>
      <c r="C2817" s="69"/>
      <c r="D2817" s="69"/>
      <c r="E2817" s="185"/>
      <c r="F2817" s="69"/>
      <c r="G2817" s="185"/>
      <c r="H2817" s="69"/>
      <c r="I2817" s="69"/>
      <c r="J2817" s="69"/>
      <c r="K2817" s="69"/>
      <c r="L2817" s="69"/>
      <c r="M2817" s="69"/>
      <c r="N2817" s="69"/>
      <c r="O2817" s="69"/>
      <c r="P2817" s="69"/>
      <c r="Q2817" s="69"/>
      <c r="R2817" s="69"/>
      <c r="S2817" s="69"/>
      <c r="T2817" s="69"/>
      <c r="U2817" s="69"/>
      <c r="V2817" s="69"/>
      <c r="W2817" s="69"/>
      <c r="X2817" s="69"/>
      <c r="Y2817" s="69"/>
      <c r="Z2817" s="69"/>
      <c r="AA2817" s="69"/>
      <c r="AB2817" s="69"/>
      <c r="AC2817" s="69"/>
      <c r="AD2817" s="69"/>
      <c r="AE2817" s="69"/>
    </row>
    <row r="2818" spans="1:31" ht="22.5" customHeight="1">
      <c r="A2818" s="69"/>
      <c r="B2818" s="69"/>
      <c r="C2818" s="69"/>
      <c r="D2818" s="69"/>
      <c r="E2818" s="185"/>
      <c r="F2818" s="69"/>
      <c r="G2818" s="185"/>
      <c r="H2818" s="69"/>
      <c r="I2818" s="69"/>
      <c r="J2818" s="69"/>
      <c r="K2818" s="69"/>
      <c r="L2818" s="69"/>
      <c r="M2818" s="69"/>
      <c r="N2818" s="69"/>
      <c r="O2818" s="69"/>
      <c r="P2818" s="69"/>
      <c r="Q2818" s="69"/>
      <c r="R2818" s="69"/>
      <c r="S2818" s="69"/>
      <c r="T2818" s="69"/>
      <c r="U2818" s="69"/>
      <c r="V2818" s="69"/>
      <c r="W2818" s="69"/>
      <c r="X2818" s="69"/>
      <c r="Y2818" s="69"/>
      <c r="Z2818" s="69"/>
      <c r="AA2818" s="69"/>
      <c r="AB2818" s="69"/>
      <c r="AC2818" s="69"/>
      <c r="AD2818" s="69"/>
      <c r="AE2818" s="69"/>
    </row>
    <row r="2819" spans="1:31" ht="22.5" customHeight="1">
      <c r="A2819" s="69"/>
      <c r="B2819" s="69"/>
      <c r="C2819" s="69"/>
      <c r="D2819" s="69"/>
      <c r="E2819" s="185"/>
      <c r="F2819" s="69"/>
      <c r="G2819" s="185"/>
      <c r="H2819" s="69"/>
      <c r="I2819" s="69"/>
      <c r="J2819" s="69"/>
      <c r="K2819" s="69"/>
      <c r="L2819" s="69"/>
      <c r="M2819" s="69"/>
      <c r="N2819" s="69"/>
      <c r="O2819" s="69"/>
      <c r="P2819" s="69"/>
      <c r="Q2819" s="69"/>
      <c r="R2819" s="69"/>
      <c r="S2819" s="69"/>
      <c r="T2819" s="69"/>
      <c r="U2819" s="69"/>
      <c r="V2819" s="69"/>
      <c r="W2819" s="69"/>
      <c r="X2819" s="69"/>
      <c r="Y2819" s="69"/>
      <c r="Z2819" s="69"/>
      <c r="AA2819" s="69"/>
      <c r="AB2819" s="69"/>
      <c r="AC2819" s="69"/>
      <c r="AD2819" s="69"/>
      <c r="AE2819" s="69"/>
    </row>
    <row r="2820" spans="1:31" ht="22.5" customHeight="1">
      <c r="A2820" s="69"/>
      <c r="B2820" s="69"/>
      <c r="C2820" s="69"/>
      <c r="D2820" s="69"/>
      <c r="E2820" s="185"/>
      <c r="F2820" s="69"/>
      <c r="G2820" s="185"/>
      <c r="H2820" s="69"/>
      <c r="I2820" s="69"/>
      <c r="J2820" s="69"/>
      <c r="K2820" s="69"/>
      <c r="L2820" s="69"/>
      <c r="M2820" s="69"/>
      <c r="N2820" s="69"/>
      <c r="O2820" s="69"/>
      <c r="P2820" s="69"/>
      <c r="Q2820" s="69"/>
      <c r="R2820" s="69"/>
      <c r="S2820" s="69"/>
      <c r="T2820" s="69"/>
      <c r="U2820" s="69"/>
      <c r="V2820" s="69"/>
      <c r="W2820" s="69"/>
      <c r="X2820" s="69"/>
      <c r="Y2820" s="69"/>
      <c r="Z2820" s="69"/>
      <c r="AA2820" s="69"/>
      <c r="AB2820" s="69"/>
      <c r="AC2820" s="69"/>
      <c r="AD2820" s="69"/>
      <c r="AE2820" s="69"/>
    </row>
    <row r="2821" spans="1:31" ht="22.5" customHeight="1">
      <c r="A2821" s="69"/>
      <c r="B2821" s="69"/>
      <c r="C2821" s="69"/>
      <c r="D2821" s="69"/>
      <c r="E2821" s="185"/>
      <c r="F2821" s="69"/>
      <c r="G2821" s="185"/>
      <c r="H2821" s="69"/>
      <c r="I2821" s="69"/>
      <c r="J2821" s="69"/>
      <c r="K2821" s="69"/>
      <c r="L2821" s="69"/>
      <c r="M2821" s="69"/>
      <c r="N2821" s="69"/>
      <c r="O2821" s="69"/>
      <c r="P2821" s="69"/>
      <c r="Q2821" s="69"/>
      <c r="R2821" s="69"/>
      <c r="S2821" s="69"/>
      <c r="T2821" s="69"/>
      <c r="U2821" s="69"/>
      <c r="V2821" s="69"/>
      <c r="W2821" s="69"/>
      <c r="X2821" s="69"/>
      <c r="Y2821" s="69"/>
      <c r="Z2821" s="69"/>
      <c r="AA2821" s="69"/>
      <c r="AB2821" s="69"/>
      <c r="AC2821" s="69"/>
      <c r="AD2821" s="69"/>
      <c r="AE2821" s="69"/>
    </row>
    <row r="2822" spans="1:31" ht="22.5" customHeight="1">
      <c r="A2822" s="69"/>
      <c r="B2822" s="69"/>
      <c r="C2822" s="69"/>
      <c r="D2822" s="69"/>
      <c r="E2822" s="185"/>
      <c r="F2822" s="69"/>
      <c r="G2822" s="185"/>
      <c r="H2822" s="69"/>
      <c r="I2822" s="69"/>
      <c r="J2822" s="69"/>
      <c r="K2822" s="69"/>
      <c r="L2822" s="69"/>
      <c r="M2822" s="69"/>
      <c r="N2822" s="69"/>
      <c r="O2822" s="69"/>
      <c r="P2822" s="69"/>
      <c r="Q2822" s="69"/>
      <c r="R2822" s="69"/>
      <c r="S2822" s="69"/>
      <c r="T2822" s="69"/>
      <c r="U2822" s="69"/>
      <c r="V2822" s="69"/>
      <c r="W2822" s="69"/>
      <c r="X2822" s="69"/>
      <c r="Y2822" s="69"/>
      <c r="Z2822" s="69"/>
      <c r="AA2822" s="69"/>
      <c r="AB2822" s="69"/>
      <c r="AC2822" s="69"/>
      <c r="AD2822" s="69"/>
      <c r="AE2822" s="69"/>
    </row>
    <row r="2823" spans="1:31" ht="22.5" customHeight="1">
      <c r="A2823" s="69"/>
      <c r="B2823" s="69"/>
      <c r="C2823" s="69"/>
      <c r="D2823" s="69"/>
      <c r="E2823" s="185"/>
      <c r="F2823" s="69"/>
      <c r="G2823" s="185"/>
      <c r="H2823" s="69"/>
      <c r="I2823" s="69"/>
      <c r="J2823" s="69"/>
      <c r="K2823" s="69"/>
      <c r="L2823" s="69"/>
      <c r="M2823" s="69"/>
      <c r="N2823" s="69"/>
      <c r="O2823" s="69"/>
      <c r="P2823" s="69"/>
      <c r="Q2823" s="69"/>
      <c r="R2823" s="69"/>
      <c r="S2823" s="69"/>
      <c r="T2823" s="69"/>
      <c r="U2823" s="69"/>
      <c r="V2823" s="69"/>
      <c r="W2823" s="69"/>
      <c r="X2823" s="69"/>
      <c r="Y2823" s="69"/>
      <c r="Z2823" s="69"/>
      <c r="AA2823" s="69"/>
      <c r="AB2823" s="69"/>
      <c r="AC2823" s="69"/>
      <c r="AD2823" s="69"/>
      <c r="AE2823" s="69"/>
    </row>
    <row r="2824" spans="1:31" ht="22.5" customHeight="1">
      <c r="A2824" s="69"/>
      <c r="B2824" s="69"/>
      <c r="C2824" s="69"/>
      <c r="D2824" s="69"/>
      <c r="E2824" s="185"/>
      <c r="F2824" s="69"/>
      <c r="G2824" s="185"/>
      <c r="H2824" s="69"/>
      <c r="I2824" s="69"/>
      <c r="J2824" s="69"/>
      <c r="K2824" s="69"/>
      <c r="L2824" s="69"/>
      <c r="M2824" s="69"/>
      <c r="N2824" s="69"/>
      <c r="O2824" s="69"/>
      <c r="P2824" s="69"/>
      <c r="Q2824" s="69"/>
      <c r="R2824" s="69"/>
      <c r="S2824" s="69"/>
      <c r="T2824" s="69"/>
      <c r="U2824" s="69"/>
      <c r="V2824" s="69"/>
      <c r="W2824" s="69"/>
      <c r="X2824" s="69"/>
      <c r="Y2824" s="69"/>
      <c r="Z2824" s="69"/>
      <c r="AA2824" s="69"/>
      <c r="AB2824" s="69"/>
      <c r="AC2824" s="69"/>
      <c r="AD2824" s="69"/>
      <c r="AE2824" s="69"/>
    </row>
    <row r="2825" spans="1:31" ht="22.5" customHeight="1">
      <c r="A2825" s="69"/>
      <c r="B2825" s="69"/>
      <c r="C2825" s="69"/>
      <c r="D2825" s="69"/>
      <c r="E2825" s="185"/>
      <c r="F2825" s="69"/>
      <c r="G2825" s="185"/>
      <c r="H2825" s="69"/>
      <c r="I2825" s="69"/>
      <c r="J2825" s="69"/>
      <c r="K2825" s="69"/>
      <c r="L2825" s="69"/>
      <c r="M2825" s="69"/>
      <c r="N2825" s="69"/>
      <c r="O2825" s="69"/>
      <c r="P2825" s="69"/>
      <c r="Q2825" s="69"/>
      <c r="R2825" s="69"/>
      <c r="S2825" s="69"/>
      <c r="T2825" s="69"/>
      <c r="U2825" s="69"/>
      <c r="V2825" s="69"/>
      <c r="W2825" s="69"/>
      <c r="X2825" s="69"/>
      <c r="Y2825" s="69"/>
      <c r="Z2825" s="69"/>
      <c r="AA2825" s="69"/>
      <c r="AB2825" s="69"/>
      <c r="AC2825" s="69"/>
      <c r="AD2825" s="69"/>
      <c r="AE2825" s="69"/>
    </row>
    <row r="2826" spans="1:31" ht="22.5" customHeight="1">
      <c r="A2826" s="69"/>
      <c r="B2826" s="69"/>
      <c r="C2826" s="69"/>
      <c r="D2826" s="69"/>
      <c r="E2826" s="185"/>
      <c r="F2826" s="69"/>
      <c r="G2826" s="185"/>
      <c r="H2826" s="69"/>
      <c r="I2826" s="69"/>
      <c r="J2826" s="69"/>
      <c r="K2826" s="69"/>
      <c r="L2826" s="69"/>
      <c r="M2826" s="69"/>
      <c r="N2826" s="69"/>
      <c r="O2826" s="69"/>
      <c r="P2826" s="69"/>
      <c r="Q2826" s="69"/>
      <c r="R2826" s="69"/>
      <c r="S2826" s="69"/>
      <c r="T2826" s="69"/>
      <c r="U2826" s="69"/>
      <c r="V2826" s="69"/>
      <c r="W2826" s="69"/>
      <c r="X2826" s="69"/>
      <c r="Y2826" s="69"/>
      <c r="Z2826" s="69"/>
      <c r="AA2826" s="69"/>
      <c r="AB2826" s="69"/>
      <c r="AC2826" s="69"/>
      <c r="AD2826" s="69"/>
      <c r="AE2826" s="69"/>
    </row>
    <row r="2827" spans="1:31" ht="22.5" customHeight="1">
      <c r="A2827" s="69"/>
      <c r="B2827" s="69"/>
      <c r="C2827" s="69"/>
      <c r="D2827" s="69"/>
      <c r="E2827" s="185"/>
      <c r="F2827" s="69"/>
      <c r="G2827" s="185"/>
      <c r="H2827" s="69"/>
      <c r="I2827" s="69"/>
      <c r="J2827" s="69"/>
      <c r="K2827" s="69"/>
      <c r="L2827" s="69"/>
      <c r="M2827" s="69"/>
      <c r="N2827" s="69"/>
      <c r="O2827" s="69"/>
      <c r="P2827" s="69"/>
      <c r="Q2827" s="69"/>
      <c r="R2827" s="69"/>
      <c r="S2827" s="69"/>
      <c r="T2827" s="69"/>
      <c r="U2827" s="69"/>
      <c r="V2827" s="69"/>
      <c r="W2827" s="69"/>
      <c r="X2827" s="69"/>
      <c r="Y2827" s="69"/>
      <c r="Z2827" s="69"/>
      <c r="AA2827" s="69"/>
      <c r="AB2827" s="69"/>
      <c r="AC2827" s="69"/>
      <c r="AD2827" s="69"/>
      <c r="AE2827" s="69"/>
    </row>
    <row r="2828" spans="1:31" ht="22.5" customHeight="1">
      <c r="A2828" s="69"/>
      <c r="B2828" s="69"/>
      <c r="C2828" s="69"/>
      <c r="D2828" s="69"/>
      <c r="E2828" s="185"/>
      <c r="F2828" s="69"/>
      <c r="G2828" s="185"/>
      <c r="H2828" s="69"/>
      <c r="I2828" s="69"/>
      <c r="J2828" s="69"/>
      <c r="K2828" s="69"/>
      <c r="L2828" s="69"/>
      <c r="M2828" s="69"/>
      <c r="N2828" s="69"/>
      <c r="O2828" s="69"/>
      <c r="P2828" s="69"/>
      <c r="Q2828" s="69"/>
      <c r="R2828" s="69"/>
      <c r="S2828" s="69"/>
      <c r="T2828" s="69"/>
      <c r="U2828" s="69"/>
      <c r="V2828" s="69"/>
      <c r="W2828" s="69"/>
      <c r="X2828" s="69"/>
      <c r="Y2828" s="69"/>
      <c r="Z2828" s="69"/>
      <c r="AA2828" s="69"/>
      <c r="AB2828" s="69"/>
      <c r="AC2828" s="69"/>
      <c r="AD2828" s="69"/>
      <c r="AE2828" s="69"/>
    </row>
    <row r="2829" spans="1:31" ht="22.5" customHeight="1">
      <c r="A2829" s="69"/>
      <c r="B2829" s="69"/>
      <c r="C2829" s="69"/>
      <c r="D2829" s="69"/>
      <c r="E2829" s="185"/>
      <c r="F2829" s="69"/>
      <c r="G2829" s="185"/>
      <c r="H2829" s="69"/>
      <c r="I2829" s="69"/>
      <c r="J2829" s="69"/>
      <c r="K2829" s="69"/>
      <c r="L2829" s="69"/>
      <c r="M2829" s="69"/>
      <c r="N2829" s="69"/>
      <c r="O2829" s="69"/>
      <c r="P2829" s="69"/>
      <c r="Q2829" s="69"/>
      <c r="R2829" s="69"/>
      <c r="S2829" s="69"/>
      <c r="T2829" s="69"/>
      <c r="U2829" s="69"/>
      <c r="V2829" s="69"/>
      <c r="W2829" s="69"/>
      <c r="X2829" s="69"/>
      <c r="Y2829" s="69"/>
      <c r="Z2829" s="69"/>
      <c r="AA2829" s="69"/>
      <c r="AB2829" s="69"/>
      <c r="AC2829" s="69"/>
      <c r="AD2829" s="69"/>
      <c r="AE2829" s="69"/>
    </row>
    <row r="2830" spans="1:31" ht="22.5" customHeight="1">
      <c r="A2830" s="69"/>
      <c r="B2830" s="69"/>
      <c r="C2830" s="69"/>
      <c r="D2830" s="69"/>
      <c r="E2830" s="185"/>
      <c r="F2830" s="69"/>
      <c r="G2830" s="185"/>
      <c r="H2830" s="69"/>
      <c r="I2830" s="69"/>
      <c r="J2830" s="69"/>
      <c r="K2830" s="69"/>
      <c r="L2830" s="69"/>
      <c r="M2830" s="69"/>
      <c r="N2830" s="69"/>
      <c r="O2830" s="69"/>
      <c r="P2830" s="69"/>
      <c r="Q2830" s="69"/>
      <c r="R2830" s="69"/>
      <c r="S2830" s="69"/>
      <c r="T2830" s="69"/>
      <c r="U2830" s="69"/>
      <c r="V2830" s="69"/>
      <c r="W2830" s="69"/>
      <c r="X2830" s="69"/>
      <c r="Y2830" s="69"/>
      <c r="Z2830" s="69"/>
      <c r="AA2830" s="69"/>
      <c r="AB2830" s="69"/>
      <c r="AC2830" s="69"/>
      <c r="AD2830" s="69"/>
      <c r="AE2830" s="69"/>
    </row>
    <row r="2831" spans="1:31" ht="22.5" customHeight="1">
      <c r="A2831" s="69"/>
      <c r="B2831" s="69"/>
      <c r="C2831" s="69"/>
      <c r="D2831" s="69"/>
      <c r="E2831" s="185"/>
      <c r="F2831" s="69"/>
      <c r="G2831" s="185"/>
      <c r="H2831" s="69"/>
      <c r="I2831" s="69"/>
      <c r="J2831" s="69"/>
      <c r="K2831" s="69"/>
      <c r="L2831" s="69"/>
      <c r="M2831" s="69"/>
      <c r="N2831" s="69"/>
      <c r="O2831" s="69"/>
      <c r="P2831" s="69"/>
      <c r="Q2831" s="69"/>
      <c r="R2831" s="69"/>
      <c r="S2831" s="69"/>
      <c r="T2831" s="69"/>
      <c r="U2831" s="69"/>
      <c r="V2831" s="69"/>
      <c r="W2831" s="69"/>
      <c r="X2831" s="69"/>
      <c r="Y2831" s="69"/>
      <c r="Z2831" s="69"/>
      <c r="AA2831" s="69"/>
      <c r="AB2831" s="69"/>
      <c r="AC2831" s="69"/>
      <c r="AD2831" s="69"/>
      <c r="AE2831" s="69"/>
    </row>
    <row r="2832" spans="1:31" ht="22.5" customHeight="1">
      <c r="A2832" s="69"/>
      <c r="B2832" s="69"/>
      <c r="C2832" s="69"/>
      <c r="D2832" s="69"/>
      <c r="E2832" s="185"/>
      <c r="F2832" s="69"/>
      <c r="G2832" s="185"/>
      <c r="H2832" s="69"/>
      <c r="I2832" s="69"/>
      <c r="J2832" s="69"/>
      <c r="K2832" s="69"/>
      <c r="L2832" s="69"/>
      <c r="M2832" s="69"/>
      <c r="N2832" s="69"/>
      <c r="O2832" s="69"/>
      <c r="P2832" s="69"/>
      <c r="Q2832" s="69"/>
      <c r="R2832" s="69"/>
      <c r="S2832" s="69"/>
      <c r="T2832" s="69"/>
      <c r="U2832" s="69"/>
      <c r="V2832" s="69"/>
      <c r="W2832" s="69"/>
      <c r="X2832" s="69"/>
      <c r="Y2832" s="69"/>
      <c r="Z2832" s="69"/>
      <c r="AA2832" s="69"/>
      <c r="AB2832" s="69"/>
      <c r="AC2832" s="69"/>
      <c r="AD2832" s="69"/>
      <c r="AE2832" s="69"/>
    </row>
    <row r="2833" spans="1:31" ht="22.5" customHeight="1">
      <c r="A2833" s="69"/>
      <c r="B2833" s="69"/>
      <c r="C2833" s="69"/>
      <c r="D2833" s="69"/>
      <c r="E2833" s="185"/>
      <c r="F2833" s="69"/>
      <c r="G2833" s="185"/>
      <c r="H2833" s="69"/>
      <c r="I2833" s="69"/>
      <c r="J2833" s="69"/>
      <c r="K2833" s="69"/>
      <c r="L2833" s="69"/>
      <c r="M2833" s="69"/>
      <c r="N2833" s="69"/>
      <c r="O2833" s="69"/>
      <c r="P2833" s="69"/>
      <c r="Q2833" s="69"/>
      <c r="R2833" s="69"/>
      <c r="S2833" s="69"/>
      <c r="T2833" s="69"/>
      <c r="U2833" s="69"/>
      <c r="V2833" s="69"/>
      <c r="W2833" s="69"/>
      <c r="X2833" s="69"/>
      <c r="Y2833" s="69"/>
      <c r="Z2833" s="69"/>
      <c r="AA2833" s="69"/>
      <c r="AB2833" s="69"/>
      <c r="AC2833" s="69"/>
      <c r="AD2833" s="69"/>
      <c r="AE2833" s="69"/>
    </row>
    <row r="2834" spans="1:31" ht="22.5" customHeight="1">
      <c r="A2834" s="69"/>
      <c r="B2834" s="69"/>
      <c r="C2834" s="69"/>
      <c r="D2834" s="69"/>
      <c r="E2834" s="185"/>
      <c r="F2834" s="69"/>
      <c r="G2834" s="185"/>
      <c r="H2834" s="69"/>
      <c r="I2834" s="69"/>
      <c r="J2834" s="69"/>
      <c r="K2834" s="69"/>
      <c r="L2834" s="69"/>
      <c r="M2834" s="69"/>
      <c r="N2834" s="69"/>
      <c r="O2834" s="69"/>
      <c r="P2834" s="69"/>
      <c r="Q2834" s="69"/>
      <c r="R2834" s="69"/>
      <c r="S2834" s="69"/>
      <c r="T2834" s="69"/>
      <c r="U2834" s="69"/>
      <c r="V2834" s="69"/>
      <c r="W2834" s="69"/>
      <c r="X2834" s="69"/>
      <c r="Y2834" s="69"/>
      <c r="Z2834" s="69"/>
      <c r="AA2834" s="69"/>
      <c r="AB2834" s="69"/>
      <c r="AC2834" s="69"/>
      <c r="AD2834" s="69"/>
      <c r="AE2834" s="69"/>
    </row>
    <row r="2835" spans="1:31" ht="22.5" customHeight="1">
      <c r="A2835" s="69"/>
      <c r="B2835" s="69"/>
      <c r="C2835" s="69"/>
      <c r="D2835" s="69"/>
      <c r="E2835" s="185"/>
      <c r="F2835" s="69"/>
      <c r="G2835" s="185"/>
      <c r="H2835" s="69"/>
      <c r="I2835" s="69"/>
      <c r="J2835" s="69"/>
      <c r="K2835" s="69"/>
      <c r="L2835" s="69"/>
      <c r="M2835" s="69"/>
      <c r="N2835" s="69"/>
      <c r="O2835" s="69"/>
      <c r="P2835" s="69"/>
      <c r="Q2835" s="69"/>
      <c r="R2835" s="69"/>
      <c r="S2835" s="69"/>
      <c r="T2835" s="69"/>
      <c r="U2835" s="69"/>
      <c r="V2835" s="69"/>
      <c r="W2835" s="69"/>
      <c r="X2835" s="69"/>
      <c r="Y2835" s="69"/>
      <c r="Z2835" s="69"/>
      <c r="AA2835" s="69"/>
      <c r="AB2835" s="69"/>
      <c r="AC2835" s="69"/>
      <c r="AD2835" s="69"/>
      <c r="AE2835" s="69"/>
    </row>
    <row r="2836" spans="1:31" ht="22.5" customHeight="1">
      <c r="A2836" s="69"/>
      <c r="B2836" s="69"/>
      <c r="C2836" s="69"/>
      <c r="D2836" s="69"/>
      <c r="E2836" s="185"/>
      <c r="F2836" s="69"/>
      <c r="G2836" s="185"/>
      <c r="H2836" s="69"/>
      <c r="I2836" s="69"/>
      <c r="J2836" s="69"/>
      <c r="K2836" s="69"/>
      <c r="L2836" s="69"/>
      <c r="M2836" s="69"/>
      <c r="N2836" s="69"/>
      <c r="O2836" s="69"/>
      <c r="P2836" s="69"/>
      <c r="Q2836" s="69"/>
      <c r="R2836" s="69"/>
      <c r="S2836" s="69"/>
      <c r="T2836" s="69"/>
      <c r="U2836" s="69"/>
      <c r="V2836" s="69"/>
      <c r="W2836" s="69"/>
      <c r="X2836" s="69"/>
      <c r="Y2836" s="69"/>
      <c r="Z2836" s="69"/>
      <c r="AA2836" s="69"/>
      <c r="AB2836" s="69"/>
      <c r="AC2836" s="69"/>
      <c r="AD2836" s="69"/>
      <c r="AE2836" s="69"/>
    </row>
    <row r="2837" spans="1:31" ht="22.5" customHeight="1">
      <c r="A2837" s="69"/>
      <c r="B2837" s="69"/>
      <c r="C2837" s="69"/>
      <c r="D2837" s="69"/>
      <c r="E2837" s="185"/>
      <c r="F2837" s="69"/>
      <c r="G2837" s="185"/>
      <c r="H2837" s="69"/>
      <c r="I2837" s="69"/>
      <c r="J2837" s="69"/>
      <c r="K2837" s="69"/>
      <c r="L2837" s="69"/>
      <c r="M2837" s="69"/>
      <c r="N2837" s="69"/>
      <c r="O2837" s="69"/>
      <c r="P2837" s="69"/>
      <c r="Q2837" s="69"/>
      <c r="R2837" s="69"/>
      <c r="S2837" s="69"/>
      <c r="T2837" s="69"/>
      <c r="U2837" s="69"/>
      <c r="V2837" s="69"/>
      <c r="W2837" s="69"/>
      <c r="X2837" s="69"/>
      <c r="Y2837" s="69"/>
      <c r="Z2837" s="69"/>
      <c r="AA2837" s="69"/>
      <c r="AB2837" s="69"/>
      <c r="AC2837" s="69"/>
      <c r="AD2837" s="69"/>
      <c r="AE2837" s="69"/>
    </row>
    <row r="2838" spans="1:31" ht="22.5" customHeight="1">
      <c r="A2838" s="69"/>
      <c r="B2838" s="69"/>
      <c r="C2838" s="69"/>
      <c r="D2838" s="69"/>
      <c r="E2838" s="185"/>
      <c r="F2838" s="69"/>
      <c r="G2838" s="185"/>
      <c r="H2838" s="69"/>
      <c r="I2838" s="69"/>
      <c r="J2838" s="69"/>
      <c r="K2838" s="69"/>
      <c r="L2838" s="69"/>
      <c r="M2838" s="69"/>
      <c r="N2838" s="69"/>
      <c r="O2838" s="69"/>
      <c r="P2838" s="69"/>
      <c r="Q2838" s="69"/>
      <c r="R2838" s="69"/>
      <c r="S2838" s="69"/>
      <c r="T2838" s="69"/>
      <c r="U2838" s="69"/>
      <c r="V2838" s="69"/>
      <c r="W2838" s="69"/>
      <c r="X2838" s="69"/>
      <c r="Y2838" s="69"/>
      <c r="Z2838" s="69"/>
      <c r="AA2838" s="69"/>
      <c r="AB2838" s="69"/>
      <c r="AC2838" s="69"/>
      <c r="AD2838" s="69"/>
      <c r="AE2838" s="69"/>
    </row>
    <row r="2839" spans="1:31" ht="22.5" customHeight="1">
      <c r="A2839" s="69"/>
      <c r="B2839" s="69"/>
      <c r="C2839" s="69"/>
      <c r="D2839" s="69"/>
      <c r="E2839" s="185"/>
      <c r="F2839" s="69"/>
      <c r="G2839" s="185"/>
      <c r="H2839" s="69"/>
      <c r="I2839" s="69"/>
      <c r="J2839" s="69"/>
      <c r="K2839" s="69"/>
      <c r="L2839" s="69"/>
      <c r="M2839" s="69"/>
      <c r="N2839" s="69"/>
      <c r="O2839" s="69"/>
      <c r="P2839" s="69"/>
      <c r="Q2839" s="69"/>
      <c r="R2839" s="69"/>
      <c r="S2839" s="69"/>
      <c r="T2839" s="69"/>
      <c r="U2839" s="69"/>
      <c r="V2839" s="69"/>
      <c r="W2839" s="69"/>
      <c r="X2839" s="69"/>
      <c r="Y2839" s="69"/>
      <c r="Z2839" s="69"/>
      <c r="AA2839" s="69"/>
      <c r="AB2839" s="69"/>
      <c r="AC2839" s="69"/>
      <c r="AD2839" s="69"/>
      <c r="AE2839" s="69"/>
    </row>
    <row r="2840" spans="1:31" ht="22.5" customHeight="1">
      <c r="A2840" s="69"/>
      <c r="B2840" s="69"/>
      <c r="C2840" s="69"/>
      <c r="D2840" s="69"/>
      <c r="E2840" s="185"/>
      <c r="F2840" s="69"/>
      <c r="G2840" s="185"/>
      <c r="H2840" s="69"/>
      <c r="I2840" s="69"/>
      <c r="J2840" s="69"/>
      <c r="K2840" s="69"/>
      <c r="L2840" s="69"/>
      <c r="M2840" s="69"/>
      <c r="N2840" s="69"/>
      <c r="O2840" s="69"/>
      <c r="P2840" s="69"/>
      <c r="Q2840" s="69"/>
      <c r="R2840" s="69"/>
      <c r="S2840" s="69"/>
      <c r="T2840" s="69"/>
      <c r="U2840" s="69"/>
      <c r="V2840" s="69"/>
      <c r="W2840" s="69"/>
      <c r="X2840" s="69"/>
      <c r="Y2840" s="69"/>
      <c r="Z2840" s="69"/>
      <c r="AA2840" s="69"/>
      <c r="AB2840" s="69"/>
      <c r="AC2840" s="69"/>
      <c r="AD2840" s="69"/>
      <c r="AE2840" s="69"/>
    </row>
    <row r="2841" spans="1:31" ht="22.5" customHeight="1">
      <c r="A2841" s="69"/>
      <c r="B2841" s="69"/>
      <c r="C2841" s="69"/>
      <c r="D2841" s="69"/>
      <c r="E2841" s="185"/>
      <c r="F2841" s="69"/>
      <c r="G2841" s="185"/>
      <c r="H2841" s="69"/>
      <c r="I2841" s="69"/>
      <c r="J2841" s="69"/>
      <c r="K2841" s="69"/>
      <c r="L2841" s="69"/>
      <c r="M2841" s="69"/>
      <c r="N2841" s="69"/>
      <c r="O2841" s="69"/>
      <c r="P2841" s="69"/>
      <c r="Q2841" s="69"/>
      <c r="R2841" s="69"/>
      <c r="S2841" s="69"/>
      <c r="T2841" s="69"/>
      <c r="U2841" s="69"/>
      <c r="V2841" s="69"/>
      <c r="W2841" s="69"/>
      <c r="X2841" s="69"/>
      <c r="Y2841" s="69"/>
      <c r="Z2841" s="69"/>
      <c r="AA2841" s="69"/>
      <c r="AB2841" s="69"/>
      <c r="AC2841" s="69"/>
      <c r="AD2841" s="69"/>
      <c r="AE2841" s="69"/>
    </row>
    <row r="2842" spans="1:31" ht="22.5" customHeight="1">
      <c r="A2842" s="69"/>
      <c r="B2842" s="69"/>
      <c r="C2842" s="69"/>
      <c r="D2842" s="69"/>
      <c r="E2842" s="185"/>
      <c r="F2842" s="69"/>
      <c r="G2842" s="185"/>
      <c r="H2842" s="69"/>
      <c r="I2842" s="69"/>
      <c r="J2842" s="69"/>
      <c r="K2842" s="69"/>
      <c r="L2842" s="69"/>
      <c r="M2842" s="69"/>
      <c r="N2842" s="69"/>
      <c r="O2842" s="69"/>
      <c r="P2842" s="69"/>
      <c r="Q2842" s="69"/>
      <c r="R2842" s="69"/>
      <c r="S2842" s="69"/>
      <c r="T2842" s="69"/>
      <c r="U2842" s="69"/>
      <c r="V2842" s="69"/>
      <c r="W2842" s="69"/>
      <c r="X2842" s="69"/>
      <c r="Y2842" s="69"/>
      <c r="Z2842" s="69"/>
      <c r="AA2842" s="69"/>
      <c r="AB2842" s="69"/>
      <c r="AC2842" s="69"/>
      <c r="AD2842" s="69"/>
      <c r="AE2842" s="69"/>
    </row>
    <row r="2843" spans="1:31" ht="22.5" customHeight="1">
      <c r="A2843" s="69"/>
      <c r="B2843" s="69"/>
      <c r="C2843" s="69"/>
      <c r="D2843" s="69"/>
      <c r="E2843" s="185"/>
      <c r="F2843" s="69"/>
      <c r="G2843" s="185"/>
      <c r="H2843" s="69"/>
      <c r="I2843" s="69"/>
      <c r="J2843" s="69"/>
      <c r="K2843" s="69"/>
      <c r="L2843" s="69"/>
      <c r="M2843" s="69"/>
      <c r="N2843" s="69"/>
      <c r="O2843" s="69"/>
      <c r="P2843" s="69"/>
      <c r="Q2843" s="69"/>
      <c r="R2843" s="69"/>
      <c r="S2843" s="69"/>
      <c r="T2843" s="69"/>
      <c r="U2843" s="69"/>
      <c r="V2843" s="69"/>
      <c r="W2843" s="69"/>
      <c r="X2843" s="69"/>
      <c r="Y2843" s="69"/>
      <c r="Z2843" s="69"/>
      <c r="AA2843" s="69"/>
      <c r="AB2843" s="69"/>
      <c r="AC2843" s="69"/>
      <c r="AD2843" s="69"/>
      <c r="AE2843" s="69"/>
    </row>
    <row r="2844" spans="1:31" ht="22.5" customHeight="1">
      <c r="A2844" s="69"/>
      <c r="B2844" s="69"/>
      <c r="C2844" s="69"/>
      <c r="D2844" s="69"/>
      <c r="E2844" s="185"/>
      <c r="F2844" s="69"/>
      <c r="G2844" s="185"/>
      <c r="H2844" s="69"/>
      <c r="I2844" s="69"/>
      <c r="J2844" s="69"/>
      <c r="K2844" s="69"/>
      <c r="L2844" s="69"/>
      <c r="M2844" s="69"/>
      <c r="N2844" s="69"/>
      <c r="O2844" s="69"/>
      <c r="P2844" s="69"/>
      <c r="Q2844" s="69"/>
      <c r="R2844" s="69"/>
      <c r="S2844" s="69"/>
      <c r="T2844" s="69"/>
      <c r="U2844" s="69"/>
      <c r="V2844" s="69"/>
      <c r="W2844" s="69"/>
      <c r="X2844" s="69"/>
      <c r="Y2844" s="69"/>
      <c r="Z2844" s="69"/>
      <c r="AA2844" s="69"/>
      <c r="AB2844" s="69"/>
      <c r="AC2844" s="69"/>
      <c r="AD2844" s="69"/>
      <c r="AE2844" s="69"/>
    </row>
    <row r="2845" spans="1:31" ht="22.5" customHeight="1">
      <c r="A2845" s="69"/>
      <c r="B2845" s="69"/>
      <c r="C2845" s="69"/>
      <c r="D2845" s="69"/>
      <c r="E2845" s="185"/>
      <c r="F2845" s="69"/>
      <c r="G2845" s="185"/>
      <c r="H2845" s="69"/>
      <c r="I2845" s="69"/>
      <c r="J2845" s="69"/>
      <c r="K2845" s="69"/>
      <c r="L2845" s="69"/>
      <c r="M2845" s="69"/>
      <c r="N2845" s="69"/>
      <c r="O2845" s="69"/>
      <c r="P2845" s="69"/>
      <c r="Q2845" s="69"/>
      <c r="R2845" s="69"/>
      <c r="S2845" s="69"/>
      <c r="T2845" s="69"/>
      <c r="U2845" s="69"/>
      <c r="V2845" s="69"/>
      <c r="W2845" s="69"/>
      <c r="X2845" s="69"/>
      <c r="Y2845" s="69"/>
      <c r="Z2845" s="69"/>
      <c r="AA2845" s="69"/>
      <c r="AB2845" s="69"/>
      <c r="AC2845" s="69"/>
      <c r="AD2845" s="69"/>
      <c r="AE2845" s="69"/>
    </row>
    <row r="2846" spans="1:31" ht="22.5" customHeight="1">
      <c r="A2846" s="69"/>
      <c r="B2846" s="69"/>
      <c r="C2846" s="69"/>
      <c r="D2846" s="69"/>
      <c r="E2846" s="185"/>
      <c r="F2846" s="69"/>
      <c r="G2846" s="185"/>
      <c r="H2846" s="69"/>
      <c r="I2846" s="69"/>
      <c r="J2846" s="69"/>
      <c r="K2846" s="69"/>
      <c r="L2846" s="69"/>
      <c r="M2846" s="69"/>
      <c r="N2846" s="69"/>
      <c r="O2846" s="69"/>
      <c r="P2846" s="69"/>
      <c r="Q2846" s="69"/>
      <c r="R2846" s="69"/>
      <c r="S2846" s="69"/>
      <c r="T2846" s="69"/>
      <c r="U2846" s="69"/>
      <c r="V2846" s="69"/>
      <c r="W2846" s="69"/>
      <c r="X2846" s="69"/>
      <c r="Y2846" s="69"/>
      <c r="Z2846" s="69"/>
      <c r="AA2846" s="69"/>
      <c r="AB2846" s="69"/>
      <c r="AC2846" s="69"/>
      <c r="AD2846" s="69"/>
      <c r="AE2846" s="69"/>
    </row>
    <row r="2847" spans="1:31" ht="22.5" customHeight="1">
      <c r="A2847" s="69"/>
      <c r="B2847" s="69"/>
      <c r="C2847" s="69"/>
      <c r="D2847" s="69"/>
      <c r="E2847" s="185"/>
      <c r="F2847" s="69"/>
      <c r="G2847" s="185"/>
      <c r="H2847" s="69"/>
      <c r="I2847" s="69"/>
      <c r="J2847" s="69"/>
      <c r="K2847" s="69"/>
      <c r="L2847" s="69"/>
      <c r="M2847" s="69"/>
      <c r="N2847" s="69"/>
      <c r="O2847" s="69"/>
      <c r="P2847" s="69"/>
      <c r="Q2847" s="69"/>
      <c r="R2847" s="69"/>
      <c r="S2847" s="69"/>
      <c r="T2847" s="69"/>
      <c r="U2847" s="69"/>
      <c r="V2847" s="69"/>
      <c r="W2847" s="69"/>
      <c r="X2847" s="69"/>
      <c r="Y2847" s="69"/>
      <c r="Z2847" s="69"/>
      <c r="AA2847" s="69"/>
      <c r="AB2847" s="69"/>
      <c r="AC2847" s="69"/>
      <c r="AD2847" s="69"/>
      <c r="AE2847" s="69"/>
    </row>
    <row r="2848" spans="1:31" ht="22.5" customHeight="1">
      <c r="A2848" s="69"/>
      <c r="B2848" s="69"/>
      <c r="C2848" s="69"/>
      <c r="D2848" s="69"/>
      <c r="E2848" s="185"/>
      <c r="F2848" s="69"/>
      <c r="G2848" s="185"/>
      <c r="H2848" s="69"/>
      <c r="I2848" s="69"/>
      <c r="J2848" s="69"/>
      <c r="K2848" s="69"/>
      <c r="L2848" s="69"/>
      <c r="M2848" s="69"/>
      <c r="N2848" s="69"/>
      <c r="O2848" s="69"/>
      <c r="P2848" s="69"/>
      <c r="Q2848" s="69"/>
      <c r="R2848" s="69"/>
      <c r="S2848" s="69"/>
      <c r="T2848" s="69"/>
      <c r="U2848" s="69"/>
      <c r="V2848" s="69"/>
      <c r="W2848" s="69"/>
      <c r="X2848" s="69"/>
      <c r="Y2848" s="69"/>
      <c r="Z2848" s="69"/>
      <c r="AA2848" s="69"/>
      <c r="AB2848" s="69"/>
      <c r="AC2848" s="69"/>
      <c r="AD2848" s="69"/>
      <c r="AE2848" s="69"/>
    </row>
    <row r="2849" spans="1:31" ht="22.5" customHeight="1">
      <c r="A2849" s="69"/>
      <c r="B2849" s="69"/>
      <c r="C2849" s="69"/>
      <c r="D2849" s="69"/>
      <c r="E2849" s="185"/>
      <c r="F2849" s="69"/>
      <c r="G2849" s="185"/>
      <c r="H2849" s="69"/>
      <c r="I2849" s="69"/>
      <c r="J2849" s="69"/>
      <c r="K2849" s="69"/>
      <c r="L2849" s="69"/>
      <c r="M2849" s="69"/>
      <c r="N2849" s="69"/>
      <c r="O2849" s="69"/>
      <c r="P2849" s="69"/>
      <c r="Q2849" s="69"/>
      <c r="R2849" s="69"/>
      <c r="S2849" s="69"/>
      <c r="T2849" s="69"/>
      <c r="U2849" s="69"/>
      <c r="V2849" s="69"/>
      <c r="W2849" s="69"/>
      <c r="X2849" s="69"/>
      <c r="Y2849" s="69"/>
      <c r="Z2849" s="69"/>
      <c r="AA2849" s="69"/>
      <c r="AB2849" s="69"/>
      <c r="AC2849" s="69"/>
      <c r="AD2849" s="69"/>
      <c r="AE2849" s="69"/>
    </row>
    <row r="2850" spans="1:31" ht="22.5" customHeight="1">
      <c r="A2850" s="69"/>
      <c r="B2850" s="69"/>
      <c r="C2850" s="69"/>
      <c r="D2850" s="69"/>
      <c r="E2850" s="185"/>
      <c r="F2850" s="69"/>
      <c r="G2850" s="185"/>
      <c r="H2850" s="69"/>
      <c r="I2850" s="69"/>
      <c r="J2850" s="69"/>
      <c r="K2850" s="69"/>
      <c r="L2850" s="69"/>
      <c r="M2850" s="69"/>
      <c r="N2850" s="69"/>
      <c r="O2850" s="69"/>
      <c r="P2850" s="69"/>
      <c r="Q2850" s="69"/>
      <c r="R2850" s="69"/>
      <c r="S2850" s="69"/>
      <c r="T2850" s="69"/>
      <c r="U2850" s="69"/>
      <c r="V2850" s="69"/>
      <c r="W2850" s="69"/>
      <c r="X2850" s="69"/>
      <c r="Y2850" s="69"/>
      <c r="Z2850" s="69"/>
      <c r="AA2850" s="69"/>
      <c r="AB2850" s="69"/>
      <c r="AC2850" s="69"/>
      <c r="AD2850" s="69"/>
      <c r="AE2850" s="69"/>
    </row>
    <row r="2851" spans="1:31" ht="22.5" customHeight="1">
      <c r="A2851" s="69"/>
      <c r="B2851" s="69"/>
      <c r="C2851" s="69"/>
      <c r="D2851" s="69"/>
      <c r="E2851" s="185"/>
      <c r="F2851" s="69"/>
      <c r="G2851" s="185"/>
      <c r="H2851" s="69"/>
      <c r="I2851" s="69"/>
      <c r="J2851" s="69"/>
      <c r="K2851" s="69"/>
      <c r="L2851" s="69"/>
      <c r="M2851" s="69"/>
      <c r="N2851" s="69"/>
      <c r="O2851" s="69"/>
      <c r="P2851" s="69"/>
      <c r="Q2851" s="69"/>
      <c r="R2851" s="69"/>
      <c r="S2851" s="69"/>
      <c r="T2851" s="69"/>
      <c r="U2851" s="69"/>
      <c r="V2851" s="69"/>
      <c r="W2851" s="69"/>
      <c r="X2851" s="69"/>
      <c r="Y2851" s="69"/>
      <c r="Z2851" s="69"/>
      <c r="AA2851" s="69"/>
      <c r="AB2851" s="69"/>
      <c r="AC2851" s="69"/>
      <c r="AD2851" s="69"/>
      <c r="AE2851" s="69"/>
    </row>
    <row r="2852" spans="1:31" ht="22.5" customHeight="1">
      <c r="A2852" s="69"/>
      <c r="B2852" s="69"/>
      <c r="C2852" s="69"/>
      <c r="D2852" s="69"/>
      <c r="E2852" s="185"/>
      <c r="F2852" s="69"/>
      <c r="G2852" s="185"/>
      <c r="H2852" s="69"/>
      <c r="I2852" s="69"/>
      <c r="J2852" s="69"/>
      <c r="K2852" s="69"/>
      <c r="L2852" s="69"/>
      <c r="M2852" s="69"/>
      <c r="N2852" s="69"/>
      <c r="O2852" s="69"/>
      <c r="P2852" s="69"/>
      <c r="Q2852" s="69"/>
      <c r="R2852" s="69"/>
      <c r="S2852" s="69"/>
      <c r="T2852" s="69"/>
      <c r="U2852" s="69"/>
      <c r="V2852" s="69"/>
      <c r="W2852" s="69"/>
      <c r="X2852" s="69"/>
      <c r="Y2852" s="69"/>
      <c r="Z2852" s="69"/>
      <c r="AA2852" s="69"/>
      <c r="AB2852" s="69"/>
      <c r="AC2852" s="69"/>
      <c r="AD2852" s="69"/>
      <c r="AE2852" s="69"/>
    </row>
    <row r="2853" spans="1:31" ht="22.5" customHeight="1">
      <c r="A2853" s="69"/>
      <c r="B2853" s="69"/>
      <c r="C2853" s="69"/>
      <c r="D2853" s="69"/>
      <c r="E2853" s="185"/>
      <c r="F2853" s="69"/>
      <c r="G2853" s="185"/>
      <c r="H2853" s="69"/>
      <c r="I2853" s="69"/>
      <c r="J2853" s="69"/>
      <c r="K2853" s="69"/>
      <c r="L2853" s="69"/>
      <c r="M2853" s="69"/>
      <c r="N2853" s="69"/>
      <c r="O2853" s="69"/>
      <c r="P2853" s="69"/>
      <c r="Q2853" s="69"/>
      <c r="R2853" s="69"/>
      <c r="S2853" s="69"/>
      <c r="T2853" s="69"/>
      <c r="U2853" s="69"/>
      <c r="V2853" s="69"/>
      <c r="W2853" s="69"/>
      <c r="X2853" s="69"/>
      <c r="Y2853" s="69"/>
      <c r="Z2853" s="69"/>
      <c r="AA2853" s="69"/>
      <c r="AB2853" s="69"/>
      <c r="AC2853" s="69"/>
      <c r="AD2853" s="69"/>
      <c r="AE2853" s="69"/>
    </row>
    <row r="2854" spans="1:31" ht="22.5" customHeight="1">
      <c r="A2854" s="69"/>
      <c r="B2854" s="69"/>
      <c r="C2854" s="69"/>
      <c r="D2854" s="69"/>
      <c r="E2854" s="185"/>
      <c r="F2854" s="69"/>
      <c r="G2854" s="185"/>
      <c r="H2854" s="69"/>
      <c r="I2854" s="69"/>
      <c r="J2854" s="69"/>
      <c r="K2854" s="69"/>
      <c r="L2854" s="69"/>
      <c r="M2854" s="69"/>
      <c r="N2854" s="69"/>
      <c r="O2854" s="69"/>
      <c r="P2854" s="69"/>
      <c r="Q2854" s="69"/>
      <c r="R2854" s="69"/>
      <c r="S2854" s="69"/>
      <c r="T2854" s="69"/>
      <c r="U2854" s="69"/>
      <c r="V2854" s="69"/>
      <c r="W2854" s="69"/>
      <c r="X2854" s="69"/>
      <c r="Y2854" s="69"/>
      <c r="Z2854" s="69"/>
      <c r="AA2854" s="69"/>
      <c r="AB2854" s="69"/>
      <c r="AC2854" s="69"/>
      <c r="AD2854" s="69"/>
      <c r="AE2854" s="69"/>
    </row>
    <row r="2855" spans="1:31" ht="22.5" customHeight="1">
      <c r="A2855" s="69"/>
      <c r="B2855" s="69"/>
      <c r="C2855" s="69"/>
      <c r="D2855" s="69"/>
      <c r="E2855" s="185"/>
      <c r="F2855" s="69"/>
      <c r="G2855" s="185"/>
      <c r="H2855" s="69"/>
      <c r="I2855" s="69"/>
      <c r="J2855" s="69"/>
      <c r="K2855" s="69"/>
      <c r="L2855" s="69"/>
      <c r="M2855" s="69"/>
      <c r="N2855" s="69"/>
      <c r="O2855" s="69"/>
      <c r="P2855" s="69"/>
      <c r="Q2855" s="69"/>
      <c r="R2855" s="69"/>
      <c r="S2855" s="69"/>
      <c r="T2855" s="69"/>
      <c r="U2855" s="69"/>
      <c r="V2855" s="69"/>
      <c r="W2855" s="69"/>
      <c r="X2855" s="69"/>
      <c r="Y2855" s="69"/>
      <c r="Z2855" s="69"/>
      <c r="AA2855" s="69"/>
      <c r="AB2855" s="69"/>
      <c r="AC2855" s="69"/>
      <c r="AD2855" s="69"/>
      <c r="AE2855" s="69"/>
    </row>
    <row r="2856" spans="1:31" ht="22.5" customHeight="1">
      <c r="A2856" s="69"/>
      <c r="B2856" s="69"/>
      <c r="C2856" s="69"/>
      <c r="D2856" s="69"/>
      <c r="E2856" s="185"/>
      <c r="F2856" s="69"/>
      <c r="G2856" s="185"/>
      <c r="H2856" s="69"/>
      <c r="I2856" s="69"/>
      <c r="J2856" s="69"/>
      <c r="K2856" s="69"/>
      <c r="L2856" s="69"/>
      <c r="M2856" s="69"/>
      <c r="N2856" s="69"/>
      <c r="O2856" s="69"/>
      <c r="P2856" s="69"/>
      <c r="Q2856" s="69"/>
      <c r="R2856" s="69"/>
      <c r="S2856" s="69"/>
      <c r="T2856" s="69"/>
      <c r="U2856" s="69"/>
      <c r="V2856" s="69"/>
      <c r="W2856" s="69"/>
      <c r="X2856" s="69"/>
      <c r="Y2856" s="69"/>
      <c r="Z2856" s="69"/>
      <c r="AA2856" s="69"/>
      <c r="AB2856" s="69"/>
      <c r="AC2856" s="69"/>
      <c r="AD2856" s="69"/>
      <c r="AE2856" s="69"/>
    </row>
    <row r="2857" spans="1:31" ht="22.5" customHeight="1">
      <c r="A2857" s="69"/>
      <c r="B2857" s="69"/>
      <c r="C2857" s="69"/>
      <c r="D2857" s="69"/>
      <c r="E2857" s="185"/>
      <c r="F2857" s="69"/>
      <c r="G2857" s="185"/>
      <c r="H2857" s="69"/>
      <c r="I2857" s="69"/>
      <c r="J2857" s="69"/>
      <c r="K2857" s="69"/>
      <c r="L2857" s="69"/>
      <c r="M2857" s="69"/>
      <c r="N2857" s="69"/>
      <c r="O2857" s="69"/>
      <c r="P2857" s="69"/>
      <c r="Q2857" s="69"/>
      <c r="R2857" s="69"/>
      <c r="S2857" s="69"/>
      <c r="T2857" s="69"/>
      <c r="U2857" s="69"/>
      <c r="V2857" s="69"/>
      <c r="W2857" s="69"/>
      <c r="X2857" s="69"/>
      <c r="Y2857" s="69"/>
      <c r="Z2857" s="69"/>
      <c r="AA2857" s="69"/>
      <c r="AB2857" s="69"/>
      <c r="AC2857" s="69"/>
      <c r="AD2857" s="69"/>
      <c r="AE2857" s="69"/>
    </row>
    <row r="2858" spans="1:31" ht="22.5" customHeight="1">
      <c r="A2858" s="69"/>
      <c r="B2858" s="69"/>
      <c r="C2858" s="69"/>
      <c r="D2858" s="69"/>
      <c r="E2858" s="185"/>
      <c r="F2858" s="69"/>
      <c r="G2858" s="185"/>
      <c r="H2858" s="69"/>
      <c r="I2858" s="69"/>
      <c r="J2858" s="69"/>
      <c r="K2858" s="69"/>
      <c r="L2858" s="69"/>
      <c r="M2858" s="69"/>
      <c r="N2858" s="69"/>
      <c r="O2858" s="69"/>
      <c r="P2858" s="69"/>
      <c r="Q2858" s="69"/>
      <c r="R2858" s="69"/>
      <c r="S2858" s="69"/>
      <c r="T2858" s="69"/>
      <c r="U2858" s="69"/>
      <c r="V2858" s="69"/>
      <c r="W2858" s="69"/>
      <c r="X2858" s="69"/>
      <c r="Y2858" s="69"/>
      <c r="Z2858" s="69"/>
      <c r="AA2858" s="69"/>
      <c r="AB2858" s="69"/>
      <c r="AC2858" s="69"/>
      <c r="AD2858" s="69"/>
      <c r="AE2858" s="69"/>
    </row>
    <row r="2859" spans="1:31" ht="22.5" customHeight="1">
      <c r="A2859" s="69"/>
      <c r="B2859" s="69"/>
      <c r="C2859" s="69"/>
      <c r="D2859" s="69"/>
      <c r="E2859" s="185"/>
      <c r="F2859" s="69"/>
      <c r="G2859" s="185"/>
      <c r="H2859" s="69"/>
      <c r="I2859" s="69"/>
      <c r="J2859" s="69"/>
      <c r="K2859" s="69"/>
      <c r="L2859" s="69"/>
      <c r="M2859" s="69"/>
      <c r="N2859" s="69"/>
      <c r="O2859" s="69"/>
      <c r="P2859" s="69"/>
      <c r="Q2859" s="69"/>
      <c r="R2859" s="69"/>
      <c r="S2859" s="69"/>
      <c r="T2859" s="69"/>
      <c r="U2859" s="69"/>
      <c r="V2859" s="69"/>
      <c r="W2859" s="69"/>
      <c r="X2859" s="69"/>
      <c r="Y2859" s="69"/>
      <c r="Z2859" s="69"/>
      <c r="AA2859" s="69"/>
      <c r="AB2859" s="69"/>
      <c r="AC2859" s="69"/>
      <c r="AD2859" s="69"/>
      <c r="AE2859" s="69"/>
    </row>
    <row r="2860" spans="1:31" ht="22.5" customHeight="1">
      <c r="A2860" s="69"/>
      <c r="B2860" s="69"/>
      <c r="C2860" s="69"/>
      <c r="D2860" s="69"/>
      <c r="E2860" s="185"/>
      <c r="F2860" s="69"/>
      <c r="G2860" s="185"/>
      <c r="H2860" s="69"/>
      <c r="I2860" s="69"/>
      <c r="J2860" s="69"/>
      <c r="K2860" s="69"/>
      <c r="L2860" s="69"/>
      <c r="M2860" s="69"/>
      <c r="N2860" s="69"/>
      <c r="O2860" s="69"/>
      <c r="P2860" s="69"/>
      <c r="Q2860" s="69"/>
      <c r="R2860" s="69"/>
      <c r="S2860" s="69"/>
      <c r="T2860" s="69"/>
      <c r="U2860" s="69"/>
      <c r="V2860" s="69"/>
      <c r="W2860" s="69"/>
      <c r="X2860" s="69"/>
      <c r="Y2860" s="69"/>
      <c r="Z2860" s="69"/>
      <c r="AA2860" s="69"/>
      <c r="AB2860" s="69"/>
      <c r="AC2860" s="69"/>
      <c r="AD2860" s="69"/>
      <c r="AE2860" s="69"/>
    </row>
    <row r="2861" spans="1:31" ht="22.5" customHeight="1">
      <c r="A2861" s="69"/>
      <c r="B2861" s="69"/>
      <c r="C2861" s="69"/>
      <c r="D2861" s="69"/>
      <c r="E2861" s="185"/>
      <c r="F2861" s="69"/>
      <c r="G2861" s="185"/>
      <c r="H2861" s="69"/>
      <c r="I2861" s="69"/>
      <c r="J2861" s="69"/>
      <c r="K2861" s="69"/>
      <c r="L2861" s="69"/>
      <c r="M2861" s="69"/>
      <c r="N2861" s="69"/>
      <c r="O2861" s="69"/>
      <c r="P2861" s="69"/>
      <c r="Q2861" s="69"/>
      <c r="R2861" s="69"/>
      <c r="S2861" s="69"/>
      <c r="T2861" s="69"/>
      <c r="U2861" s="69"/>
      <c r="V2861" s="69"/>
      <c r="W2861" s="69"/>
      <c r="X2861" s="69"/>
      <c r="Y2861" s="69"/>
      <c r="Z2861" s="69"/>
      <c r="AA2861" s="69"/>
      <c r="AB2861" s="69"/>
      <c r="AC2861" s="69"/>
      <c r="AD2861" s="69"/>
      <c r="AE2861" s="69"/>
    </row>
    <row r="2862" spans="1:31" ht="22.5" customHeight="1">
      <c r="A2862" s="69"/>
      <c r="B2862" s="69"/>
      <c r="C2862" s="69"/>
      <c r="D2862" s="69"/>
      <c r="E2862" s="185"/>
      <c r="F2862" s="69"/>
      <c r="G2862" s="185"/>
      <c r="H2862" s="69"/>
      <c r="I2862" s="69"/>
      <c r="J2862" s="69"/>
      <c r="K2862" s="69"/>
      <c r="L2862" s="69"/>
      <c r="M2862" s="69"/>
      <c r="N2862" s="69"/>
      <c r="O2862" s="69"/>
      <c r="P2862" s="69"/>
      <c r="Q2862" s="69"/>
      <c r="R2862" s="69"/>
      <c r="S2862" s="69"/>
      <c r="T2862" s="69"/>
      <c r="U2862" s="69"/>
      <c r="V2862" s="69"/>
      <c r="W2862" s="69"/>
      <c r="X2862" s="69"/>
      <c r="Y2862" s="69"/>
      <c r="Z2862" s="69"/>
      <c r="AA2862" s="69"/>
      <c r="AB2862" s="69"/>
      <c r="AC2862" s="69"/>
      <c r="AD2862" s="69"/>
      <c r="AE2862" s="69"/>
    </row>
    <row r="2863" spans="1:31" ht="22.5" customHeight="1">
      <c r="A2863" s="69"/>
      <c r="B2863" s="69"/>
      <c r="C2863" s="69"/>
      <c r="D2863" s="69"/>
      <c r="E2863" s="185"/>
      <c r="F2863" s="69"/>
      <c r="G2863" s="185"/>
      <c r="H2863" s="69"/>
      <c r="I2863" s="69"/>
      <c r="J2863" s="69"/>
      <c r="K2863" s="69"/>
      <c r="L2863" s="69"/>
      <c r="M2863" s="69"/>
      <c r="N2863" s="69"/>
      <c r="O2863" s="69"/>
      <c r="P2863" s="69"/>
      <c r="Q2863" s="69"/>
      <c r="R2863" s="69"/>
      <c r="S2863" s="69"/>
      <c r="T2863" s="69"/>
      <c r="U2863" s="69"/>
      <c r="V2863" s="69"/>
      <c r="W2863" s="69"/>
      <c r="X2863" s="69"/>
      <c r="Y2863" s="69"/>
      <c r="Z2863" s="69"/>
      <c r="AA2863" s="69"/>
      <c r="AB2863" s="69"/>
      <c r="AC2863" s="69"/>
      <c r="AD2863" s="69"/>
      <c r="AE2863" s="69"/>
    </row>
    <row r="2864" spans="1:31" ht="22.5" customHeight="1">
      <c r="A2864" s="69"/>
      <c r="B2864" s="69"/>
      <c r="C2864" s="69"/>
      <c r="D2864" s="69"/>
      <c r="E2864" s="185"/>
      <c r="F2864" s="69"/>
      <c r="G2864" s="185"/>
      <c r="H2864" s="69"/>
      <c r="I2864" s="69"/>
      <c r="J2864" s="69"/>
      <c r="K2864" s="69"/>
      <c r="L2864" s="69"/>
      <c r="M2864" s="69"/>
      <c r="N2864" s="69"/>
      <c r="O2864" s="69"/>
      <c r="P2864" s="69"/>
      <c r="Q2864" s="69"/>
      <c r="R2864" s="69"/>
      <c r="S2864" s="69"/>
      <c r="T2864" s="69"/>
      <c r="U2864" s="69"/>
      <c r="V2864" s="69"/>
      <c r="W2864" s="69"/>
      <c r="X2864" s="69"/>
      <c r="Y2864" s="69"/>
      <c r="Z2864" s="69"/>
      <c r="AA2864" s="69"/>
      <c r="AB2864" s="69"/>
      <c r="AC2864" s="69"/>
      <c r="AD2864" s="69"/>
      <c r="AE2864" s="69"/>
    </row>
    <row r="2865" spans="1:31" ht="22.5" customHeight="1">
      <c r="A2865" s="69"/>
      <c r="B2865" s="69"/>
      <c r="C2865" s="69"/>
      <c r="D2865" s="69"/>
      <c r="E2865" s="185"/>
      <c r="F2865" s="69"/>
      <c r="G2865" s="185"/>
      <c r="H2865" s="69"/>
      <c r="I2865" s="69"/>
      <c r="J2865" s="69"/>
      <c r="K2865" s="69"/>
      <c r="L2865" s="69"/>
      <c r="M2865" s="69"/>
      <c r="N2865" s="69"/>
      <c r="O2865" s="69"/>
      <c r="P2865" s="69"/>
      <c r="Q2865" s="69"/>
      <c r="R2865" s="69"/>
      <c r="S2865" s="69"/>
      <c r="T2865" s="69"/>
      <c r="U2865" s="69"/>
      <c r="V2865" s="69"/>
      <c r="W2865" s="69"/>
      <c r="X2865" s="69"/>
      <c r="Y2865" s="69"/>
      <c r="Z2865" s="69"/>
      <c r="AA2865" s="69"/>
      <c r="AB2865" s="69"/>
      <c r="AC2865" s="69"/>
      <c r="AD2865" s="69"/>
      <c r="AE2865" s="69"/>
    </row>
    <row r="2866" spans="1:31" ht="22.5" customHeight="1">
      <c r="A2866" s="69"/>
      <c r="B2866" s="69"/>
      <c r="C2866" s="69"/>
      <c r="D2866" s="69"/>
      <c r="E2866" s="185"/>
      <c r="F2866" s="69"/>
      <c r="G2866" s="185"/>
      <c r="H2866" s="69"/>
      <c r="I2866" s="69"/>
      <c r="J2866" s="69"/>
      <c r="K2866" s="69"/>
      <c r="L2866" s="69"/>
      <c r="M2866" s="69"/>
      <c r="N2866" s="69"/>
      <c r="O2866" s="69"/>
      <c r="P2866" s="69"/>
      <c r="Q2866" s="69"/>
      <c r="R2866" s="69"/>
      <c r="S2866" s="69"/>
      <c r="T2866" s="69"/>
      <c r="U2866" s="69"/>
      <c r="V2866" s="69"/>
      <c r="W2866" s="69"/>
      <c r="X2866" s="69"/>
      <c r="Y2866" s="69"/>
      <c r="Z2866" s="69"/>
      <c r="AA2866" s="69"/>
      <c r="AB2866" s="69"/>
      <c r="AC2866" s="69"/>
      <c r="AD2866" s="69"/>
      <c r="AE2866" s="69"/>
    </row>
    <row r="2867" spans="1:31" ht="22.5" customHeight="1">
      <c r="A2867" s="69"/>
      <c r="B2867" s="69"/>
      <c r="C2867" s="69"/>
      <c r="D2867" s="69"/>
      <c r="E2867" s="185"/>
      <c r="F2867" s="69"/>
      <c r="G2867" s="185"/>
      <c r="H2867" s="69"/>
      <c r="I2867" s="69"/>
      <c r="J2867" s="69"/>
      <c r="K2867" s="69"/>
      <c r="L2867" s="69"/>
      <c r="M2867" s="69"/>
      <c r="N2867" s="69"/>
      <c r="O2867" s="69"/>
      <c r="P2867" s="69"/>
      <c r="Q2867" s="69"/>
      <c r="R2867" s="69"/>
      <c r="S2867" s="69"/>
      <c r="T2867" s="69"/>
      <c r="U2867" s="69"/>
      <c r="V2867" s="69"/>
      <c r="W2867" s="69"/>
      <c r="X2867" s="69"/>
      <c r="Y2867" s="69"/>
      <c r="Z2867" s="69"/>
      <c r="AA2867" s="69"/>
      <c r="AB2867" s="69"/>
      <c r="AC2867" s="69"/>
      <c r="AD2867" s="69"/>
      <c r="AE2867" s="69"/>
    </row>
    <row r="2868" spans="1:31" ht="22.5" customHeight="1">
      <c r="A2868" s="69"/>
      <c r="B2868" s="69"/>
      <c r="C2868" s="69"/>
      <c r="D2868" s="69"/>
      <c r="E2868" s="185"/>
      <c r="F2868" s="69"/>
      <c r="G2868" s="185"/>
      <c r="H2868" s="69"/>
      <c r="I2868" s="69"/>
      <c r="J2868" s="69"/>
      <c r="K2868" s="69"/>
      <c r="L2868" s="69"/>
      <c r="M2868" s="69"/>
      <c r="N2868" s="69"/>
      <c r="O2868" s="69"/>
      <c r="P2868" s="69"/>
      <c r="Q2868" s="69"/>
      <c r="R2868" s="69"/>
      <c r="S2868" s="69"/>
      <c r="T2868" s="69"/>
      <c r="U2868" s="69"/>
      <c r="V2868" s="69"/>
      <c r="W2868" s="69"/>
      <c r="X2868" s="69"/>
      <c r="Y2868" s="69"/>
      <c r="Z2868" s="69"/>
      <c r="AA2868" s="69"/>
      <c r="AB2868" s="69"/>
      <c r="AC2868" s="69"/>
      <c r="AD2868" s="69"/>
      <c r="AE2868" s="69"/>
    </row>
    <row r="2869" spans="1:31" ht="22.5" customHeight="1">
      <c r="A2869" s="69"/>
      <c r="B2869" s="69"/>
      <c r="C2869" s="69"/>
      <c r="D2869" s="69"/>
      <c r="E2869" s="185"/>
      <c r="F2869" s="69"/>
      <c r="G2869" s="185"/>
      <c r="H2869" s="69"/>
      <c r="I2869" s="69"/>
      <c r="J2869" s="69"/>
      <c r="K2869" s="69"/>
      <c r="L2869" s="69"/>
      <c r="M2869" s="69"/>
      <c r="N2869" s="69"/>
      <c r="O2869" s="69"/>
      <c r="P2869" s="69"/>
      <c r="Q2869" s="69"/>
      <c r="R2869" s="69"/>
      <c r="S2869" s="69"/>
      <c r="T2869" s="69"/>
      <c r="U2869" s="69"/>
      <c r="V2869" s="69"/>
      <c r="W2869" s="69"/>
      <c r="X2869" s="69"/>
      <c r="Y2869" s="69"/>
      <c r="Z2869" s="69"/>
      <c r="AA2869" s="69"/>
      <c r="AB2869" s="69"/>
      <c r="AC2869" s="69"/>
      <c r="AD2869" s="69"/>
      <c r="AE2869" s="69"/>
    </row>
    <row r="2870" spans="1:31" ht="22.5" customHeight="1">
      <c r="A2870" s="69"/>
      <c r="B2870" s="69"/>
      <c r="C2870" s="69"/>
      <c r="D2870" s="69"/>
      <c r="E2870" s="185"/>
      <c r="F2870" s="69"/>
      <c r="G2870" s="185"/>
      <c r="H2870" s="69"/>
      <c r="I2870" s="69"/>
      <c r="J2870" s="69"/>
      <c r="K2870" s="69"/>
      <c r="L2870" s="69"/>
      <c r="M2870" s="69"/>
      <c r="N2870" s="69"/>
      <c r="O2870" s="69"/>
      <c r="P2870" s="69"/>
      <c r="Q2870" s="69"/>
      <c r="R2870" s="69"/>
      <c r="S2870" s="69"/>
      <c r="T2870" s="69"/>
      <c r="U2870" s="69"/>
      <c r="V2870" s="69"/>
      <c r="W2870" s="69"/>
      <c r="X2870" s="69"/>
      <c r="Y2870" s="69"/>
      <c r="Z2870" s="69"/>
      <c r="AA2870" s="69"/>
      <c r="AB2870" s="69"/>
      <c r="AC2870" s="69"/>
      <c r="AD2870" s="69"/>
      <c r="AE2870" s="69"/>
    </row>
    <row r="2871" spans="1:31" ht="22.5" customHeight="1">
      <c r="A2871" s="69"/>
      <c r="B2871" s="69"/>
      <c r="C2871" s="69"/>
      <c r="D2871" s="69"/>
      <c r="E2871" s="185"/>
      <c r="F2871" s="69"/>
      <c r="G2871" s="185"/>
      <c r="H2871" s="69"/>
      <c r="I2871" s="69"/>
      <c r="J2871" s="69"/>
      <c r="K2871" s="69"/>
      <c r="L2871" s="69"/>
      <c r="M2871" s="69"/>
      <c r="N2871" s="69"/>
      <c r="O2871" s="69"/>
      <c r="P2871" s="69"/>
      <c r="Q2871" s="69"/>
      <c r="R2871" s="69"/>
      <c r="S2871" s="69"/>
      <c r="T2871" s="69"/>
      <c r="U2871" s="69"/>
      <c r="V2871" s="69"/>
      <c r="W2871" s="69"/>
      <c r="X2871" s="69"/>
      <c r="Y2871" s="69"/>
      <c r="Z2871" s="69"/>
      <c r="AA2871" s="69"/>
      <c r="AB2871" s="69"/>
      <c r="AC2871" s="69"/>
      <c r="AD2871" s="69"/>
      <c r="AE2871" s="69"/>
    </row>
    <row r="2872" spans="1:31" ht="22.5" customHeight="1">
      <c r="A2872" s="69"/>
      <c r="B2872" s="69"/>
      <c r="C2872" s="69"/>
      <c r="D2872" s="69"/>
      <c r="E2872" s="185"/>
      <c r="F2872" s="69"/>
      <c r="G2872" s="185"/>
      <c r="H2872" s="69"/>
      <c r="I2872" s="69"/>
      <c r="J2872" s="69"/>
      <c r="K2872" s="69"/>
      <c r="L2872" s="69"/>
      <c r="M2872" s="69"/>
      <c r="N2872" s="69"/>
      <c r="O2872" s="69"/>
      <c r="P2872" s="69"/>
      <c r="Q2872" s="69"/>
      <c r="R2872" s="69"/>
      <c r="S2872" s="69"/>
      <c r="T2872" s="69"/>
      <c r="U2872" s="69"/>
      <c r="V2872" s="69"/>
      <c r="W2872" s="69"/>
      <c r="X2872" s="69"/>
      <c r="Y2872" s="69"/>
      <c r="Z2872" s="69"/>
      <c r="AA2872" s="69"/>
      <c r="AB2872" s="69"/>
      <c r="AC2872" s="69"/>
      <c r="AD2872" s="69"/>
      <c r="AE2872" s="69"/>
    </row>
    <row r="2873" spans="1:31" ht="22.5" customHeight="1">
      <c r="A2873" s="69"/>
      <c r="B2873" s="69"/>
      <c r="C2873" s="69"/>
      <c r="D2873" s="69"/>
      <c r="E2873" s="185"/>
      <c r="F2873" s="69"/>
      <c r="G2873" s="185"/>
      <c r="H2873" s="69"/>
      <c r="I2873" s="69"/>
      <c r="J2873" s="69"/>
      <c r="K2873" s="69"/>
      <c r="L2873" s="69"/>
      <c r="M2873" s="69"/>
      <c r="N2873" s="69"/>
      <c r="O2873" s="69"/>
      <c r="P2873" s="69"/>
      <c r="Q2873" s="69"/>
      <c r="R2873" s="69"/>
      <c r="S2873" s="69"/>
      <c r="T2873" s="69"/>
      <c r="U2873" s="69"/>
      <c r="V2873" s="69"/>
      <c r="W2873" s="69"/>
      <c r="X2873" s="69"/>
      <c r="Y2873" s="69"/>
      <c r="Z2873" s="69"/>
      <c r="AA2873" s="69"/>
      <c r="AB2873" s="69"/>
      <c r="AC2873" s="69"/>
      <c r="AD2873" s="69"/>
      <c r="AE2873" s="69"/>
    </row>
    <row r="2874" spans="1:31" ht="22.5" customHeight="1">
      <c r="A2874" s="69"/>
      <c r="B2874" s="69"/>
      <c r="C2874" s="69"/>
      <c r="D2874" s="69"/>
      <c r="E2874" s="185"/>
      <c r="F2874" s="69"/>
      <c r="G2874" s="185"/>
      <c r="H2874" s="69"/>
      <c r="I2874" s="69"/>
      <c r="J2874" s="69"/>
      <c r="K2874" s="69"/>
      <c r="L2874" s="69"/>
      <c r="M2874" s="69"/>
      <c r="N2874" s="69"/>
      <c r="O2874" s="69"/>
      <c r="P2874" s="69"/>
      <c r="Q2874" s="69"/>
      <c r="R2874" s="69"/>
      <c r="S2874" s="69"/>
      <c r="T2874" s="69"/>
      <c r="U2874" s="69"/>
      <c r="V2874" s="69"/>
      <c r="W2874" s="69"/>
      <c r="X2874" s="69"/>
      <c r="Y2874" s="69"/>
      <c r="Z2874" s="69"/>
      <c r="AA2874" s="69"/>
      <c r="AB2874" s="69"/>
      <c r="AC2874" s="69"/>
      <c r="AD2874" s="69"/>
      <c r="AE2874" s="69"/>
    </row>
    <row r="2875" spans="1:31" ht="22.5" customHeight="1">
      <c r="A2875" s="69"/>
      <c r="B2875" s="69"/>
      <c r="C2875" s="69"/>
      <c r="D2875" s="69"/>
      <c r="E2875" s="185"/>
      <c r="F2875" s="69"/>
      <c r="G2875" s="185"/>
      <c r="H2875" s="69"/>
      <c r="I2875" s="69"/>
      <c r="J2875" s="69"/>
      <c r="K2875" s="69"/>
      <c r="L2875" s="69"/>
      <c r="M2875" s="69"/>
      <c r="N2875" s="69"/>
      <c r="O2875" s="69"/>
      <c r="P2875" s="69"/>
      <c r="Q2875" s="69"/>
      <c r="R2875" s="69"/>
      <c r="S2875" s="69"/>
      <c r="T2875" s="69"/>
      <c r="U2875" s="69"/>
      <c r="V2875" s="69"/>
      <c r="W2875" s="69"/>
      <c r="X2875" s="69"/>
      <c r="Y2875" s="69"/>
      <c r="Z2875" s="69"/>
      <c r="AA2875" s="69"/>
      <c r="AB2875" s="69"/>
      <c r="AC2875" s="69"/>
      <c r="AD2875" s="69"/>
      <c r="AE2875" s="69"/>
    </row>
    <row r="2876" spans="1:31" ht="22.5" customHeight="1">
      <c r="A2876" s="69"/>
      <c r="B2876" s="69"/>
      <c r="C2876" s="69"/>
      <c r="D2876" s="69"/>
      <c r="E2876" s="185"/>
      <c r="F2876" s="69"/>
      <c r="G2876" s="185"/>
      <c r="H2876" s="69"/>
      <c r="I2876" s="69"/>
      <c r="J2876" s="69"/>
      <c r="K2876" s="69"/>
      <c r="L2876" s="69"/>
      <c r="M2876" s="69"/>
      <c r="N2876" s="69"/>
      <c r="O2876" s="69"/>
      <c r="P2876" s="69"/>
      <c r="Q2876" s="69"/>
      <c r="R2876" s="69"/>
      <c r="S2876" s="69"/>
      <c r="T2876" s="69"/>
      <c r="U2876" s="69"/>
      <c r="V2876" s="69"/>
      <c r="W2876" s="69"/>
      <c r="X2876" s="69"/>
      <c r="Y2876" s="69"/>
      <c r="Z2876" s="69"/>
      <c r="AA2876" s="69"/>
      <c r="AB2876" s="69"/>
      <c r="AC2876" s="69"/>
      <c r="AD2876" s="69"/>
      <c r="AE2876" s="69"/>
    </row>
    <row r="2877" spans="1:31" ht="22.5" customHeight="1">
      <c r="A2877" s="69"/>
      <c r="B2877" s="69"/>
      <c r="C2877" s="69"/>
      <c r="D2877" s="69"/>
      <c r="E2877" s="185"/>
      <c r="F2877" s="69"/>
      <c r="G2877" s="185"/>
      <c r="H2877" s="69"/>
      <c r="I2877" s="69"/>
      <c r="J2877" s="69"/>
      <c r="K2877" s="69"/>
      <c r="L2877" s="69"/>
      <c r="M2877" s="69"/>
      <c r="N2877" s="69"/>
      <c r="O2877" s="69"/>
      <c r="P2877" s="69"/>
      <c r="Q2877" s="69"/>
      <c r="R2877" s="69"/>
      <c r="S2877" s="69"/>
      <c r="T2877" s="69"/>
      <c r="U2877" s="69"/>
      <c r="V2877" s="69"/>
      <c r="W2877" s="69"/>
      <c r="X2877" s="69"/>
      <c r="Y2877" s="69"/>
      <c r="Z2877" s="69"/>
      <c r="AA2877" s="69"/>
      <c r="AB2877" s="69"/>
      <c r="AC2877" s="69"/>
      <c r="AD2877" s="69"/>
      <c r="AE2877" s="69"/>
    </row>
    <row r="2878" spans="1:31" ht="22.5" customHeight="1">
      <c r="A2878" s="69"/>
      <c r="B2878" s="69"/>
      <c r="C2878" s="69"/>
      <c r="D2878" s="69"/>
      <c r="E2878" s="185"/>
      <c r="F2878" s="69"/>
      <c r="G2878" s="185"/>
      <c r="H2878" s="69"/>
      <c r="I2878" s="69"/>
      <c r="J2878" s="69"/>
      <c r="K2878" s="69"/>
      <c r="L2878" s="69"/>
      <c r="M2878" s="69"/>
      <c r="N2878" s="69"/>
      <c r="O2878" s="69"/>
      <c r="P2878" s="69"/>
      <c r="Q2878" s="69"/>
      <c r="R2878" s="69"/>
      <c r="S2878" s="69"/>
      <c r="T2878" s="69"/>
      <c r="U2878" s="69"/>
      <c r="V2878" s="69"/>
      <c r="W2878" s="69"/>
      <c r="X2878" s="69"/>
      <c r="Y2878" s="69"/>
      <c r="Z2878" s="69"/>
      <c r="AA2878" s="69"/>
      <c r="AB2878" s="69"/>
      <c r="AC2878" s="69"/>
      <c r="AD2878" s="69"/>
      <c r="AE2878" s="69"/>
    </row>
    <row r="2879" spans="1:31" ht="22.5" customHeight="1">
      <c r="A2879" s="69"/>
      <c r="B2879" s="69"/>
      <c r="C2879" s="69"/>
      <c r="D2879" s="69"/>
      <c r="E2879" s="185"/>
      <c r="F2879" s="69"/>
      <c r="G2879" s="185"/>
      <c r="H2879" s="69"/>
      <c r="I2879" s="69"/>
      <c r="J2879" s="69"/>
      <c r="K2879" s="69"/>
      <c r="L2879" s="69"/>
      <c r="M2879" s="69"/>
      <c r="N2879" s="69"/>
      <c r="O2879" s="69"/>
      <c r="P2879" s="69"/>
      <c r="Q2879" s="69"/>
      <c r="R2879" s="69"/>
      <c r="S2879" s="69"/>
      <c r="T2879" s="69"/>
      <c r="U2879" s="69"/>
      <c r="V2879" s="69"/>
      <c r="W2879" s="69"/>
      <c r="X2879" s="69"/>
      <c r="Y2879" s="69"/>
      <c r="Z2879" s="69"/>
      <c r="AA2879" s="69"/>
      <c r="AB2879" s="69"/>
      <c r="AC2879" s="69"/>
      <c r="AD2879" s="69"/>
      <c r="AE2879" s="69"/>
    </row>
    <row r="2880" spans="1:31" ht="22.5" customHeight="1">
      <c r="A2880" s="69"/>
      <c r="B2880" s="69"/>
      <c r="C2880" s="69"/>
      <c r="D2880" s="69"/>
      <c r="E2880" s="185"/>
      <c r="F2880" s="69"/>
      <c r="G2880" s="185"/>
      <c r="H2880" s="69"/>
      <c r="I2880" s="69"/>
      <c r="J2880" s="69"/>
      <c r="K2880" s="69"/>
      <c r="L2880" s="69"/>
      <c r="M2880" s="69"/>
      <c r="N2880" s="69"/>
      <c r="O2880" s="69"/>
      <c r="P2880" s="69"/>
      <c r="Q2880" s="69"/>
      <c r="R2880" s="69"/>
      <c r="S2880" s="69"/>
      <c r="T2880" s="69"/>
      <c r="U2880" s="69"/>
      <c r="V2880" s="69"/>
      <c r="W2880" s="69"/>
      <c r="X2880" s="69"/>
      <c r="Y2880" s="69"/>
      <c r="Z2880" s="69"/>
      <c r="AA2880" s="69"/>
      <c r="AB2880" s="69"/>
      <c r="AC2880" s="69"/>
      <c r="AD2880" s="69"/>
      <c r="AE2880" s="69"/>
    </row>
    <row r="2881" spans="1:31" ht="22.5" customHeight="1">
      <c r="A2881" s="69"/>
      <c r="B2881" s="69"/>
      <c r="C2881" s="69"/>
      <c r="D2881" s="69"/>
      <c r="E2881" s="185"/>
      <c r="F2881" s="69"/>
      <c r="G2881" s="185"/>
      <c r="H2881" s="69"/>
      <c r="I2881" s="69"/>
      <c r="J2881" s="69"/>
      <c r="K2881" s="69"/>
      <c r="L2881" s="69"/>
      <c r="M2881" s="69"/>
      <c r="N2881" s="69"/>
      <c r="O2881" s="69"/>
      <c r="P2881" s="69"/>
      <c r="Q2881" s="69"/>
      <c r="R2881" s="69"/>
      <c r="S2881" s="69"/>
      <c r="T2881" s="69"/>
      <c r="U2881" s="69"/>
      <c r="V2881" s="69"/>
      <c r="W2881" s="69"/>
      <c r="X2881" s="69"/>
      <c r="Y2881" s="69"/>
      <c r="Z2881" s="69"/>
      <c r="AA2881" s="69"/>
      <c r="AB2881" s="69"/>
      <c r="AC2881" s="69"/>
      <c r="AD2881" s="69"/>
      <c r="AE2881" s="69"/>
    </row>
    <row r="2882" spans="1:31" ht="22.5" customHeight="1">
      <c r="A2882" s="69"/>
      <c r="B2882" s="69"/>
      <c r="C2882" s="69"/>
      <c r="D2882" s="69"/>
      <c r="E2882" s="185"/>
      <c r="F2882" s="69"/>
      <c r="G2882" s="185"/>
      <c r="H2882" s="69"/>
      <c r="I2882" s="69"/>
      <c r="J2882" s="69"/>
      <c r="K2882" s="69"/>
      <c r="L2882" s="69"/>
      <c r="M2882" s="69"/>
      <c r="N2882" s="69"/>
      <c r="O2882" s="69"/>
      <c r="P2882" s="69"/>
      <c r="Q2882" s="69"/>
      <c r="R2882" s="69"/>
      <c r="S2882" s="69"/>
      <c r="T2882" s="69"/>
      <c r="U2882" s="69"/>
      <c r="V2882" s="69"/>
      <c r="W2882" s="69"/>
      <c r="X2882" s="69"/>
      <c r="Y2882" s="69"/>
      <c r="Z2882" s="69"/>
      <c r="AA2882" s="69"/>
      <c r="AB2882" s="69"/>
      <c r="AC2882" s="69"/>
      <c r="AD2882" s="69"/>
      <c r="AE2882" s="69"/>
    </row>
    <row r="2883" spans="1:31" ht="22.5" customHeight="1">
      <c r="A2883" s="69"/>
      <c r="B2883" s="69"/>
      <c r="C2883" s="69"/>
      <c r="D2883" s="69"/>
      <c r="E2883" s="185"/>
      <c r="F2883" s="69"/>
      <c r="G2883" s="185"/>
      <c r="H2883" s="69"/>
      <c r="I2883" s="69"/>
      <c r="J2883" s="69"/>
      <c r="K2883" s="69"/>
      <c r="L2883" s="69"/>
      <c r="M2883" s="69"/>
      <c r="N2883" s="69"/>
      <c r="O2883" s="69"/>
      <c r="P2883" s="69"/>
      <c r="Q2883" s="69"/>
      <c r="R2883" s="69"/>
      <c r="S2883" s="69"/>
      <c r="T2883" s="69"/>
      <c r="U2883" s="69"/>
      <c r="V2883" s="69"/>
      <c r="W2883" s="69"/>
      <c r="X2883" s="69"/>
      <c r="Y2883" s="69"/>
      <c r="Z2883" s="69"/>
      <c r="AA2883" s="69"/>
      <c r="AB2883" s="69"/>
      <c r="AC2883" s="69"/>
      <c r="AD2883" s="69"/>
      <c r="AE2883" s="69"/>
    </row>
    <row r="2884" spans="1:31" ht="22.5" customHeight="1">
      <c r="A2884" s="69"/>
      <c r="B2884" s="69"/>
      <c r="C2884" s="69"/>
      <c r="D2884" s="69"/>
      <c r="E2884" s="185"/>
      <c r="F2884" s="69"/>
      <c r="G2884" s="185"/>
      <c r="H2884" s="69"/>
      <c r="I2884" s="69"/>
      <c r="J2884" s="69"/>
      <c r="K2884" s="69"/>
      <c r="L2884" s="69"/>
      <c r="M2884" s="69"/>
      <c r="N2884" s="69"/>
      <c r="O2884" s="69"/>
      <c r="P2884" s="69"/>
      <c r="Q2884" s="69"/>
      <c r="R2884" s="69"/>
      <c r="S2884" s="69"/>
      <c r="T2884" s="69"/>
      <c r="U2884" s="69"/>
      <c r="V2884" s="69"/>
      <c r="W2884" s="69"/>
      <c r="X2884" s="69"/>
      <c r="Y2884" s="69"/>
      <c r="Z2884" s="69"/>
      <c r="AA2884" s="69"/>
      <c r="AB2884" s="69"/>
      <c r="AC2884" s="69"/>
      <c r="AD2884" s="69"/>
      <c r="AE2884" s="69"/>
    </row>
    <row r="2885" spans="1:31" ht="22.5" customHeight="1">
      <c r="A2885" s="69"/>
      <c r="B2885" s="69"/>
      <c r="C2885" s="69"/>
      <c r="D2885" s="69"/>
      <c r="E2885" s="185"/>
      <c r="F2885" s="69"/>
      <c r="G2885" s="185"/>
      <c r="H2885" s="69"/>
      <c r="I2885" s="69"/>
      <c r="J2885" s="69"/>
      <c r="K2885" s="69"/>
      <c r="L2885" s="69"/>
      <c r="M2885" s="69"/>
      <c r="N2885" s="69"/>
      <c r="O2885" s="69"/>
      <c r="P2885" s="69"/>
      <c r="Q2885" s="69"/>
      <c r="R2885" s="69"/>
      <c r="S2885" s="69"/>
      <c r="T2885" s="69"/>
      <c r="U2885" s="69"/>
      <c r="V2885" s="69"/>
      <c r="W2885" s="69"/>
      <c r="X2885" s="69"/>
      <c r="Y2885" s="69"/>
      <c r="Z2885" s="69"/>
      <c r="AA2885" s="69"/>
      <c r="AB2885" s="69"/>
      <c r="AC2885" s="69"/>
      <c r="AD2885" s="69"/>
      <c r="AE2885" s="69"/>
    </row>
    <row r="2886" spans="1:31" ht="22.5" customHeight="1">
      <c r="A2886" s="69"/>
      <c r="B2886" s="69"/>
      <c r="C2886" s="69"/>
      <c r="D2886" s="69"/>
      <c r="E2886" s="185"/>
      <c r="F2886" s="69"/>
      <c r="G2886" s="185"/>
      <c r="H2886" s="69"/>
      <c r="I2886" s="69"/>
      <c r="J2886" s="69"/>
      <c r="K2886" s="69"/>
      <c r="L2886" s="69"/>
      <c r="M2886" s="69"/>
      <c r="N2886" s="69"/>
      <c r="O2886" s="69"/>
      <c r="P2886" s="69"/>
      <c r="Q2886" s="69"/>
      <c r="R2886" s="69"/>
      <c r="S2886" s="69"/>
      <c r="T2886" s="69"/>
      <c r="U2886" s="69"/>
      <c r="V2886" s="69"/>
      <c r="W2886" s="69"/>
      <c r="X2886" s="69"/>
      <c r="Y2886" s="69"/>
      <c r="Z2886" s="69"/>
      <c r="AA2886" s="69"/>
      <c r="AB2886" s="69"/>
      <c r="AC2886" s="69"/>
      <c r="AD2886" s="69"/>
      <c r="AE2886" s="69"/>
    </row>
    <row r="2887" spans="1:31" ht="22.5" customHeight="1">
      <c r="A2887" s="69"/>
      <c r="B2887" s="69"/>
      <c r="C2887" s="69"/>
      <c r="D2887" s="69"/>
      <c r="E2887" s="185"/>
      <c r="F2887" s="69"/>
      <c r="G2887" s="185"/>
      <c r="H2887" s="69"/>
      <c r="I2887" s="69"/>
      <c r="J2887" s="69"/>
      <c r="K2887" s="69"/>
      <c r="L2887" s="69"/>
      <c r="M2887" s="69"/>
      <c r="N2887" s="69"/>
      <c r="O2887" s="69"/>
      <c r="P2887" s="69"/>
      <c r="Q2887" s="69"/>
      <c r="R2887" s="69"/>
      <c r="S2887" s="69"/>
      <c r="T2887" s="69"/>
      <c r="U2887" s="69"/>
      <c r="V2887" s="69"/>
      <c r="W2887" s="69"/>
      <c r="X2887" s="69"/>
      <c r="Y2887" s="69"/>
      <c r="Z2887" s="69"/>
      <c r="AA2887" s="69"/>
      <c r="AB2887" s="69"/>
      <c r="AC2887" s="69"/>
      <c r="AD2887" s="69"/>
      <c r="AE2887" s="69"/>
    </row>
    <row r="2888" spans="1:31" ht="22.5" customHeight="1">
      <c r="A2888" s="69"/>
      <c r="B2888" s="69"/>
      <c r="C2888" s="69"/>
      <c r="D2888" s="69"/>
      <c r="E2888" s="185"/>
      <c r="F2888" s="69"/>
      <c r="G2888" s="185"/>
      <c r="H2888" s="69"/>
      <c r="I2888" s="69"/>
      <c r="J2888" s="69"/>
      <c r="K2888" s="69"/>
      <c r="L2888" s="69"/>
      <c r="M2888" s="69"/>
      <c r="N2888" s="69"/>
      <c r="O2888" s="69"/>
      <c r="P2888" s="69"/>
      <c r="Q2888" s="69"/>
      <c r="R2888" s="69"/>
      <c r="S2888" s="69"/>
      <c r="T2888" s="69"/>
      <c r="U2888" s="69"/>
      <c r="V2888" s="69"/>
      <c r="W2888" s="69"/>
      <c r="X2888" s="69"/>
      <c r="Y2888" s="69"/>
      <c r="Z2888" s="69"/>
      <c r="AA2888" s="69"/>
      <c r="AB2888" s="69"/>
      <c r="AC2888" s="69"/>
      <c r="AD2888" s="69"/>
      <c r="AE2888" s="69"/>
    </row>
    <row r="2889" spans="1:31" ht="22.5" customHeight="1">
      <c r="A2889" s="69"/>
      <c r="B2889" s="69"/>
      <c r="C2889" s="69"/>
      <c r="D2889" s="69"/>
      <c r="E2889" s="185"/>
      <c r="F2889" s="69"/>
      <c r="G2889" s="185"/>
      <c r="H2889" s="69"/>
      <c r="I2889" s="69"/>
      <c r="J2889" s="69"/>
      <c r="K2889" s="69"/>
      <c r="L2889" s="69"/>
      <c r="M2889" s="69"/>
      <c r="N2889" s="69"/>
      <c r="O2889" s="69"/>
      <c r="P2889" s="69"/>
      <c r="Q2889" s="69"/>
      <c r="R2889" s="69"/>
      <c r="S2889" s="69"/>
      <c r="T2889" s="69"/>
      <c r="U2889" s="69"/>
      <c r="V2889" s="69"/>
      <c r="W2889" s="69"/>
      <c r="X2889" s="69"/>
      <c r="Y2889" s="69"/>
      <c r="Z2889" s="69"/>
      <c r="AA2889" s="69"/>
      <c r="AB2889" s="69"/>
      <c r="AC2889" s="69"/>
      <c r="AD2889" s="69"/>
      <c r="AE2889" s="69"/>
    </row>
    <row r="2890" spans="1:31" ht="22.5" customHeight="1">
      <c r="A2890" s="69"/>
      <c r="B2890" s="69"/>
      <c r="C2890" s="69"/>
      <c r="D2890" s="69"/>
      <c r="E2890" s="185"/>
      <c r="F2890" s="69"/>
      <c r="G2890" s="185"/>
      <c r="H2890" s="69"/>
      <c r="I2890" s="69"/>
      <c r="J2890" s="69"/>
      <c r="K2890" s="69"/>
      <c r="L2890" s="69"/>
      <c r="M2890" s="69"/>
      <c r="N2890" s="69"/>
      <c r="O2890" s="69"/>
      <c r="P2890" s="69"/>
      <c r="Q2890" s="69"/>
      <c r="R2890" s="69"/>
      <c r="S2890" s="69"/>
      <c r="T2890" s="69"/>
      <c r="U2890" s="69"/>
      <c r="V2890" s="69"/>
      <c r="W2890" s="69"/>
      <c r="X2890" s="69"/>
      <c r="Y2890" s="69"/>
      <c r="Z2890" s="69"/>
      <c r="AA2890" s="69"/>
      <c r="AB2890" s="69"/>
      <c r="AC2890" s="69"/>
      <c r="AD2890" s="69"/>
      <c r="AE2890" s="69"/>
    </row>
    <row r="2891" spans="1:31" ht="22.5" customHeight="1">
      <c r="A2891" s="69"/>
      <c r="B2891" s="69"/>
      <c r="C2891" s="69"/>
      <c r="D2891" s="69"/>
      <c r="E2891" s="185"/>
      <c r="F2891" s="69"/>
      <c r="G2891" s="185"/>
      <c r="H2891" s="69"/>
      <c r="I2891" s="69"/>
      <c r="J2891" s="69"/>
      <c r="K2891" s="69"/>
      <c r="L2891" s="69"/>
      <c r="M2891" s="69"/>
      <c r="N2891" s="69"/>
      <c r="O2891" s="69"/>
      <c r="P2891" s="69"/>
      <c r="Q2891" s="69"/>
      <c r="R2891" s="69"/>
      <c r="S2891" s="69"/>
      <c r="T2891" s="69"/>
      <c r="U2891" s="69"/>
      <c r="V2891" s="69"/>
      <c r="W2891" s="69"/>
      <c r="X2891" s="69"/>
      <c r="Y2891" s="69"/>
      <c r="Z2891" s="69"/>
      <c r="AA2891" s="69"/>
      <c r="AB2891" s="69"/>
      <c r="AC2891" s="69"/>
      <c r="AD2891" s="69"/>
      <c r="AE2891" s="69"/>
    </row>
    <row r="2892" spans="1:31" ht="22.5" customHeight="1">
      <c r="A2892" s="69"/>
      <c r="B2892" s="69"/>
      <c r="C2892" s="69"/>
      <c r="D2892" s="69"/>
      <c r="E2892" s="185"/>
      <c r="F2892" s="69"/>
      <c r="G2892" s="185"/>
      <c r="H2892" s="69"/>
      <c r="I2892" s="69"/>
      <c r="J2892" s="69"/>
      <c r="K2892" s="69"/>
      <c r="L2892" s="69"/>
      <c r="M2892" s="69"/>
      <c r="N2892" s="69"/>
      <c r="O2892" s="69"/>
      <c r="P2892" s="69"/>
      <c r="Q2892" s="69"/>
      <c r="R2892" s="69"/>
      <c r="S2892" s="69"/>
      <c r="T2892" s="69"/>
      <c r="U2892" s="69"/>
      <c r="V2892" s="69"/>
      <c r="W2892" s="69"/>
      <c r="X2892" s="69"/>
      <c r="Y2892" s="69"/>
      <c r="Z2892" s="69"/>
      <c r="AA2892" s="69"/>
      <c r="AB2892" s="69"/>
      <c r="AC2892" s="69"/>
      <c r="AD2892" s="69"/>
      <c r="AE2892" s="69"/>
    </row>
    <row r="2893" spans="1:31" ht="22.5" customHeight="1">
      <c r="A2893" s="69"/>
      <c r="B2893" s="69"/>
      <c r="C2893" s="69"/>
      <c r="D2893" s="69"/>
      <c r="E2893" s="185"/>
      <c r="F2893" s="69"/>
      <c r="G2893" s="185"/>
      <c r="H2893" s="69"/>
      <c r="I2893" s="69"/>
      <c r="J2893" s="69"/>
      <c r="K2893" s="69"/>
      <c r="L2893" s="69"/>
      <c r="M2893" s="69"/>
      <c r="N2893" s="69"/>
      <c r="O2893" s="69"/>
      <c r="P2893" s="69"/>
      <c r="Q2893" s="69"/>
      <c r="R2893" s="69"/>
      <c r="S2893" s="69"/>
      <c r="T2893" s="69"/>
      <c r="U2893" s="69"/>
      <c r="V2893" s="69"/>
      <c r="W2893" s="69"/>
      <c r="X2893" s="69"/>
      <c r="Y2893" s="69"/>
      <c r="Z2893" s="69"/>
      <c r="AA2893" s="69"/>
      <c r="AB2893" s="69"/>
      <c r="AC2893" s="69"/>
      <c r="AD2893" s="69"/>
      <c r="AE2893" s="69"/>
    </row>
    <row r="2894" spans="1:31" ht="22.5" customHeight="1">
      <c r="A2894" s="69"/>
      <c r="B2894" s="69"/>
      <c r="C2894" s="69"/>
      <c r="D2894" s="69"/>
      <c r="E2894" s="185"/>
      <c r="F2894" s="69"/>
      <c r="G2894" s="185"/>
      <c r="H2894" s="69"/>
      <c r="I2894" s="69"/>
      <c r="J2894" s="69"/>
      <c r="K2894" s="69"/>
      <c r="L2894" s="69"/>
      <c r="M2894" s="69"/>
      <c r="N2894" s="69"/>
      <c r="O2894" s="69"/>
      <c r="P2894" s="69"/>
      <c r="Q2894" s="69"/>
      <c r="R2894" s="69"/>
      <c r="S2894" s="69"/>
      <c r="T2894" s="69"/>
      <c r="U2894" s="69"/>
      <c r="V2894" s="69"/>
      <c r="W2894" s="69"/>
      <c r="X2894" s="69"/>
      <c r="Y2894" s="69"/>
      <c r="Z2894" s="69"/>
      <c r="AA2894" s="69"/>
      <c r="AB2894" s="69"/>
      <c r="AC2894" s="69"/>
      <c r="AD2894" s="69"/>
      <c r="AE2894" s="69"/>
    </row>
    <row r="2895" spans="1:31" ht="22.5" customHeight="1">
      <c r="A2895" s="69"/>
      <c r="B2895" s="69"/>
      <c r="C2895" s="69"/>
      <c r="D2895" s="69"/>
      <c r="E2895" s="185"/>
      <c r="F2895" s="69"/>
      <c r="G2895" s="185"/>
      <c r="H2895" s="69"/>
      <c r="I2895" s="69"/>
      <c r="J2895" s="69"/>
      <c r="K2895" s="69"/>
      <c r="L2895" s="69"/>
      <c r="M2895" s="69"/>
      <c r="N2895" s="69"/>
      <c r="O2895" s="69"/>
      <c r="P2895" s="69"/>
      <c r="Q2895" s="69"/>
      <c r="R2895" s="69"/>
      <c r="S2895" s="69"/>
      <c r="T2895" s="69"/>
      <c r="U2895" s="69"/>
      <c r="V2895" s="69"/>
      <c r="W2895" s="69"/>
      <c r="X2895" s="69"/>
      <c r="Y2895" s="69"/>
      <c r="Z2895" s="69"/>
      <c r="AA2895" s="69"/>
      <c r="AB2895" s="69"/>
      <c r="AC2895" s="69"/>
      <c r="AD2895" s="69"/>
      <c r="AE2895" s="69"/>
    </row>
    <row r="2896" spans="1:31" ht="22.5" customHeight="1">
      <c r="A2896" s="69"/>
      <c r="B2896" s="69"/>
      <c r="C2896" s="69"/>
      <c r="D2896" s="69"/>
      <c r="E2896" s="185"/>
      <c r="F2896" s="69"/>
      <c r="G2896" s="185"/>
      <c r="H2896" s="69"/>
      <c r="I2896" s="69"/>
      <c r="J2896" s="69"/>
      <c r="K2896" s="69"/>
      <c r="L2896" s="69"/>
      <c r="M2896" s="69"/>
      <c r="N2896" s="69"/>
      <c r="O2896" s="69"/>
      <c r="P2896" s="69"/>
      <c r="Q2896" s="69"/>
      <c r="R2896" s="69"/>
      <c r="S2896" s="69"/>
      <c r="T2896" s="69"/>
      <c r="U2896" s="69"/>
      <c r="V2896" s="69"/>
      <c r="W2896" s="69"/>
      <c r="X2896" s="69"/>
      <c r="Y2896" s="69"/>
      <c r="Z2896" s="69"/>
      <c r="AA2896" s="69"/>
      <c r="AB2896" s="69"/>
      <c r="AC2896" s="69"/>
      <c r="AD2896" s="69"/>
      <c r="AE2896" s="69"/>
    </row>
    <row r="2897" spans="1:31" ht="22.5" customHeight="1">
      <c r="A2897" s="69"/>
      <c r="B2897" s="69"/>
      <c r="C2897" s="69"/>
      <c r="D2897" s="69"/>
      <c r="E2897" s="185"/>
      <c r="F2897" s="69"/>
      <c r="G2897" s="185"/>
      <c r="H2897" s="69"/>
      <c r="I2897" s="69"/>
      <c r="J2897" s="69"/>
      <c r="K2897" s="69"/>
      <c r="L2897" s="69"/>
      <c r="M2897" s="69"/>
      <c r="N2897" s="69"/>
      <c r="O2897" s="69"/>
      <c r="P2897" s="69"/>
      <c r="Q2897" s="69"/>
      <c r="R2897" s="69"/>
      <c r="S2897" s="69"/>
      <c r="T2897" s="69"/>
      <c r="U2897" s="69"/>
      <c r="V2897" s="69"/>
      <c r="W2897" s="69"/>
      <c r="X2897" s="69"/>
      <c r="Y2897" s="69"/>
      <c r="Z2897" s="69"/>
      <c r="AA2897" s="69"/>
      <c r="AB2897" s="69"/>
      <c r="AC2897" s="69"/>
      <c r="AD2897" s="69"/>
      <c r="AE2897" s="69"/>
    </row>
    <row r="2898" spans="1:31" ht="22.5" customHeight="1">
      <c r="A2898" s="69"/>
      <c r="B2898" s="69"/>
      <c r="C2898" s="69"/>
      <c r="D2898" s="69"/>
      <c r="E2898" s="185"/>
      <c r="F2898" s="69"/>
      <c r="G2898" s="185"/>
      <c r="H2898" s="69"/>
      <c r="I2898" s="69"/>
      <c r="J2898" s="69"/>
      <c r="K2898" s="69"/>
      <c r="L2898" s="69"/>
      <c r="M2898" s="69"/>
      <c r="N2898" s="69"/>
      <c r="O2898" s="69"/>
      <c r="P2898" s="69"/>
      <c r="Q2898" s="69"/>
      <c r="R2898" s="69"/>
      <c r="S2898" s="69"/>
      <c r="T2898" s="69"/>
      <c r="U2898" s="69"/>
      <c r="V2898" s="69"/>
      <c r="W2898" s="69"/>
      <c r="X2898" s="69"/>
      <c r="Y2898" s="69"/>
      <c r="Z2898" s="69"/>
      <c r="AA2898" s="69"/>
      <c r="AB2898" s="69"/>
      <c r="AC2898" s="69"/>
      <c r="AD2898" s="69"/>
      <c r="AE2898" s="69"/>
    </row>
    <row r="2899" spans="1:31" ht="22.5" customHeight="1">
      <c r="A2899" s="69"/>
      <c r="B2899" s="69"/>
      <c r="C2899" s="69"/>
      <c r="D2899" s="69"/>
      <c r="E2899" s="185"/>
      <c r="F2899" s="69"/>
      <c r="G2899" s="185"/>
      <c r="H2899" s="69"/>
      <c r="I2899" s="69"/>
      <c r="J2899" s="69"/>
      <c r="K2899" s="69"/>
      <c r="L2899" s="69"/>
      <c r="M2899" s="69"/>
      <c r="N2899" s="69"/>
      <c r="O2899" s="69"/>
      <c r="P2899" s="69"/>
      <c r="Q2899" s="69"/>
      <c r="R2899" s="69"/>
      <c r="S2899" s="69"/>
      <c r="T2899" s="69"/>
      <c r="U2899" s="69"/>
      <c r="V2899" s="69"/>
      <c r="W2899" s="69"/>
      <c r="X2899" s="69"/>
      <c r="Y2899" s="69"/>
      <c r="Z2899" s="69"/>
      <c r="AA2899" s="69"/>
      <c r="AB2899" s="69"/>
      <c r="AC2899" s="69"/>
      <c r="AD2899" s="69"/>
      <c r="AE2899" s="69"/>
    </row>
    <row r="2900" spans="1:31" ht="22.5" customHeight="1">
      <c r="A2900" s="69"/>
      <c r="B2900" s="69"/>
      <c r="C2900" s="69"/>
      <c r="D2900" s="69"/>
      <c r="E2900" s="185"/>
      <c r="F2900" s="69"/>
      <c r="G2900" s="185"/>
      <c r="H2900" s="69"/>
      <c r="I2900" s="69"/>
      <c r="J2900" s="69"/>
      <c r="K2900" s="69"/>
      <c r="L2900" s="69"/>
      <c r="M2900" s="69"/>
      <c r="N2900" s="69"/>
      <c r="O2900" s="69"/>
      <c r="P2900" s="69"/>
      <c r="Q2900" s="69"/>
      <c r="R2900" s="69"/>
      <c r="S2900" s="69"/>
      <c r="T2900" s="69"/>
      <c r="U2900" s="69"/>
      <c r="V2900" s="69"/>
      <c r="W2900" s="69"/>
      <c r="X2900" s="69"/>
      <c r="Y2900" s="69"/>
      <c r="Z2900" s="69"/>
      <c r="AA2900" s="69"/>
      <c r="AB2900" s="69"/>
      <c r="AC2900" s="69"/>
      <c r="AD2900" s="69"/>
      <c r="AE2900" s="69"/>
    </row>
    <row r="2901" spans="1:31" ht="22.5" customHeight="1">
      <c r="A2901" s="69"/>
      <c r="B2901" s="69"/>
      <c r="C2901" s="69"/>
      <c r="D2901" s="69"/>
      <c r="E2901" s="185"/>
      <c r="F2901" s="69"/>
      <c r="G2901" s="185"/>
      <c r="H2901" s="69"/>
      <c r="I2901" s="69"/>
      <c r="J2901" s="69"/>
      <c r="K2901" s="69"/>
      <c r="L2901" s="69"/>
      <c r="M2901" s="69"/>
      <c r="N2901" s="69"/>
      <c r="O2901" s="69"/>
      <c r="P2901" s="69"/>
      <c r="Q2901" s="69"/>
      <c r="R2901" s="69"/>
      <c r="S2901" s="69"/>
      <c r="T2901" s="69"/>
      <c r="U2901" s="69"/>
      <c r="V2901" s="69"/>
      <c r="W2901" s="69"/>
      <c r="X2901" s="69"/>
      <c r="Y2901" s="69"/>
      <c r="Z2901" s="69"/>
      <c r="AA2901" s="69"/>
      <c r="AB2901" s="69"/>
      <c r="AC2901" s="69"/>
      <c r="AD2901" s="69"/>
      <c r="AE2901" s="69"/>
    </row>
    <row r="2902" spans="1:31" ht="22.5" customHeight="1">
      <c r="A2902" s="69"/>
      <c r="B2902" s="69"/>
      <c r="C2902" s="69"/>
      <c r="D2902" s="69"/>
      <c r="E2902" s="185"/>
      <c r="F2902" s="69"/>
      <c r="G2902" s="185"/>
      <c r="H2902" s="69"/>
      <c r="I2902" s="69"/>
      <c r="J2902" s="69"/>
      <c r="K2902" s="69"/>
      <c r="L2902" s="69"/>
      <c r="M2902" s="69"/>
      <c r="N2902" s="69"/>
      <c r="O2902" s="69"/>
      <c r="P2902" s="69"/>
      <c r="Q2902" s="69"/>
      <c r="R2902" s="69"/>
      <c r="S2902" s="69"/>
      <c r="T2902" s="69"/>
      <c r="U2902" s="69"/>
      <c r="V2902" s="69"/>
      <c r="W2902" s="69"/>
      <c r="X2902" s="69"/>
      <c r="Y2902" s="69"/>
      <c r="Z2902" s="69"/>
      <c r="AA2902" s="69"/>
      <c r="AB2902" s="69"/>
      <c r="AC2902" s="69"/>
      <c r="AD2902" s="69"/>
      <c r="AE2902" s="69"/>
    </row>
    <row r="2903" spans="1:31" ht="22.5" customHeight="1">
      <c r="A2903" s="69"/>
      <c r="B2903" s="69"/>
      <c r="C2903" s="69"/>
      <c r="D2903" s="69"/>
      <c r="E2903" s="185"/>
      <c r="F2903" s="69"/>
      <c r="G2903" s="185"/>
      <c r="H2903" s="69"/>
      <c r="I2903" s="69"/>
      <c r="J2903" s="69"/>
      <c r="K2903" s="69"/>
      <c r="L2903" s="69"/>
      <c r="M2903" s="69"/>
      <c r="N2903" s="69"/>
      <c r="O2903" s="69"/>
      <c r="P2903" s="69"/>
      <c r="Q2903" s="69"/>
      <c r="R2903" s="69"/>
      <c r="S2903" s="69"/>
      <c r="T2903" s="69"/>
      <c r="U2903" s="69"/>
      <c r="V2903" s="69"/>
      <c r="W2903" s="69"/>
      <c r="X2903" s="69"/>
      <c r="Y2903" s="69"/>
      <c r="Z2903" s="69"/>
      <c r="AA2903" s="69"/>
      <c r="AB2903" s="69"/>
      <c r="AC2903" s="69"/>
      <c r="AD2903" s="69"/>
      <c r="AE2903" s="69"/>
    </row>
    <row r="2904" spans="1:31" ht="22.5" customHeight="1">
      <c r="A2904" s="69"/>
      <c r="B2904" s="69"/>
      <c r="C2904" s="69"/>
      <c r="D2904" s="69"/>
      <c r="E2904" s="185"/>
      <c r="F2904" s="69"/>
      <c r="G2904" s="185"/>
      <c r="H2904" s="69"/>
      <c r="I2904" s="69"/>
      <c r="J2904" s="69"/>
      <c r="K2904" s="69"/>
      <c r="L2904" s="69"/>
      <c r="M2904" s="69"/>
      <c r="N2904" s="69"/>
      <c r="O2904" s="69"/>
      <c r="P2904" s="69"/>
      <c r="Q2904" s="69"/>
      <c r="R2904" s="69"/>
      <c r="S2904" s="69"/>
      <c r="T2904" s="69"/>
      <c r="U2904" s="69"/>
      <c r="V2904" s="69"/>
      <c r="W2904" s="69"/>
      <c r="X2904" s="69"/>
      <c r="Y2904" s="69"/>
      <c r="Z2904" s="69"/>
      <c r="AA2904" s="69"/>
      <c r="AB2904" s="69"/>
      <c r="AC2904" s="69"/>
      <c r="AD2904" s="69"/>
      <c r="AE2904" s="69"/>
    </row>
    <row r="2905" spans="1:31" ht="22.5" customHeight="1">
      <c r="A2905" s="69"/>
      <c r="B2905" s="69"/>
      <c r="C2905" s="69"/>
      <c r="D2905" s="69"/>
      <c r="E2905" s="185"/>
      <c r="F2905" s="69"/>
      <c r="G2905" s="185"/>
      <c r="H2905" s="69"/>
      <c r="I2905" s="69"/>
      <c r="J2905" s="69"/>
      <c r="K2905" s="69"/>
      <c r="L2905" s="69"/>
      <c r="M2905" s="69"/>
      <c r="N2905" s="69"/>
      <c r="O2905" s="69"/>
      <c r="P2905" s="69"/>
      <c r="Q2905" s="69"/>
      <c r="R2905" s="69"/>
      <c r="S2905" s="69"/>
      <c r="T2905" s="69"/>
      <c r="U2905" s="69"/>
      <c r="V2905" s="69"/>
      <c r="W2905" s="69"/>
      <c r="X2905" s="69"/>
      <c r="Y2905" s="69"/>
      <c r="Z2905" s="69"/>
      <c r="AA2905" s="69"/>
      <c r="AB2905" s="69"/>
      <c r="AC2905" s="69"/>
      <c r="AD2905" s="69"/>
      <c r="AE2905" s="69"/>
    </row>
    <row r="2906" spans="1:31" ht="22.5" customHeight="1">
      <c r="A2906" s="69"/>
      <c r="B2906" s="69"/>
      <c r="C2906" s="69"/>
      <c r="D2906" s="69"/>
      <c r="E2906" s="185"/>
      <c r="F2906" s="69"/>
      <c r="G2906" s="185"/>
      <c r="H2906" s="69"/>
      <c r="I2906" s="69"/>
      <c r="J2906" s="69"/>
      <c r="K2906" s="69"/>
      <c r="L2906" s="69"/>
      <c r="M2906" s="69"/>
      <c r="N2906" s="69"/>
      <c r="O2906" s="69"/>
      <c r="P2906" s="69"/>
      <c r="Q2906" s="69"/>
      <c r="R2906" s="69"/>
      <c r="S2906" s="69"/>
      <c r="T2906" s="69"/>
      <c r="U2906" s="69"/>
      <c r="V2906" s="69"/>
      <c r="W2906" s="69"/>
      <c r="X2906" s="69"/>
      <c r="Y2906" s="69"/>
      <c r="Z2906" s="69"/>
      <c r="AA2906" s="69"/>
      <c r="AB2906" s="69"/>
      <c r="AC2906" s="69"/>
      <c r="AD2906" s="69"/>
      <c r="AE2906" s="69"/>
    </row>
    <row r="2907" spans="1:31" ht="22.5" customHeight="1">
      <c r="A2907" s="69"/>
      <c r="B2907" s="69"/>
      <c r="C2907" s="69"/>
      <c r="D2907" s="69"/>
      <c r="E2907" s="185"/>
      <c r="F2907" s="69"/>
      <c r="G2907" s="185"/>
      <c r="H2907" s="69"/>
      <c r="I2907" s="69"/>
      <c r="J2907" s="69"/>
      <c r="K2907" s="69"/>
      <c r="L2907" s="69"/>
      <c r="M2907" s="69"/>
      <c r="N2907" s="69"/>
      <c r="O2907" s="69"/>
      <c r="P2907" s="69"/>
      <c r="Q2907" s="69"/>
      <c r="R2907" s="69"/>
      <c r="S2907" s="69"/>
      <c r="T2907" s="69"/>
      <c r="U2907" s="69"/>
      <c r="V2907" s="69"/>
      <c r="W2907" s="69"/>
      <c r="X2907" s="69"/>
      <c r="Y2907" s="69"/>
      <c r="Z2907" s="69"/>
      <c r="AA2907" s="69"/>
      <c r="AB2907" s="69"/>
      <c r="AC2907" s="69"/>
      <c r="AD2907" s="69"/>
      <c r="AE2907" s="69"/>
    </row>
    <row r="2908" spans="1:31" ht="22.5" customHeight="1">
      <c r="A2908" s="69"/>
      <c r="B2908" s="69"/>
      <c r="C2908" s="69"/>
      <c r="D2908" s="69"/>
      <c r="E2908" s="185"/>
      <c r="F2908" s="69"/>
      <c r="G2908" s="185"/>
      <c r="H2908" s="69"/>
      <c r="I2908" s="69"/>
      <c r="J2908" s="69"/>
      <c r="K2908" s="69"/>
      <c r="L2908" s="69"/>
      <c r="M2908" s="69"/>
      <c r="N2908" s="69"/>
      <c r="O2908" s="69"/>
      <c r="P2908" s="69"/>
      <c r="Q2908" s="69"/>
      <c r="R2908" s="69"/>
      <c r="S2908" s="69"/>
      <c r="T2908" s="69"/>
      <c r="U2908" s="69"/>
      <c r="V2908" s="69"/>
      <c r="W2908" s="69"/>
      <c r="X2908" s="69"/>
      <c r="Y2908" s="69"/>
      <c r="Z2908" s="69"/>
      <c r="AA2908" s="69"/>
      <c r="AB2908" s="69"/>
      <c r="AC2908" s="69"/>
      <c r="AD2908" s="69"/>
      <c r="AE2908" s="69"/>
    </row>
    <row r="2909" spans="1:31" ht="22.5" customHeight="1">
      <c r="A2909" s="69"/>
      <c r="B2909" s="69"/>
      <c r="C2909" s="69"/>
      <c r="D2909" s="69"/>
      <c r="E2909" s="185"/>
      <c r="F2909" s="69"/>
      <c r="G2909" s="185"/>
      <c r="H2909" s="69"/>
      <c r="I2909" s="69"/>
      <c r="J2909" s="69"/>
      <c r="K2909" s="69"/>
      <c r="L2909" s="69"/>
      <c r="M2909" s="69"/>
      <c r="N2909" s="69"/>
      <c r="O2909" s="69"/>
      <c r="P2909" s="69"/>
      <c r="Q2909" s="69"/>
      <c r="R2909" s="69"/>
      <c r="S2909" s="69"/>
      <c r="T2909" s="69"/>
      <c r="U2909" s="69"/>
      <c r="V2909" s="69"/>
      <c r="W2909" s="69"/>
      <c r="X2909" s="69"/>
      <c r="Y2909" s="69"/>
      <c r="Z2909" s="69"/>
      <c r="AA2909" s="69"/>
      <c r="AB2909" s="69"/>
      <c r="AC2909" s="69"/>
      <c r="AD2909" s="69"/>
      <c r="AE2909" s="69"/>
    </row>
    <row r="2910" spans="1:31" ht="22.5" customHeight="1">
      <c r="A2910" s="69"/>
      <c r="B2910" s="69"/>
      <c r="C2910" s="69"/>
      <c r="D2910" s="69"/>
      <c r="E2910" s="185"/>
      <c r="F2910" s="69"/>
      <c r="G2910" s="185"/>
      <c r="H2910" s="69"/>
      <c r="I2910" s="69"/>
      <c r="J2910" s="69"/>
      <c r="K2910" s="69"/>
      <c r="L2910" s="69"/>
      <c r="M2910" s="69"/>
      <c r="N2910" s="69"/>
      <c r="O2910" s="69"/>
      <c r="P2910" s="69"/>
      <c r="Q2910" s="69"/>
      <c r="R2910" s="69"/>
      <c r="S2910" s="69"/>
      <c r="T2910" s="69"/>
      <c r="U2910" s="69"/>
      <c r="V2910" s="69"/>
      <c r="W2910" s="69"/>
      <c r="X2910" s="69"/>
      <c r="Y2910" s="69"/>
      <c r="Z2910" s="69"/>
      <c r="AA2910" s="69"/>
      <c r="AB2910" s="69"/>
      <c r="AC2910" s="69"/>
      <c r="AD2910" s="69"/>
      <c r="AE2910" s="69"/>
    </row>
    <row r="2911" spans="1:31" ht="22.5" customHeight="1">
      <c r="A2911" s="69"/>
      <c r="B2911" s="69"/>
      <c r="C2911" s="69"/>
      <c r="D2911" s="69"/>
      <c r="E2911" s="185"/>
      <c r="F2911" s="69"/>
      <c r="G2911" s="185"/>
      <c r="H2911" s="69"/>
      <c r="I2911" s="69"/>
      <c r="J2911" s="69"/>
      <c r="K2911" s="69"/>
      <c r="L2911" s="69"/>
      <c r="M2911" s="69"/>
      <c r="N2911" s="69"/>
      <c r="O2911" s="69"/>
      <c r="P2911" s="69"/>
      <c r="Q2911" s="69"/>
      <c r="R2911" s="69"/>
      <c r="S2911" s="69"/>
      <c r="T2911" s="69"/>
      <c r="U2911" s="69"/>
      <c r="V2911" s="69"/>
      <c r="W2911" s="69"/>
      <c r="X2911" s="69"/>
      <c r="Y2911" s="69"/>
      <c r="Z2911" s="69"/>
      <c r="AA2911" s="69"/>
      <c r="AB2911" s="69"/>
      <c r="AC2911" s="69"/>
      <c r="AD2911" s="69"/>
      <c r="AE2911" s="69"/>
    </row>
    <row r="2912" spans="1:31" ht="22.5" customHeight="1">
      <c r="A2912" s="69"/>
      <c r="B2912" s="69"/>
      <c r="C2912" s="69"/>
      <c r="D2912" s="69"/>
      <c r="E2912" s="185"/>
      <c r="F2912" s="69"/>
      <c r="G2912" s="185"/>
      <c r="H2912" s="69"/>
      <c r="I2912" s="69"/>
      <c r="J2912" s="69"/>
      <c r="K2912" s="69"/>
      <c r="L2912" s="69"/>
      <c r="M2912" s="69"/>
      <c r="N2912" s="69"/>
      <c r="O2912" s="69"/>
      <c r="P2912" s="69"/>
      <c r="Q2912" s="69"/>
      <c r="R2912" s="69"/>
      <c r="S2912" s="69"/>
      <c r="T2912" s="69"/>
      <c r="U2912" s="69"/>
      <c r="V2912" s="69"/>
      <c r="W2912" s="69"/>
      <c r="X2912" s="69"/>
      <c r="Y2912" s="69"/>
      <c r="Z2912" s="69"/>
      <c r="AA2912" s="69"/>
      <c r="AB2912" s="69"/>
      <c r="AC2912" s="69"/>
      <c r="AD2912" s="69"/>
      <c r="AE2912" s="69"/>
    </row>
    <row r="2913" spans="1:31" ht="22.5" customHeight="1">
      <c r="A2913" s="69"/>
      <c r="B2913" s="69"/>
      <c r="C2913" s="69"/>
      <c r="D2913" s="69"/>
      <c r="E2913" s="185"/>
      <c r="F2913" s="69"/>
      <c r="G2913" s="185"/>
      <c r="H2913" s="69"/>
      <c r="I2913" s="69"/>
      <c r="J2913" s="69"/>
      <c r="K2913" s="69"/>
      <c r="L2913" s="69"/>
      <c r="M2913" s="69"/>
      <c r="N2913" s="69"/>
      <c r="O2913" s="69"/>
      <c r="P2913" s="69"/>
      <c r="Q2913" s="69"/>
      <c r="R2913" s="69"/>
      <c r="S2913" s="69"/>
      <c r="T2913" s="69"/>
      <c r="U2913" s="69"/>
      <c r="V2913" s="69"/>
      <c r="W2913" s="69"/>
      <c r="X2913" s="69"/>
      <c r="Y2913" s="69"/>
      <c r="Z2913" s="69"/>
      <c r="AA2913" s="69"/>
      <c r="AB2913" s="69"/>
      <c r="AC2913" s="69"/>
      <c r="AD2913" s="69"/>
      <c r="AE2913" s="69"/>
    </row>
    <row r="2914" spans="1:31" ht="22.5" customHeight="1">
      <c r="A2914" s="69"/>
      <c r="B2914" s="69"/>
      <c r="C2914" s="69"/>
      <c r="D2914" s="69"/>
      <c r="E2914" s="185"/>
      <c r="F2914" s="69"/>
      <c r="G2914" s="185"/>
      <c r="H2914" s="69"/>
      <c r="I2914" s="69"/>
      <c r="J2914" s="69"/>
      <c r="K2914" s="69"/>
      <c r="L2914" s="69"/>
      <c r="M2914" s="69"/>
      <c r="N2914" s="69"/>
      <c r="O2914" s="69"/>
      <c r="P2914" s="69"/>
      <c r="Q2914" s="69"/>
      <c r="R2914" s="69"/>
      <c r="S2914" s="69"/>
      <c r="T2914" s="69"/>
      <c r="U2914" s="69"/>
      <c r="V2914" s="69"/>
      <c r="W2914" s="69"/>
      <c r="X2914" s="69"/>
      <c r="Y2914" s="69"/>
      <c r="Z2914" s="69"/>
      <c r="AA2914" s="69"/>
      <c r="AB2914" s="69"/>
      <c r="AC2914" s="69"/>
      <c r="AD2914" s="69"/>
      <c r="AE2914" s="69"/>
    </row>
    <row r="2915" spans="1:31" ht="22.5" customHeight="1">
      <c r="A2915" s="69"/>
      <c r="B2915" s="69"/>
      <c r="C2915" s="69"/>
      <c r="D2915" s="69"/>
      <c r="E2915" s="185"/>
      <c r="F2915" s="69"/>
      <c r="G2915" s="185"/>
      <c r="H2915" s="69"/>
      <c r="I2915" s="69"/>
      <c r="J2915" s="69"/>
      <c r="K2915" s="69"/>
      <c r="L2915" s="69"/>
      <c r="M2915" s="69"/>
      <c r="N2915" s="69"/>
      <c r="O2915" s="69"/>
      <c r="P2915" s="69"/>
      <c r="Q2915" s="69"/>
      <c r="R2915" s="69"/>
      <c r="S2915" s="69"/>
      <c r="T2915" s="69"/>
      <c r="U2915" s="69"/>
      <c r="V2915" s="69"/>
      <c r="W2915" s="69"/>
      <c r="X2915" s="69"/>
      <c r="Y2915" s="69"/>
      <c r="Z2915" s="69"/>
      <c r="AA2915" s="69"/>
      <c r="AB2915" s="69"/>
      <c r="AC2915" s="69"/>
      <c r="AD2915" s="69"/>
      <c r="AE2915" s="69"/>
    </row>
    <row r="2916" spans="1:31" ht="22.5" customHeight="1">
      <c r="A2916" s="69"/>
      <c r="B2916" s="69"/>
      <c r="C2916" s="69"/>
      <c r="D2916" s="69"/>
      <c r="E2916" s="185"/>
      <c r="F2916" s="69"/>
      <c r="G2916" s="185"/>
      <c r="H2916" s="69"/>
      <c r="I2916" s="69"/>
      <c r="J2916" s="69"/>
      <c r="K2916" s="69"/>
      <c r="L2916" s="69"/>
      <c r="M2916" s="69"/>
      <c r="N2916" s="69"/>
      <c r="O2916" s="69"/>
      <c r="P2916" s="69"/>
      <c r="Q2916" s="69"/>
      <c r="R2916" s="69"/>
      <c r="S2916" s="69"/>
      <c r="T2916" s="69"/>
      <c r="U2916" s="69"/>
      <c r="V2916" s="69"/>
      <c r="W2916" s="69"/>
      <c r="X2916" s="69"/>
      <c r="Y2916" s="69"/>
      <c r="Z2916" s="69"/>
      <c r="AA2916" s="69"/>
      <c r="AB2916" s="69"/>
      <c r="AC2916" s="69"/>
      <c r="AD2916" s="69"/>
      <c r="AE2916" s="69"/>
    </row>
    <row r="2917" spans="1:31" ht="22.5" customHeight="1">
      <c r="A2917" s="69"/>
      <c r="B2917" s="69"/>
      <c r="C2917" s="69"/>
      <c r="D2917" s="69"/>
      <c r="E2917" s="185"/>
      <c r="F2917" s="69"/>
      <c r="G2917" s="185"/>
      <c r="H2917" s="69"/>
      <c r="I2917" s="69"/>
      <c r="J2917" s="69"/>
      <c r="K2917" s="69"/>
      <c r="L2917" s="69"/>
      <c r="M2917" s="69"/>
      <c r="N2917" s="69"/>
      <c r="O2917" s="69"/>
      <c r="P2917" s="69"/>
      <c r="Q2917" s="69"/>
      <c r="R2917" s="69"/>
      <c r="S2917" s="69"/>
      <c r="T2917" s="69"/>
      <c r="U2917" s="69"/>
      <c r="V2917" s="69"/>
      <c r="W2917" s="69"/>
      <c r="X2917" s="69"/>
      <c r="Y2917" s="69"/>
      <c r="Z2917" s="69"/>
      <c r="AA2917" s="69"/>
      <c r="AB2917" s="69"/>
      <c r="AC2917" s="69"/>
      <c r="AD2917" s="69"/>
      <c r="AE2917" s="69"/>
    </row>
    <row r="2918" spans="1:31" ht="22.5" customHeight="1">
      <c r="A2918" s="69"/>
      <c r="B2918" s="69"/>
      <c r="C2918" s="69"/>
      <c r="D2918" s="69"/>
      <c r="E2918" s="185"/>
      <c r="F2918" s="69"/>
      <c r="G2918" s="185"/>
      <c r="H2918" s="69"/>
      <c r="I2918" s="69"/>
      <c r="J2918" s="69"/>
      <c r="K2918" s="69"/>
      <c r="L2918" s="69"/>
      <c r="M2918" s="69"/>
      <c r="N2918" s="69"/>
      <c r="O2918" s="69"/>
      <c r="P2918" s="69"/>
      <c r="Q2918" s="69"/>
      <c r="R2918" s="69"/>
      <c r="S2918" s="69"/>
      <c r="T2918" s="69"/>
      <c r="U2918" s="69"/>
      <c r="V2918" s="69"/>
      <c r="W2918" s="69"/>
      <c r="X2918" s="69"/>
      <c r="Y2918" s="69"/>
      <c r="Z2918" s="69"/>
      <c r="AA2918" s="69"/>
      <c r="AB2918" s="69"/>
      <c r="AC2918" s="69"/>
      <c r="AD2918" s="69"/>
      <c r="AE2918" s="69"/>
    </row>
    <row r="2919" spans="1:31" ht="22.5" customHeight="1">
      <c r="A2919" s="69"/>
      <c r="B2919" s="69"/>
      <c r="C2919" s="69"/>
      <c r="D2919" s="69"/>
      <c r="E2919" s="185"/>
      <c r="F2919" s="69"/>
      <c r="G2919" s="185"/>
      <c r="H2919" s="69"/>
      <c r="I2919" s="69"/>
      <c r="J2919" s="69"/>
      <c r="K2919" s="69"/>
      <c r="L2919" s="69"/>
      <c r="M2919" s="69"/>
      <c r="N2919" s="69"/>
      <c r="O2919" s="69"/>
      <c r="P2919" s="69"/>
      <c r="Q2919" s="69"/>
      <c r="R2919" s="69"/>
      <c r="S2919" s="69"/>
      <c r="T2919" s="69"/>
      <c r="U2919" s="69"/>
      <c r="V2919" s="69"/>
      <c r="W2919" s="69"/>
      <c r="X2919" s="69"/>
      <c r="Y2919" s="69"/>
      <c r="Z2919" s="69"/>
      <c r="AA2919" s="69"/>
      <c r="AB2919" s="69"/>
      <c r="AC2919" s="69"/>
      <c r="AD2919" s="69"/>
      <c r="AE2919" s="69"/>
    </row>
    <row r="2920" spans="1:31" ht="22.5" customHeight="1">
      <c r="A2920" s="69"/>
      <c r="B2920" s="69"/>
      <c r="C2920" s="69"/>
      <c r="D2920" s="69"/>
      <c r="E2920" s="185"/>
      <c r="F2920" s="69"/>
      <c r="G2920" s="185"/>
      <c r="H2920" s="69"/>
      <c r="I2920" s="69"/>
      <c r="J2920" s="69"/>
      <c r="K2920" s="69"/>
      <c r="L2920" s="69"/>
      <c r="M2920" s="69"/>
      <c r="N2920" s="69"/>
      <c r="O2920" s="69"/>
      <c r="P2920" s="69"/>
      <c r="Q2920" s="69"/>
      <c r="R2920" s="69"/>
      <c r="S2920" s="69"/>
      <c r="T2920" s="69"/>
      <c r="U2920" s="69"/>
      <c r="V2920" s="69"/>
      <c r="W2920" s="69"/>
      <c r="X2920" s="69"/>
      <c r="Y2920" s="69"/>
      <c r="Z2920" s="69"/>
      <c r="AA2920" s="69"/>
      <c r="AB2920" s="69"/>
      <c r="AC2920" s="69"/>
      <c r="AD2920" s="69"/>
      <c r="AE2920" s="69"/>
    </row>
    <row r="2921" spans="1:31" ht="22.5" customHeight="1">
      <c r="A2921" s="69"/>
      <c r="B2921" s="69"/>
      <c r="C2921" s="69"/>
      <c r="D2921" s="69"/>
      <c r="E2921" s="185"/>
      <c r="F2921" s="69"/>
      <c r="G2921" s="185"/>
      <c r="H2921" s="69"/>
      <c r="I2921" s="69"/>
      <c r="J2921" s="69"/>
      <c r="K2921" s="69"/>
      <c r="L2921" s="69"/>
      <c r="M2921" s="69"/>
      <c r="N2921" s="69"/>
      <c r="O2921" s="69"/>
      <c r="P2921" s="69"/>
      <c r="Q2921" s="69"/>
      <c r="R2921" s="69"/>
      <c r="S2921" s="69"/>
      <c r="T2921" s="69"/>
      <c r="U2921" s="69"/>
      <c r="V2921" s="69"/>
      <c r="W2921" s="69"/>
      <c r="X2921" s="69"/>
      <c r="Y2921" s="69"/>
      <c r="Z2921" s="69"/>
      <c r="AA2921" s="69"/>
      <c r="AB2921" s="69"/>
      <c r="AC2921" s="69"/>
      <c r="AD2921" s="69"/>
      <c r="AE2921" s="69"/>
    </row>
    <row r="2922" spans="1:31" ht="22.5" customHeight="1">
      <c r="A2922" s="69"/>
      <c r="B2922" s="69"/>
      <c r="C2922" s="69"/>
      <c r="D2922" s="69"/>
      <c r="E2922" s="185"/>
      <c r="F2922" s="69"/>
      <c r="G2922" s="185"/>
      <c r="H2922" s="69"/>
      <c r="I2922" s="69"/>
      <c r="J2922" s="69"/>
      <c r="K2922" s="69"/>
      <c r="L2922" s="69"/>
      <c r="M2922" s="69"/>
      <c r="N2922" s="69"/>
      <c r="O2922" s="69"/>
      <c r="P2922" s="69"/>
      <c r="Q2922" s="69"/>
      <c r="R2922" s="69"/>
      <c r="S2922" s="69"/>
      <c r="T2922" s="69"/>
      <c r="U2922" s="69"/>
      <c r="V2922" s="69"/>
      <c r="W2922" s="69"/>
      <c r="X2922" s="69"/>
      <c r="Y2922" s="69"/>
      <c r="Z2922" s="69"/>
      <c r="AA2922" s="69"/>
      <c r="AB2922" s="69"/>
      <c r="AC2922" s="69"/>
      <c r="AD2922" s="69"/>
      <c r="AE2922" s="69"/>
    </row>
    <row r="2923" spans="1:31" ht="22.5" customHeight="1">
      <c r="A2923" s="69"/>
      <c r="B2923" s="69"/>
      <c r="C2923" s="69"/>
      <c r="D2923" s="69"/>
      <c r="E2923" s="185"/>
      <c r="F2923" s="69"/>
      <c r="G2923" s="185"/>
      <c r="H2923" s="69"/>
      <c r="I2923" s="69"/>
      <c r="J2923" s="69"/>
      <c r="K2923" s="69"/>
      <c r="L2923" s="69"/>
      <c r="M2923" s="69"/>
      <c r="N2923" s="69"/>
      <c r="O2923" s="69"/>
      <c r="P2923" s="69"/>
      <c r="Q2923" s="69"/>
      <c r="R2923" s="69"/>
      <c r="S2923" s="69"/>
      <c r="T2923" s="69"/>
      <c r="U2923" s="69"/>
      <c r="V2923" s="69"/>
      <c r="W2923" s="69"/>
      <c r="X2923" s="69"/>
      <c r="Y2923" s="69"/>
      <c r="Z2923" s="69"/>
      <c r="AA2923" s="69"/>
      <c r="AB2923" s="69"/>
      <c r="AC2923" s="69"/>
      <c r="AD2923" s="69"/>
      <c r="AE2923" s="69"/>
    </row>
    <row r="2924" spans="1:31" ht="22.5" customHeight="1">
      <c r="A2924" s="69"/>
      <c r="B2924" s="69"/>
      <c r="C2924" s="69"/>
      <c r="D2924" s="69"/>
      <c r="E2924" s="185"/>
      <c r="F2924" s="69"/>
      <c r="G2924" s="185"/>
      <c r="H2924" s="69"/>
      <c r="I2924" s="69"/>
      <c r="J2924" s="69"/>
      <c r="K2924" s="69"/>
      <c r="L2924" s="69"/>
      <c r="M2924" s="69"/>
      <c r="N2924" s="69"/>
      <c r="O2924" s="69"/>
      <c r="P2924" s="69"/>
      <c r="Q2924" s="69"/>
      <c r="R2924" s="69"/>
      <c r="S2924" s="69"/>
      <c r="T2924" s="69"/>
      <c r="U2924" s="69"/>
      <c r="V2924" s="69"/>
      <c r="W2924" s="69"/>
      <c r="X2924" s="69"/>
      <c r="Y2924" s="69"/>
      <c r="Z2924" s="69"/>
      <c r="AA2924" s="69"/>
      <c r="AB2924" s="69"/>
      <c r="AC2924" s="69"/>
      <c r="AD2924" s="69"/>
      <c r="AE2924" s="69"/>
    </row>
    <row r="2925" spans="1:31" ht="22.5" customHeight="1">
      <c r="A2925" s="69"/>
      <c r="B2925" s="69"/>
      <c r="C2925" s="69"/>
      <c r="D2925" s="69"/>
      <c r="E2925" s="185"/>
      <c r="F2925" s="69"/>
      <c r="G2925" s="185"/>
      <c r="H2925" s="69"/>
      <c r="I2925" s="69"/>
      <c r="J2925" s="69"/>
      <c r="K2925" s="69"/>
      <c r="L2925" s="69"/>
      <c r="M2925" s="69"/>
      <c r="N2925" s="69"/>
      <c r="O2925" s="69"/>
      <c r="P2925" s="69"/>
      <c r="Q2925" s="69"/>
      <c r="R2925" s="69"/>
      <c r="S2925" s="69"/>
      <c r="T2925" s="69"/>
      <c r="U2925" s="69"/>
      <c r="V2925" s="69"/>
      <c r="W2925" s="69"/>
      <c r="X2925" s="69"/>
      <c r="Y2925" s="69"/>
      <c r="Z2925" s="69"/>
      <c r="AA2925" s="69"/>
      <c r="AB2925" s="69"/>
      <c r="AC2925" s="69"/>
      <c r="AD2925" s="69"/>
      <c r="AE2925" s="69"/>
    </row>
    <row r="2926" spans="1:31" ht="22.5" customHeight="1">
      <c r="A2926" s="69"/>
      <c r="B2926" s="69"/>
      <c r="C2926" s="69"/>
      <c r="D2926" s="69"/>
      <c r="E2926" s="185"/>
      <c r="F2926" s="69"/>
      <c r="G2926" s="185"/>
      <c r="H2926" s="69"/>
      <c r="I2926" s="69"/>
      <c r="J2926" s="69"/>
      <c r="K2926" s="69"/>
      <c r="L2926" s="69"/>
      <c r="M2926" s="69"/>
      <c r="N2926" s="69"/>
      <c r="O2926" s="69"/>
      <c r="P2926" s="69"/>
      <c r="Q2926" s="69"/>
      <c r="R2926" s="69"/>
      <c r="S2926" s="69"/>
      <c r="T2926" s="69"/>
      <c r="U2926" s="69"/>
      <c r="V2926" s="69"/>
      <c r="W2926" s="69"/>
      <c r="X2926" s="69"/>
      <c r="Y2926" s="69"/>
      <c r="Z2926" s="69"/>
      <c r="AA2926" s="69"/>
      <c r="AB2926" s="69"/>
      <c r="AC2926" s="69"/>
      <c r="AD2926" s="69"/>
      <c r="AE2926" s="69"/>
    </row>
    <row r="2927" spans="1:31" ht="22.5" customHeight="1">
      <c r="A2927" s="69"/>
      <c r="B2927" s="69"/>
      <c r="C2927" s="69"/>
      <c r="D2927" s="69"/>
      <c r="E2927" s="185"/>
      <c r="F2927" s="69"/>
      <c r="G2927" s="185"/>
      <c r="H2927" s="69"/>
      <c r="I2927" s="69"/>
      <c r="J2927" s="69"/>
      <c r="K2927" s="69"/>
      <c r="L2927" s="69"/>
      <c r="M2927" s="69"/>
      <c r="N2927" s="69"/>
      <c r="O2927" s="69"/>
      <c r="P2927" s="69"/>
      <c r="Q2927" s="69"/>
      <c r="R2927" s="69"/>
      <c r="S2927" s="69"/>
      <c r="T2927" s="69"/>
      <c r="U2927" s="69"/>
      <c r="V2927" s="69"/>
      <c r="W2927" s="69"/>
      <c r="X2927" s="69"/>
      <c r="Y2927" s="69"/>
      <c r="Z2927" s="69"/>
      <c r="AA2927" s="69"/>
      <c r="AB2927" s="69"/>
      <c r="AC2927" s="69"/>
      <c r="AD2927" s="69"/>
      <c r="AE2927" s="69"/>
    </row>
    <row r="2928" spans="1:31" ht="22.5" customHeight="1">
      <c r="A2928" s="69"/>
      <c r="B2928" s="69"/>
      <c r="C2928" s="69"/>
      <c r="D2928" s="69"/>
      <c r="E2928" s="185"/>
      <c r="F2928" s="69"/>
      <c r="G2928" s="185"/>
      <c r="H2928" s="69"/>
      <c r="I2928" s="69"/>
      <c r="J2928" s="69"/>
      <c r="K2928" s="69"/>
      <c r="L2928" s="69"/>
      <c r="M2928" s="69"/>
      <c r="N2928" s="69"/>
      <c r="O2928" s="69"/>
      <c r="P2928" s="69"/>
      <c r="Q2928" s="69"/>
      <c r="R2928" s="69"/>
      <c r="S2928" s="69"/>
      <c r="T2928" s="69"/>
      <c r="U2928" s="69"/>
      <c r="V2928" s="69"/>
      <c r="W2928" s="69"/>
      <c r="X2928" s="69"/>
      <c r="Y2928" s="69"/>
      <c r="Z2928" s="69"/>
      <c r="AA2928" s="69"/>
      <c r="AB2928" s="69"/>
      <c r="AC2928" s="69"/>
      <c r="AD2928" s="69"/>
      <c r="AE2928" s="69"/>
    </row>
    <row r="2929" spans="1:31" ht="22.5" customHeight="1">
      <c r="A2929" s="69"/>
      <c r="B2929" s="69"/>
      <c r="C2929" s="69"/>
      <c r="D2929" s="69"/>
      <c r="E2929" s="185"/>
      <c r="F2929" s="69"/>
      <c r="G2929" s="185"/>
      <c r="H2929" s="69"/>
      <c r="I2929" s="69"/>
      <c r="J2929" s="69"/>
      <c r="K2929" s="69"/>
      <c r="L2929" s="69"/>
      <c r="M2929" s="69"/>
      <c r="N2929" s="69"/>
      <c r="O2929" s="69"/>
      <c r="P2929" s="69"/>
      <c r="Q2929" s="69"/>
      <c r="R2929" s="69"/>
      <c r="S2929" s="69"/>
      <c r="T2929" s="69"/>
      <c r="U2929" s="69"/>
      <c r="V2929" s="69"/>
      <c r="W2929" s="69"/>
      <c r="X2929" s="69"/>
      <c r="Y2929" s="69"/>
      <c r="Z2929" s="69"/>
      <c r="AA2929" s="69"/>
      <c r="AB2929" s="69"/>
      <c r="AC2929" s="69"/>
      <c r="AD2929" s="69"/>
      <c r="AE2929" s="69"/>
    </row>
    <row r="2930" spans="1:31" ht="22.5" customHeight="1">
      <c r="A2930" s="69"/>
      <c r="B2930" s="69"/>
      <c r="C2930" s="69"/>
      <c r="D2930" s="69"/>
      <c r="E2930" s="185"/>
      <c r="F2930" s="69"/>
      <c r="G2930" s="185"/>
      <c r="H2930" s="69"/>
      <c r="I2930" s="69"/>
      <c r="J2930" s="69"/>
      <c r="K2930" s="69"/>
      <c r="L2930" s="69"/>
      <c r="M2930" s="69"/>
      <c r="N2930" s="69"/>
      <c r="O2930" s="69"/>
      <c r="P2930" s="69"/>
      <c r="Q2930" s="69"/>
      <c r="R2930" s="69"/>
      <c r="S2930" s="69"/>
      <c r="T2930" s="69"/>
      <c r="U2930" s="69"/>
      <c r="V2930" s="69"/>
      <c r="W2930" s="69"/>
      <c r="X2930" s="69"/>
      <c r="Y2930" s="69"/>
      <c r="Z2930" s="69"/>
      <c r="AA2930" s="69"/>
      <c r="AB2930" s="69"/>
      <c r="AC2930" s="69"/>
      <c r="AD2930" s="69"/>
      <c r="AE2930" s="69"/>
    </row>
    <row r="2931" spans="1:31" ht="22.5" customHeight="1">
      <c r="A2931" s="69"/>
      <c r="B2931" s="69"/>
      <c r="C2931" s="69"/>
      <c r="D2931" s="69"/>
      <c r="E2931" s="185"/>
      <c r="F2931" s="69"/>
      <c r="G2931" s="185"/>
      <c r="H2931" s="69"/>
      <c r="I2931" s="69"/>
      <c r="J2931" s="69"/>
      <c r="K2931" s="69"/>
      <c r="L2931" s="69"/>
      <c r="M2931" s="69"/>
      <c r="N2931" s="69"/>
      <c r="O2931" s="69"/>
      <c r="P2931" s="69"/>
      <c r="Q2931" s="69"/>
      <c r="R2931" s="69"/>
      <c r="S2931" s="69"/>
      <c r="T2931" s="69"/>
      <c r="U2931" s="69"/>
      <c r="V2931" s="69"/>
      <c r="W2931" s="69"/>
      <c r="X2931" s="69"/>
      <c r="Y2931" s="69"/>
      <c r="Z2931" s="69"/>
      <c r="AA2931" s="69"/>
      <c r="AB2931" s="69"/>
      <c r="AC2931" s="69"/>
      <c r="AD2931" s="69"/>
      <c r="AE2931" s="69"/>
    </row>
    <row r="2932" spans="1:31" ht="22.5" customHeight="1">
      <c r="A2932" s="69"/>
      <c r="B2932" s="69"/>
      <c r="C2932" s="69"/>
      <c r="D2932" s="69"/>
      <c r="E2932" s="185"/>
      <c r="F2932" s="69"/>
      <c r="G2932" s="185"/>
      <c r="H2932" s="69"/>
      <c r="I2932" s="69"/>
      <c r="J2932" s="69"/>
      <c r="K2932" s="69"/>
      <c r="L2932" s="69"/>
      <c r="M2932" s="69"/>
      <c r="N2932" s="69"/>
      <c r="O2932" s="69"/>
      <c r="P2932" s="69"/>
      <c r="Q2932" s="69"/>
      <c r="R2932" s="69"/>
      <c r="S2932" s="69"/>
      <c r="T2932" s="69"/>
      <c r="U2932" s="69"/>
      <c r="V2932" s="69"/>
      <c r="W2932" s="69"/>
      <c r="X2932" s="69"/>
      <c r="Y2932" s="69"/>
      <c r="Z2932" s="69"/>
      <c r="AA2932" s="69"/>
      <c r="AB2932" s="69"/>
      <c r="AC2932" s="69"/>
      <c r="AD2932" s="69"/>
      <c r="AE2932" s="69"/>
    </row>
    <row r="2933" spans="1:31" ht="22.5" customHeight="1">
      <c r="A2933" s="69"/>
      <c r="B2933" s="69"/>
      <c r="C2933" s="69"/>
      <c r="D2933" s="69"/>
      <c r="E2933" s="185"/>
      <c r="F2933" s="69"/>
      <c r="G2933" s="185"/>
      <c r="H2933" s="69"/>
      <c r="I2933" s="69"/>
      <c r="J2933" s="69"/>
      <c r="K2933" s="69"/>
      <c r="L2933" s="69"/>
      <c r="M2933" s="69"/>
      <c r="N2933" s="69"/>
      <c r="O2933" s="69"/>
      <c r="P2933" s="69"/>
      <c r="Q2933" s="69"/>
      <c r="R2933" s="69"/>
      <c r="S2933" s="69"/>
      <c r="T2933" s="69"/>
      <c r="U2933" s="69"/>
      <c r="V2933" s="69"/>
      <c r="W2933" s="69"/>
      <c r="X2933" s="69"/>
      <c r="Y2933" s="69"/>
      <c r="Z2933" s="69"/>
      <c r="AA2933" s="69"/>
      <c r="AB2933" s="69"/>
      <c r="AC2933" s="69"/>
      <c r="AD2933" s="69"/>
      <c r="AE2933" s="69"/>
    </row>
    <row r="2934" spans="1:31" ht="22.5" customHeight="1">
      <c r="A2934" s="69"/>
      <c r="B2934" s="69"/>
      <c r="C2934" s="69"/>
      <c r="D2934" s="69"/>
      <c r="E2934" s="185"/>
      <c r="F2934" s="69"/>
      <c r="G2934" s="185"/>
      <c r="H2934" s="69"/>
      <c r="I2934" s="69"/>
      <c r="J2934" s="69"/>
      <c r="K2934" s="69"/>
      <c r="L2934" s="69"/>
      <c r="M2934" s="69"/>
      <c r="N2934" s="69"/>
      <c r="O2934" s="69"/>
      <c r="P2934" s="69"/>
      <c r="Q2934" s="69"/>
      <c r="R2934" s="69"/>
      <c r="S2934" s="69"/>
      <c r="T2934" s="69"/>
      <c r="U2934" s="69"/>
      <c r="V2934" s="69"/>
      <c r="W2934" s="69"/>
      <c r="X2934" s="69"/>
      <c r="Y2934" s="69"/>
      <c r="Z2934" s="69"/>
      <c r="AA2934" s="69"/>
      <c r="AB2934" s="69"/>
      <c r="AC2934" s="69"/>
      <c r="AD2934" s="69"/>
      <c r="AE2934" s="69"/>
    </row>
    <row r="2935" spans="1:31" ht="22.5" customHeight="1">
      <c r="A2935" s="69"/>
      <c r="B2935" s="69"/>
      <c r="C2935" s="69"/>
      <c r="D2935" s="69"/>
      <c r="E2935" s="185"/>
      <c r="F2935" s="69"/>
      <c r="G2935" s="185"/>
      <c r="H2935" s="69"/>
      <c r="I2935" s="69"/>
      <c r="J2935" s="69"/>
      <c r="K2935" s="69"/>
      <c r="L2935" s="69"/>
      <c r="M2935" s="69"/>
      <c r="N2935" s="69"/>
      <c r="O2935" s="69"/>
      <c r="P2935" s="69"/>
      <c r="Q2935" s="69"/>
      <c r="R2935" s="69"/>
      <c r="S2935" s="69"/>
      <c r="T2935" s="69"/>
      <c r="U2935" s="69"/>
      <c r="V2935" s="69"/>
      <c r="W2935" s="69"/>
      <c r="X2935" s="69"/>
      <c r="Y2935" s="69"/>
      <c r="Z2935" s="69"/>
      <c r="AA2935" s="69"/>
      <c r="AB2935" s="69"/>
      <c r="AC2935" s="69"/>
      <c r="AD2935" s="69"/>
      <c r="AE2935" s="69"/>
    </row>
    <row r="2936" spans="1:31" ht="22.5" customHeight="1">
      <c r="A2936" s="69"/>
      <c r="B2936" s="69"/>
      <c r="C2936" s="69"/>
      <c r="D2936" s="69"/>
      <c r="E2936" s="185"/>
      <c r="F2936" s="69"/>
      <c r="G2936" s="185"/>
      <c r="H2936" s="69"/>
      <c r="I2936" s="69"/>
      <c r="J2936" s="69"/>
      <c r="K2936" s="69"/>
      <c r="L2936" s="69"/>
      <c r="M2936" s="69"/>
      <c r="N2936" s="69"/>
      <c r="O2936" s="69"/>
      <c r="P2936" s="69"/>
      <c r="Q2936" s="69"/>
      <c r="R2936" s="69"/>
      <c r="S2936" s="69"/>
      <c r="T2936" s="69"/>
      <c r="U2936" s="69"/>
      <c r="V2936" s="69"/>
      <c r="W2936" s="69"/>
      <c r="X2936" s="69"/>
      <c r="Y2936" s="69"/>
      <c r="Z2936" s="69"/>
      <c r="AA2936" s="69"/>
      <c r="AB2936" s="69"/>
      <c r="AC2936" s="69"/>
      <c r="AD2936" s="69"/>
      <c r="AE2936" s="69"/>
    </row>
    <row r="2937" spans="1:31" ht="22.5" customHeight="1">
      <c r="A2937" s="69"/>
      <c r="B2937" s="69"/>
      <c r="C2937" s="69"/>
      <c r="D2937" s="69"/>
      <c r="E2937" s="185"/>
      <c r="F2937" s="69"/>
      <c r="G2937" s="185"/>
      <c r="H2937" s="69"/>
      <c r="I2937" s="69"/>
      <c r="J2937" s="69"/>
      <c r="K2937" s="69"/>
      <c r="L2937" s="69"/>
      <c r="M2937" s="69"/>
      <c r="N2937" s="69"/>
      <c r="O2937" s="69"/>
      <c r="P2937" s="69"/>
      <c r="Q2937" s="69"/>
      <c r="R2937" s="69"/>
      <c r="S2937" s="69"/>
      <c r="T2937" s="69"/>
      <c r="U2937" s="69"/>
      <c r="V2937" s="69"/>
      <c r="W2937" s="69"/>
      <c r="X2937" s="69"/>
      <c r="Y2937" s="69"/>
      <c r="Z2937" s="69"/>
      <c r="AA2937" s="69"/>
      <c r="AB2937" s="69"/>
      <c r="AC2937" s="69"/>
      <c r="AD2937" s="69"/>
      <c r="AE2937" s="69"/>
    </row>
    <row r="2938" spans="1:31" ht="22.5" customHeight="1">
      <c r="A2938" s="69"/>
      <c r="B2938" s="69"/>
      <c r="C2938" s="69"/>
      <c r="D2938" s="69"/>
      <c r="E2938" s="185"/>
      <c r="F2938" s="69"/>
      <c r="G2938" s="185"/>
      <c r="H2938" s="69"/>
      <c r="I2938" s="69"/>
      <c r="J2938" s="69"/>
      <c r="K2938" s="69"/>
      <c r="L2938" s="69"/>
      <c r="M2938" s="69"/>
      <c r="N2938" s="69"/>
      <c r="O2938" s="69"/>
      <c r="P2938" s="69"/>
      <c r="Q2938" s="69"/>
      <c r="R2938" s="69"/>
      <c r="S2938" s="69"/>
      <c r="T2938" s="69"/>
      <c r="U2938" s="69"/>
      <c r="V2938" s="69"/>
      <c r="W2938" s="69"/>
      <c r="X2938" s="69"/>
      <c r="Y2938" s="69"/>
      <c r="Z2938" s="69"/>
      <c r="AA2938" s="69"/>
      <c r="AB2938" s="69"/>
      <c r="AC2938" s="69"/>
      <c r="AD2938" s="69"/>
      <c r="AE2938" s="69"/>
    </row>
    <row r="2939" spans="1:31" ht="22.5" customHeight="1">
      <c r="A2939" s="69"/>
      <c r="B2939" s="69"/>
      <c r="C2939" s="69"/>
      <c r="D2939" s="69"/>
      <c r="E2939" s="185"/>
      <c r="F2939" s="69"/>
      <c r="G2939" s="185"/>
      <c r="H2939" s="69"/>
      <c r="I2939" s="69"/>
      <c r="J2939" s="69"/>
      <c r="K2939" s="69"/>
      <c r="L2939" s="69"/>
      <c r="M2939" s="69"/>
      <c r="N2939" s="69"/>
      <c r="O2939" s="69"/>
      <c r="P2939" s="69"/>
      <c r="Q2939" s="69"/>
      <c r="R2939" s="69"/>
      <c r="S2939" s="69"/>
      <c r="T2939" s="69"/>
      <c r="U2939" s="69"/>
      <c r="V2939" s="69"/>
      <c r="W2939" s="69"/>
      <c r="X2939" s="69"/>
      <c r="Y2939" s="69"/>
      <c r="Z2939" s="69"/>
      <c r="AA2939" s="69"/>
      <c r="AB2939" s="69"/>
      <c r="AC2939" s="69"/>
      <c r="AD2939" s="69"/>
      <c r="AE2939" s="69"/>
    </row>
    <row r="2940" spans="1:31" ht="22.5" customHeight="1">
      <c r="A2940" s="69"/>
      <c r="B2940" s="69"/>
      <c r="C2940" s="69"/>
      <c r="D2940" s="69"/>
      <c r="E2940" s="185"/>
      <c r="F2940" s="69"/>
      <c r="G2940" s="185"/>
      <c r="H2940" s="69"/>
      <c r="I2940" s="69"/>
      <c r="J2940" s="69"/>
      <c r="K2940" s="69"/>
      <c r="L2940" s="69"/>
      <c r="M2940" s="69"/>
      <c r="N2940" s="69"/>
      <c r="O2940" s="69"/>
      <c r="P2940" s="69"/>
      <c r="Q2940" s="69"/>
      <c r="R2940" s="69"/>
      <c r="S2940" s="69"/>
      <c r="T2940" s="69"/>
      <c r="U2940" s="69"/>
      <c r="V2940" s="69"/>
      <c r="W2940" s="69"/>
      <c r="X2940" s="69"/>
      <c r="Y2940" s="69"/>
      <c r="Z2940" s="69"/>
      <c r="AA2940" s="69"/>
      <c r="AB2940" s="69"/>
      <c r="AC2940" s="69"/>
      <c r="AD2940" s="69"/>
      <c r="AE2940" s="69"/>
    </row>
    <row r="2941" spans="1:31" ht="22.5" customHeight="1">
      <c r="A2941" s="69"/>
      <c r="B2941" s="69"/>
      <c r="C2941" s="69"/>
      <c r="D2941" s="69"/>
      <c r="E2941" s="185"/>
      <c r="F2941" s="69"/>
      <c r="G2941" s="185"/>
      <c r="H2941" s="69"/>
      <c r="I2941" s="69"/>
      <c r="J2941" s="69"/>
      <c r="K2941" s="69"/>
      <c r="L2941" s="69"/>
      <c r="M2941" s="69"/>
      <c r="N2941" s="69"/>
      <c r="O2941" s="69"/>
      <c r="P2941" s="69"/>
      <c r="Q2941" s="69"/>
      <c r="R2941" s="69"/>
      <c r="S2941" s="69"/>
      <c r="T2941" s="69"/>
      <c r="U2941" s="69"/>
      <c r="V2941" s="69"/>
      <c r="W2941" s="69"/>
      <c r="X2941" s="69"/>
      <c r="Y2941" s="69"/>
      <c r="Z2941" s="69"/>
      <c r="AA2941" s="69"/>
      <c r="AB2941" s="69"/>
      <c r="AC2941" s="69"/>
      <c r="AD2941" s="69"/>
      <c r="AE2941" s="69"/>
    </row>
    <row r="2942" spans="1:31" ht="22.5" customHeight="1">
      <c r="A2942" s="69"/>
      <c r="B2942" s="69"/>
      <c r="C2942" s="69"/>
      <c r="D2942" s="69"/>
      <c r="E2942" s="185"/>
      <c r="F2942" s="69"/>
      <c r="G2942" s="185"/>
      <c r="H2942" s="69"/>
      <c r="I2942" s="69"/>
      <c r="J2942" s="69"/>
      <c r="K2942" s="69"/>
      <c r="L2942" s="69"/>
      <c r="M2942" s="69"/>
      <c r="N2942" s="69"/>
      <c r="O2942" s="69"/>
      <c r="P2942" s="69"/>
      <c r="Q2942" s="69"/>
      <c r="R2942" s="69"/>
      <c r="S2942" s="69"/>
      <c r="T2942" s="69"/>
      <c r="U2942" s="69"/>
      <c r="V2942" s="69"/>
      <c r="W2942" s="69"/>
      <c r="X2942" s="69"/>
      <c r="Y2942" s="69"/>
      <c r="Z2942" s="69"/>
      <c r="AA2942" s="69"/>
      <c r="AB2942" s="69"/>
      <c r="AC2942" s="69"/>
      <c r="AD2942" s="69"/>
      <c r="AE2942" s="69"/>
    </row>
    <row r="2943" spans="1:31" ht="22.5" customHeight="1">
      <c r="A2943" s="69"/>
      <c r="B2943" s="69"/>
      <c r="C2943" s="69"/>
      <c r="D2943" s="69"/>
      <c r="E2943" s="185"/>
      <c r="F2943" s="69"/>
      <c r="G2943" s="185"/>
      <c r="H2943" s="69"/>
      <c r="I2943" s="69"/>
      <c r="J2943" s="69"/>
      <c r="K2943" s="69"/>
      <c r="L2943" s="69"/>
      <c r="M2943" s="69"/>
      <c r="N2943" s="69"/>
      <c r="O2943" s="69"/>
      <c r="P2943" s="69"/>
      <c r="Q2943" s="69"/>
      <c r="R2943" s="69"/>
      <c r="S2943" s="69"/>
      <c r="T2943" s="69"/>
      <c r="U2943" s="69"/>
      <c r="V2943" s="69"/>
      <c r="W2943" s="69"/>
      <c r="X2943" s="69"/>
      <c r="Y2943" s="69"/>
      <c r="Z2943" s="69"/>
      <c r="AA2943" s="69"/>
      <c r="AB2943" s="69"/>
      <c r="AC2943" s="69"/>
      <c r="AD2943" s="69"/>
      <c r="AE2943" s="69"/>
    </row>
    <row r="2944" spans="1:31" ht="22.5" customHeight="1">
      <c r="A2944" s="69"/>
      <c r="B2944" s="69"/>
      <c r="C2944" s="69"/>
      <c r="D2944" s="69"/>
      <c r="E2944" s="185"/>
      <c r="F2944" s="69"/>
      <c r="G2944" s="185"/>
      <c r="H2944" s="69"/>
      <c r="I2944" s="69"/>
      <c r="J2944" s="69"/>
      <c r="K2944" s="69"/>
      <c r="L2944" s="69"/>
      <c r="M2944" s="69"/>
      <c r="N2944" s="69"/>
      <c r="O2944" s="69"/>
      <c r="P2944" s="69"/>
      <c r="Q2944" s="69"/>
      <c r="R2944" s="69"/>
      <c r="S2944" s="69"/>
      <c r="T2944" s="69"/>
      <c r="U2944" s="69"/>
      <c r="V2944" s="69"/>
      <c r="W2944" s="69"/>
      <c r="X2944" s="69"/>
      <c r="Y2944" s="69"/>
      <c r="Z2944" s="69"/>
      <c r="AA2944" s="69"/>
      <c r="AB2944" s="69"/>
      <c r="AC2944" s="69"/>
      <c r="AD2944" s="69"/>
      <c r="AE2944" s="69"/>
    </row>
    <row r="2945" spans="1:31" ht="22.5" customHeight="1">
      <c r="A2945" s="69"/>
      <c r="B2945" s="69"/>
      <c r="C2945" s="69"/>
      <c r="D2945" s="69"/>
      <c r="E2945" s="185"/>
      <c r="F2945" s="69"/>
      <c r="G2945" s="185"/>
      <c r="H2945" s="69"/>
      <c r="I2945" s="69"/>
      <c r="J2945" s="69"/>
      <c r="K2945" s="69"/>
      <c r="L2945" s="69"/>
      <c r="M2945" s="69"/>
      <c r="N2945" s="69"/>
      <c r="O2945" s="69"/>
      <c r="P2945" s="69"/>
      <c r="Q2945" s="69"/>
      <c r="R2945" s="69"/>
      <c r="S2945" s="69"/>
      <c r="T2945" s="69"/>
      <c r="U2945" s="69"/>
      <c r="V2945" s="69"/>
      <c r="W2945" s="69"/>
      <c r="X2945" s="69"/>
      <c r="Y2945" s="69"/>
      <c r="Z2945" s="69"/>
      <c r="AA2945" s="69"/>
      <c r="AB2945" s="69"/>
      <c r="AC2945" s="69"/>
      <c r="AD2945" s="69"/>
      <c r="AE2945" s="69"/>
    </row>
    <row r="2946" spans="1:31" ht="22.5" customHeight="1">
      <c r="A2946" s="69"/>
      <c r="B2946" s="69"/>
      <c r="C2946" s="69"/>
      <c r="D2946" s="69"/>
      <c r="E2946" s="185"/>
      <c r="F2946" s="69"/>
      <c r="G2946" s="185"/>
      <c r="H2946" s="69"/>
      <c r="I2946" s="69"/>
      <c r="J2946" s="69"/>
      <c r="K2946" s="69"/>
      <c r="L2946" s="69"/>
      <c r="M2946" s="69"/>
      <c r="N2946" s="69"/>
      <c r="O2946" s="69"/>
      <c r="P2946" s="69"/>
      <c r="Q2946" s="69"/>
      <c r="R2946" s="69"/>
      <c r="S2946" s="69"/>
      <c r="T2946" s="69"/>
      <c r="U2946" s="69"/>
      <c r="V2946" s="69"/>
      <c r="W2946" s="69"/>
      <c r="X2946" s="69"/>
      <c r="Y2946" s="69"/>
      <c r="Z2946" s="69"/>
      <c r="AA2946" s="69"/>
      <c r="AB2946" s="69"/>
      <c r="AC2946" s="69"/>
      <c r="AD2946" s="69"/>
      <c r="AE2946" s="69"/>
    </row>
    <row r="2947" spans="1:31" ht="22.5" customHeight="1">
      <c r="A2947" s="69"/>
      <c r="B2947" s="69"/>
      <c r="C2947" s="69"/>
      <c r="D2947" s="69"/>
      <c r="E2947" s="185"/>
      <c r="F2947" s="69"/>
      <c r="G2947" s="185"/>
      <c r="H2947" s="69"/>
      <c r="I2947" s="69"/>
      <c r="J2947" s="69"/>
      <c r="K2947" s="69"/>
      <c r="L2947" s="69"/>
      <c r="M2947" s="69"/>
      <c r="N2947" s="69"/>
      <c r="O2947" s="69"/>
      <c r="P2947" s="69"/>
      <c r="Q2947" s="69"/>
      <c r="R2947" s="69"/>
      <c r="S2947" s="69"/>
      <c r="T2947" s="69"/>
      <c r="U2947" s="69"/>
      <c r="V2947" s="69"/>
      <c r="W2947" s="69"/>
      <c r="X2947" s="69"/>
      <c r="Y2947" s="69"/>
      <c r="Z2947" s="69"/>
      <c r="AA2947" s="69"/>
      <c r="AB2947" s="69"/>
      <c r="AC2947" s="69"/>
      <c r="AD2947" s="69"/>
      <c r="AE2947" s="69"/>
    </row>
    <row r="2948" spans="1:31" ht="22.5" customHeight="1">
      <c r="A2948" s="69"/>
      <c r="B2948" s="69"/>
      <c r="C2948" s="69"/>
      <c r="D2948" s="69"/>
      <c r="E2948" s="185"/>
      <c r="F2948" s="69"/>
      <c r="G2948" s="185"/>
      <c r="H2948" s="69"/>
      <c r="I2948" s="69"/>
      <c r="J2948" s="69"/>
      <c r="K2948" s="69"/>
      <c r="L2948" s="69"/>
      <c r="M2948" s="69"/>
      <c r="N2948" s="69"/>
      <c r="O2948" s="69"/>
      <c r="P2948" s="69"/>
      <c r="Q2948" s="69"/>
      <c r="R2948" s="69"/>
      <c r="S2948" s="69"/>
      <c r="T2948" s="69"/>
      <c r="U2948" s="69"/>
      <c r="V2948" s="69"/>
      <c r="W2948" s="69"/>
      <c r="X2948" s="69"/>
      <c r="Y2948" s="69"/>
      <c r="Z2948" s="69"/>
      <c r="AA2948" s="69"/>
      <c r="AB2948" s="69"/>
      <c r="AC2948" s="69"/>
      <c r="AD2948" s="69"/>
      <c r="AE2948" s="69"/>
    </row>
    <row r="2949" spans="1:31" ht="22.5" customHeight="1">
      <c r="A2949" s="69"/>
      <c r="B2949" s="69"/>
      <c r="C2949" s="69"/>
      <c r="D2949" s="69"/>
      <c r="E2949" s="185"/>
      <c r="F2949" s="69"/>
      <c r="G2949" s="185"/>
      <c r="H2949" s="69"/>
      <c r="I2949" s="69"/>
      <c r="J2949" s="69"/>
      <c r="K2949" s="69"/>
      <c r="L2949" s="69"/>
      <c r="M2949" s="69"/>
      <c r="N2949" s="69"/>
      <c r="O2949" s="69"/>
      <c r="P2949" s="69"/>
      <c r="Q2949" s="69"/>
      <c r="R2949" s="69"/>
      <c r="S2949" s="69"/>
      <c r="T2949" s="69"/>
      <c r="U2949" s="69"/>
      <c r="V2949" s="69"/>
      <c r="W2949" s="69"/>
      <c r="X2949" s="69"/>
      <c r="Y2949" s="69"/>
      <c r="Z2949" s="69"/>
      <c r="AA2949" s="69"/>
      <c r="AB2949" s="69"/>
      <c r="AC2949" s="69"/>
      <c r="AD2949" s="69"/>
      <c r="AE2949" s="69"/>
    </row>
    <row r="2950" spans="1:31" ht="22.5" customHeight="1">
      <c r="A2950" s="69"/>
      <c r="B2950" s="69"/>
      <c r="C2950" s="69"/>
      <c r="D2950" s="69"/>
      <c r="E2950" s="185"/>
      <c r="F2950" s="69"/>
      <c r="G2950" s="185"/>
      <c r="H2950" s="69"/>
      <c r="I2950" s="69"/>
      <c r="J2950" s="69"/>
      <c r="K2950" s="69"/>
      <c r="L2950" s="69"/>
      <c r="M2950" s="69"/>
      <c r="N2950" s="69"/>
      <c r="O2950" s="69"/>
      <c r="P2950" s="69"/>
      <c r="Q2950" s="69"/>
      <c r="R2950" s="69"/>
      <c r="S2950" s="69"/>
      <c r="T2950" s="69"/>
      <c r="U2950" s="69"/>
      <c r="V2950" s="69"/>
      <c r="W2950" s="69"/>
      <c r="X2950" s="69"/>
      <c r="Y2950" s="69"/>
      <c r="Z2950" s="69"/>
      <c r="AA2950" s="69"/>
      <c r="AB2950" s="69"/>
      <c r="AC2950" s="69"/>
      <c r="AD2950" s="69"/>
      <c r="AE2950" s="69"/>
    </row>
    <row r="2951" spans="1:31" ht="22.5" customHeight="1">
      <c r="A2951" s="69"/>
      <c r="B2951" s="69"/>
      <c r="C2951" s="69"/>
      <c r="D2951" s="69"/>
      <c r="E2951" s="185"/>
      <c r="F2951" s="69"/>
      <c r="G2951" s="185"/>
      <c r="H2951" s="69"/>
      <c r="I2951" s="69"/>
      <c r="J2951" s="69"/>
      <c r="K2951" s="69"/>
      <c r="L2951" s="69"/>
      <c r="M2951" s="69"/>
      <c r="N2951" s="69"/>
      <c r="O2951" s="69"/>
      <c r="P2951" s="69"/>
      <c r="Q2951" s="69"/>
      <c r="R2951" s="69"/>
      <c r="S2951" s="69"/>
      <c r="T2951" s="69"/>
      <c r="U2951" s="69"/>
      <c r="V2951" s="69"/>
      <c r="W2951" s="69"/>
      <c r="X2951" s="69"/>
      <c r="Y2951" s="69"/>
      <c r="Z2951" s="69"/>
      <c r="AA2951" s="69"/>
      <c r="AB2951" s="69"/>
      <c r="AC2951" s="69"/>
      <c r="AD2951" s="69"/>
      <c r="AE2951" s="69"/>
    </row>
    <row r="2952" spans="1:31" ht="22.5" customHeight="1">
      <c r="A2952" s="69"/>
      <c r="B2952" s="69"/>
      <c r="C2952" s="69"/>
      <c r="D2952" s="69"/>
      <c r="E2952" s="185"/>
      <c r="F2952" s="69"/>
      <c r="G2952" s="185"/>
      <c r="H2952" s="69"/>
      <c r="I2952" s="69"/>
      <c r="J2952" s="69"/>
      <c r="K2952" s="69"/>
      <c r="L2952" s="69"/>
      <c r="M2952" s="69"/>
      <c r="N2952" s="69"/>
      <c r="O2952" s="69"/>
      <c r="P2952" s="69"/>
      <c r="Q2952" s="69"/>
      <c r="R2952" s="69"/>
      <c r="S2952" s="69"/>
      <c r="T2952" s="69"/>
      <c r="U2952" s="69"/>
      <c r="V2952" s="69"/>
      <c r="W2952" s="69"/>
      <c r="X2952" s="69"/>
      <c r="Y2952" s="69"/>
      <c r="Z2952" s="69"/>
      <c r="AA2952" s="69"/>
      <c r="AB2952" s="69"/>
      <c r="AC2952" s="69"/>
      <c r="AD2952" s="69"/>
      <c r="AE2952" s="69"/>
    </row>
    <row r="2953" spans="1:31" ht="22.5" customHeight="1">
      <c r="A2953" s="69"/>
      <c r="B2953" s="69"/>
      <c r="C2953" s="69"/>
      <c r="D2953" s="69"/>
      <c r="E2953" s="185"/>
      <c r="F2953" s="69"/>
      <c r="G2953" s="185"/>
      <c r="H2953" s="69"/>
      <c r="I2953" s="69"/>
      <c r="J2953" s="69"/>
      <c r="K2953" s="69"/>
      <c r="L2953" s="69"/>
      <c r="M2953" s="69"/>
      <c r="N2953" s="69"/>
      <c r="O2953" s="69"/>
      <c r="P2953" s="69"/>
      <c r="Q2953" s="69"/>
      <c r="R2953" s="69"/>
      <c r="S2953" s="69"/>
      <c r="T2953" s="69"/>
      <c r="U2953" s="69"/>
      <c r="V2953" s="69"/>
      <c r="W2953" s="69"/>
      <c r="X2953" s="69"/>
      <c r="Y2953" s="69"/>
      <c r="Z2953" s="69"/>
      <c r="AA2953" s="69"/>
      <c r="AB2953" s="69"/>
      <c r="AC2953" s="69"/>
      <c r="AD2953" s="69"/>
      <c r="AE2953" s="69"/>
    </row>
    <row r="2954" spans="1:31" ht="22.5" customHeight="1">
      <c r="A2954" s="69"/>
      <c r="B2954" s="69"/>
      <c r="C2954" s="69"/>
      <c r="D2954" s="69"/>
      <c r="E2954" s="185"/>
      <c r="F2954" s="69"/>
      <c r="G2954" s="185"/>
      <c r="H2954" s="69"/>
      <c r="I2954" s="69"/>
      <c r="J2954" s="69"/>
      <c r="K2954" s="69"/>
      <c r="L2954" s="69"/>
      <c r="M2954" s="69"/>
      <c r="N2954" s="69"/>
      <c r="O2954" s="69"/>
      <c r="P2954" s="69"/>
      <c r="Q2954" s="69"/>
      <c r="R2954" s="69"/>
      <c r="S2954" s="69"/>
      <c r="T2954" s="69"/>
      <c r="U2954" s="69"/>
      <c r="V2954" s="69"/>
      <c r="W2954" s="69"/>
      <c r="X2954" s="69"/>
      <c r="Y2954" s="69"/>
      <c r="Z2954" s="69"/>
      <c r="AA2954" s="69"/>
      <c r="AB2954" s="69"/>
      <c r="AC2954" s="69"/>
      <c r="AD2954" s="69"/>
      <c r="AE2954" s="69"/>
    </row>
    <row r="2955" spans="1:31" ht="22.5" customHeight="1">
      <c r="A2955" s="69"/>
      <c r="B2955" s="69"/>
      <c r="C2955" s="69"/>
      <c r="D2955" s="69"/>
      <c r="E2955" s="185"/>
      <c r="F2955" s="69"/>
      <c r="G2955" s="185"/>
      <c r="H2955" s="69"/>
      <c r="I2955" s="69"/>
      <c r="J2955" s="69"/>
      <c r="K2955" s="69"/>
      <c r="L2955" s="69"/>
      <c r="M2955" s="69"/>
      <c r="N2955" s="69"/>
      <c r="O2955" s="69"/>
      <c r="P2955" s="69"/>
      <c r="Q2955" s="69"/>
      <c r="R2955" s="69"/>
      <c r="S2955" s="69"/>
      <c r="T2955" s="69"/>
      <c r="U2955" s="69"/>
      <c r="V2955" s="69"/>
      <c r="W2955" s="69"/>
      <c r="X2955" s="69"/>
      <c r="Y2955" s="69"/>
      <c r="Z2955" s="69"/>
      <c r="AA2955" s="69"/>
      <c r="AB2955" s="69"/>
      <c r="AC2955" s="69"/>
      <c r="AD2955" s="69"/>
      <c r="AE2955" s="69"/>
    </row>
    <row r="2956" spans="1:31" ht="22.5" customHeight="1">
      <c r="A2956" s="69"/>
      <c r="B2956" s="69"/>
      <c r="C2956" s="69"/>
      <c r="D2956" s="69"/>
      <c r="E2956" s="185"/>
      <c r="F2956" s="69"/>
      <c r="G2956" s="185"/>
      <c r="H2956" s="69"/>
      <c r="I2956" s="69"/>
      <c r="J2956" s="69"/>
      <c r="K2956" s="69"/>
      <c r="L2956" s="69"/>
      <c r="M2956" s="69"/>
      <c r="N2956" s="69"/>
      <c r="O2956" s="69"/>
      <c r="P2956" s="69"/>
      <c r="Q2956" s="69"/>
      <c r="R2956" s="69"/>
      <c r="S2956" s="69"/>
      <c r="T2956" s="69"/>
      <c r="U2956" s="69"/>
      <c r="V2956" s="69"/>
      <c r="W2956" s="69"/>
      <c r="X2956" s="69"/>
      <c r="Y2956" s="69"/>
      <c r="Z2956" s="69"/>
      <c r="AA2956" s="69"/>
      <c r="AB2956" s="69"/>
      <c r="AC2956" s="69"/>
      <c r="AD2956" s="69"/>
      <c r="AE2956" s="69"/>
    </row>
    <row r="2957" spans="1:31" ht="22.5" customHeight="1">
      <c r="A2957" s="69"/>
      <c r="B2957" s="69"/>
      <c r="C2957" s="69"/>
      <c r="D2957" s="69"/>
      <c r="E2957" s="185"/>
      <c r="F2957" s="69"/>
      <c r="G2957" s="185"/>
      <c r="H2957" s="69"/>
      <c r="I2957" s="69"/>
      <c r="J2957" s="69"/>
      <c r="K2957" s="69"/>
      <c r="L2957" s="69"/>
      <c r="M2957" s="69"/>
      <c r="N2957" s="69"/>
      <c r="O2957" s="69"/>
      <c r="P2957" s="69"/>
      <c r="Q2957" s="69"/>
      <c r="R2957" s="69"/>
      <c r="S2957" s="69"/>
      <c r="T2957" s="69"/>
      <c r="U2957" s="69"/>
      <c r="V2957" s="69"/>
      <c r="W2957" s="69"/>
      <c r="X2957" s="69"/>
      <c r="Y2957" s="69"/>
      <c r="Z2957" s="69"/>
      <c r="AA2957" s="69"/>
      <c r="AB2957" s="69"/>
      <c r="AC2957" s="69"/>
      <c r="AD2957" s="69"/>
      <c r="AE2957" s="69"/>
    </row>
    <row r="2958" spans="1:31" ht="22.5" customHeight="1">
      <c r="A2958" s="69"/>
      <c r="B2958" s="69"/>
      <c r="C2958" s="69"/>
      <c r="D2958" s="69"/>
      <c r="E2958" s="185"/>
      <c r="F2958" s="69"/>
      <c r="G2958" s="185"/>
      <c r="H2958" s="69"/>
      <c r="I2958" s="69"/>
      <c r="J2958" s="69"/>
      <c r="K2958" s="69"/>
      <c r="L2958" s="69"/>
      <c r="M2958" s="69"/>
      <c r="N2958" s="69"/>
      <c r="O2958" s="69"/>
      <c r="P2958" s="69"/>
      <c r="Q2958" s="69"/>
      <c r="R2958" s="69"/>
      <c r="S2958" s="69"/>
      <c r="T2958" s="69"/>
      <c r="U2958" s="69"/>
      <c r="V2958" s="69"/>
      <c r="W2958" s="69"/>
      <c r="X2958" s="69"/>
      <c r="Y2958" s="69"/>
      <c r="Z2958" s="69"/>
      <c r="AA2958" s="69"/>
      <c r="AB2958" s="69"/>
      <c r="AC2958" s="69"/>
      <c r="AD2958" s="69"/>
      <c r="AE2958" s="69"/>
    </row>
    <row r="2959" spans="1:31" ht="22.5" customHeight="1">
      <c r="A2959" s="69"/>
      <c r="B2959" s="69"/>
      <c r="C2959" s="69"/>
      <c r="D2959" s="69"/>
      <c r="E2959" s="185"/>
      <c r="F2959" s="69"/>
      <c r="G2959" s="185"/>
      <c r="H2959" s="69"/>
      <c r="I2959" s="69"/>
      <c r="J2959" s="69"/>
      <c r="K2959" s="69"/>
      <c r="L2959" s="69"/>
      <c r="M2959" s="69"/>
      <c r="N2959" s="69"/>
      <c r="O2959" s="69"/>
      <c r="P2959" s="69"/>
      <c r="Q2959" s="69"/>
      <c r="R2959" s="69"/>
      <c r="S2959" s="69"/>
      <c r="T2959" s="69"/>
      <c r="U2959" s="69"/>
      <c r="V2959" s="69"/>
      <c r="W2959" s="69"/>
      <c r="X2959" s="69"/>
      <c r="Y2959" s="69"/>
      <c r="Z2959" s="69"/>
      <c r="AA2959" s="69"/>
      <c r="AB2959" s="69"/>
      <c r="AC2959" s="69"/>
      <c r="AD2959" s="69"/>
      <c r="AE2959" s="69"/>
    </row>
    <row r="2960" spans="1:31" ht="22.5" customHeight="1">
      <c r="A2960" s="69"/>
      <c r="B2960" s="69"/>
      <c r="C2960" s="69"/>
      <c r="D2960" s="69"/>
      <c r="E2960" s="185"/>
      <c r="F2960" s="69"/>
      <c r="G2960" s="185"/>
      <c r="H2960" s="69"/>
      <c r="I2960" s="69"/>
      <c r="J2960" s="69"/>
      <c r="K2960" s="69"/>
      <c r="L2960" s="69"/>
      <c r="M2960" s="69"/>
      <c r="N2960" s="69"/>
      <c r="O2960" s="69"/>
      <c r="P2960" s="69"/>
      <c r="Q2960" s="69"/>
      <c r="R2960" s="69"/>
      <c r="S2960" s="69"/>
      <c r="T2960" s="69"/>
      <c r="U2960" s="69"/>
      <c r="V2960" s="69"/>
      <c r="W2960" s="69"/>
      <c r="X2960" s="69"/>
      <c r="Y2960" s="69"/>
      <c r="Z2960" s="69"/>
      <c r="AA2960" s="69"/>
      <c r="AB2960" s="69"/>
      <c r="AC2960" s="69"/>
      <c r="AD2960" s="69"/>
      <c r="AE2960" s="69"/>
    </row>
    <row r="2961" spans="1:31" ht="22.5" customHeight="1">
      <c r="A2961" s="69"/>
      <c r="B2961" s="69"/>
      <c r="C2961" s="69"/>
      <c r="D2961" s="69"/>
      <c r="E2961" s="185"/>
      <c r="F2961" s="69"/>
      <c r="G2961" s="185"/>
      <c r="H2961" s="69"/>
      <c r="I2961" s="69"/>
      <c r="J2961" s="69"/>
      <c r="K2961" s="69"/>
      <c r="L2961" s="69"/>
      <c r="M2961" s="69"/>
      <c r="N2961" s="69"/>
      <c r="O2961" s="69"/>
      <c r="P2961" s="69"/>
      <c r="Q2961" s="69"/>
      <c r="R2961" s="69"/>
      <c r="S2961" s="69"/>
      <c r="T2961" s="69"/>
      <c r="U2961" s="69"/>
      <c r="V2961" s="69"/>
      <c r="W2961" s="69"/>
      <c r="X2961" s="69"/>
      <c r="Y2961" s="69"/>
      <c r="Z2961" s="69"/>
      <c r="AA2961" s="69"/>
      <c r="AB2961" s="69"/>
      <c r="AC2961" s="69"/>
      <c r="AD2961" s="69"/>
      <c r="AE2961" s="69"/>
    </row>
    <row r="2962" spans="1:31" ht="22.5" customHeight="1">
      <c r="A2962" s="69"/>
      <c r="B2962" s="69"/>
      <c r="C2962" s="69"/>
      <c r="D2962" s="69"/>
      <c r="E2962" s="185"/>
      <c r="F2962" s="69"/>
      <c r="G2962" s="185"/>
      <c r="H2962" s="69"/>
      <c r="I2962" s="69"/>
      <c r="J2962" s="69"/>
      <c r="K2962" s="69"/>
      <c r="L2962" s="69"/>
      <c r="M2962" s="69"/>
      <c r="N2962" s="69"/>
      <c r="O2962" s="69"/>
      <c r="P2962" s="69"/>
      <c r="Q2962" s="69"/>
      <c r="R2962" s="69"/>
      <c r="S2962" s="69"/>
      <c r="T2962" s="69"/>
      <c r="U2962" s="69"/>
      <c r="V2962" s="69"/>
      <c r="W2962" s="69"/>
      <c r="X2962" s="69"/>
      <c r="Y2962" s="69"/>
      <c r="Z2962" s="69"/>
      <c r="AA2962" s="69"/>
      <c r="AB2962" s="69"/>
      <c r="AC2962" s="69"/>
      <c r="AD2962" s="69"/>
      <c r="AE2962" s="69"/>
    </row>
    <row r="2963" spans="1:31" ht="22.5" customHeight="1">
      <c r="A2963" s="69"/>
      <c r="B2963" s="69"/>
      <c r="C2963" s="69"/>
      <c r="D2963" s="69"/>
      <c r="E2963" s="185"/>
      <c r="F2963" s="69"/>
      <c r="G2963" s="185"/>
      <c r="H2963" s="69"/>
      <c r="I2963" s="69"/>
      <c r="J2963" s="69"/>
      <c r="K2963" s="69"/>
      <c r="L2963" s="69"/>
      <c r="M2963" s="69"/>
      <c r="N2963" s="69"/>
      <c r="O2963" s="69"/>
      <c r="P2963" s="69"/>
      <c r="Q2963" s="69"/>
      <c r="R2963" s="69"/>
      <c r="S2963" s="69"/>
      <c r="T2963" s="69"/>
      <c r="U2963" s="69"/>
      <c r="V2963" s="69"/>
      <c r="W2963" s="69"/>
      <c r="X2963" s="69"/>
      <c r="Y2963" s="69"/>
      <c r="Z2963" s="69"/>
      <c r="AA2963" s="69"/>
      <c r="AB2963" s="69"/>
      <c r="AC2963" s="69"/>
      <c r="AD2963" s="69"/>
      <c r="AE2963" s="69"/>
    </row>
    <row r="2964" spans="1:31" ht="22.5" customHeight="1">
      <c r="A2964" s="69"/>
      <c r="B2964" s="69"/>
      <c r="C2964" s="69"/>
      <c r="D2964" s="69"/>
      <c r="E2964" s="185"/>
      <c r="F2964" s="69"/>
      <c r="G2964" s="185"/>
      <c r="H2964" s="69"/>
      <c r="I2964" s="69"/>
      <c r="J2964" s="69"/>
      <c r="K2964" s="69"/>
      <c r="L2964" s="69"/>
      <c r="M2964" s="69"/>
      <c r="N2964" s="69"/>
      <c r="O2964" s="69"/>
      <c r="P2964" s="69"/>
      <c r="Q2964" s="69"/>
      <c r="R2964" s="69"/>
      <c r="S2964" s="69"/>
      <c r="T2964" s="69"/>
      <c r="U2964" s="69"/>
      <c r="V2964" s="69"/>
      <c r="W2964" s="69"/>
      <c r="X2964" s="69"/>
      <c r="Y2964" s="69"/>
      <c r="Z2964" s="69"/>
      <c r="AA2964" s="69"/>
      <c r="AB2964" s="69"/>
      <c r="AC2964" s="69"/>
      <c r="AD2964" s="69"/>
      <c r="AE2964" s="69"/>
    </row>
    <row r="2965" spans="1:31" ht="22.5" customHeight="1">
      <c r="A2965" s="69"/>
      <c r="B2965" s="69"/>
      <c r="C2965" s="69"/>
      <c r="D2965" s="69"/>
      <c r="E2965" s="185"/>
      <c r="F2965" s="69"/>
      <c r="G2965" s="185"/>
      <c r="H2965" s="69"/>
      <c r="I2965" s="69"/>
      <c r="J2965" s="69"/>
      <c r="K2965" s="69"/>
      <c r="L2965" s="69"/>
      <c r="M2965" s="69"/>
      <c r="N2965" s="69"/>
      <c r="O2965" s="69"/>
      <c r="P2965" s="69"/>
      <c r="Q2965" s="69"/>
      <c r="R2965" s="69"/>
      <c r="S2965" s="69"/>
      <c r="T2965" s="69"/>
      <c r="U2965" s="69"/>
      <c r="V2965" s="69"/>
      <c r="W2965" s="69"/>
      <c r="X2965" s="69"/>
      <c r="Y2965" s="69"/>
      <c r="Z2965" s="69"/>
      <c r="AA2965" s="69"/>
      <c r="AB2965" s="69"/>
      <c r="AC2965" s="69"/>
      <c r="AD2965" s="69"/>
      <c r="AE2965" s="69"/>
    </row>
    <row r="2966" spans="1:31" ht="22.5" customHeight="1">
      <c r="A2966" s="69"/>
      <c r="B2966" s="69"/>
      <c r="C2966" s="69"/>
      <c r="D2966" s="69"/>
      <c r="E2966" s="185"/>
      <c r="F2966" s="69"/>
      <c r="G2966" s="185"/>
      <c r="H2966" s="69"/>
      <c r="I2966" s="69"/>
      <c r="J2966" s="69"/>
      <c r="K2966" s="69"/>
      <c r="L2966" s="69"/>
      <c r="M2966" s="69"/>
      <c r="N2966" s="69"/>
      <c r="O2966" s="69"/>
      <c r="P2966" s="69"/>
      <c r="Q2966" s="69"/>
      <c r="R2966" s="69"/>
      <c r="S2966" s="69"/>
      <c r="T2966" s="69"/>
      <c r="U2966" s="69"/>
      <c r="V2966" s="69"/>
      <c r="W2966" s="69"/>
      <c r="X2966" s="69"/>
      <c r="Y2966" s="69"/>
      <c r="Z2966" s="69"/>
      <c r="AA2966" s="69"/>
      <c r="AB2966" s="69"/>
      <c r="AC2966" s="69"/>
      <c r="AD2966" s="69"/>
      <c r="AE2966" s="69"/>
    </row>
    <row r="2967" spans="1:31" ht="22.5" customHeight="1">
      <c r="A2967" s="69"/>
      <c r="B2967" s="69"/>
      <c r="C2967" s="69"/>
      <c r="D2967" s="69"/>
      <c r="E2967" s="185"/>
      <c r="F2967" s="69"/>
      <c r="G2967" s="185"/>
      <c r="H2967" s="69"/>
      <c r="I2967" s="69"/>
      <c r="J2967" s="69"/>
      <c r="K2967" s="69"/>
      <c r="L2967" s="69"/>
      <c r="M2967" s="69"/>
      <c r="N2967" s="69"/>
      <c r="O2967" s="69"/>
      <c r="P2967" s="69"/>
      <c r="Q2967" s="69"/>
      <c r="R2967" s="69"/>
      <c r="S2967" s="69"/>
      <c r="T2967" s="69"/>
      <c r="U2967" s="69"/>
      <c r="V2967" s="69"/>
      <c r="W2967" s="69"/>
      <c r="X2967" s="69"/>
      <c r="Y2967" s="69"/>
      <c r="Z2967" s="69"/>
      <c r="AA2967" s="69"/>
      <c r="AB2967" s="69"/>
      <c r="AC2967" s="69"/>
      <c r="AD2967" s="69"/>
      <c r="AE2967" s="69"/>
    </row>
    <row r="2968" spans="1:31" ht="22.5" customHeight="1">
      <c r="A2968" s="69"/>
      <c r="B2968" s="69"/>
      <c r="C2968" s="69"/>
      <c r="D2968" s="69"/>
      <c r="E2968" s="185"/>
      <c r="F2968" s="69"/>
      <c r="G2968" s="185"/>
      <c r="H2968" s="69"/>
      <c r="I2968" s="69"/>
      <c r="J2968" s="69"/>
      <c r="K2968" s="69"/>
      <c r="L2968" s="69"/>
      <c r="M2968" s="69"/>
      <c r="N2968" s="69"/>
      <c r="O2968" s="69"/>
      <c r="P2968" s="69"/>
      <c r="Q2968" s="69"/>
      <c r="R2968" s="69"/>
      <c r="S2968" s="69"/>
      <c r="T2968" s="69"/>
      <c r="U2968" s="69"/>
      <c r="V2968" s="69"/>
      <c r="W2968" s="69"/>
      <c r="X2968" s="69"/>
      <c r="Y2968" s="69"/>
      <c r="Z2968" s="69"/>
      <c r="AA2968" s="69"/>
      <c r="AB2968" s="69"/>
      <c r="AC2968" s="69"/>
      <c r="AD2968" s="69"/>
      <c r="AE2968" s="69"/>
    </row>
    <row r="2969" spans="1:31" ht="22.5" customHeight="1">
      <c r="A2969" s="69"/>
      <c r="B2969" s="69"/>
      <c r="C2969" s="69"/>
      <c r="D2969" s="69"/>
      <c r="E2969" s="185"/>
      <c r="F2969" s="69"/>
      <c r="G2969" s="185"/>
      <c r="H2969" s="69"/>
      <c r="I2969" s="69"/>
      <c r="J2969" s="69"/>
      <c r="K2969" s="69"/>
      <c r="L2969" s="69"/>
      <c r="M2969" s="69"/>
      <c r="N2969" s="69"/>
      <c r="O2969" s="69"/>
      <c r="P2969" s="69"/>
      <c r="Q2969" s="69"/>
      <c r="R2969" s="69"/>
      <c r="S2969" s="69"/>
      <c r="T2969" s="69"/>
      <c r="U2969" s="69"/>
      <c r="V2969" s="69"/>
      <c r="W2969" s="69"/>
      <c r="X2969" s="69"/>
      <c r="Y2969" s="69"/>
      <c r="Z2969" s="69"/>
      <c r="AA2969" s="69"/>
      <c r="AB2969" s="69"/>
      <c r="AC2969" s="69"/>
      <c r="AD2969" s="69"/>
      <c r="AE2969" s="69"/>
    </row>
    <row r="2970" spans="1:31" ht="22.5" customHeight="1">
      <c r="A2970" s="69"/>
      <c r="B2970" s="69"/>
      <c r="C2970" s="69"/>
      <c r="D2970" s="69"/>
      <c r="E2970" s="185"/>
      <c r="F2970" s="69"/>
      <c r="G2970" s="185"/>
      <c r="H2970" s="69"/>
      <c r="I2970" s="69"/>
      <c r="J2970" s="69"/>
      <c r="K2970" s="69"/>
      <c r="L2970" s="69"/>
      <c r="M2970" s="69"/>
      <c r="N2970" s="69"/>
      <c r="O2970" s="69"/>
      <c r="P2970" s="69"/>
      <c r="Q2970" s="69"/>
      <c r="R2970" s="69"/>
      <c r="S2970" s="69"/>
      <c r="T2970" s="69"/>
      <c r="U2970" s="69"/>
      <c r="V2970" s="69"/>
      <c r="W2970" s="69"/>
      <c r="X2970" s="69"/>
      <c r="Y2970" s="69"/>
      <c r="Z2970" s="69"/>
      <c r="AA2970" s="69"/>
      <c r="AB2970" s="69"/>
      <c r="AC2970" s="69"/>
      <c r="AD2970" s="69"/>
      <c r="AE2970" s="69"/>
    </row>
    <row r="2971" spans="1:31" ht="22.5" customHeight="1">
      <c r="A2971" s="69"/>
      <c r="B2971" s="69"/>
      <c r="C2971" s="69"/>
      <c r="D2971" s="69"/>
      <c r="E2971" s="185"/>
      <c r="F2971" s="69"/>
      <c r="G2971" s="185"/>
      <c r="H2971" s="69"/>
      <c r="I2971" s="69"/>
      <c r="J2971" s="69"/>
      <c r="K2971" s="69"/>
      <c r="L2971" s="69"/>
      <c r="M2971" s="69"/>
      <c r="N2971" s="69"/>
      <c r="O2971" s="69"/>
      <c r="P2971" s="69"/>
      <c r="Q2971" s="69"/>
      <c r="R2971" s="69"/>
      <c r="S2971" s="69"/>
      <c r="T2971" s="69"/>
      <c r="U2971" s="69"/>
      <c r="V2971" s="69"/>
      <c r="W2971" s="69"/>
      <c r="X2971" s="69"/>
      <c r="Y2971" s="69"/>
      <c r="Z2971" s="69"/>
      <c r="AA2971" s="69"/>
      <c r="AB2971" s="69"/>
      <c r="AC2971" s="69"/>
      <c r="AD2971" s="69"/>
      <c r="AE2971" s="69"/>
    </row>
    <row r="2972" spans="1:31" ht="22.5" customHeight="1">
      <c r="A2972" s="69"/>
      <c r="B2972" s="69"/>
      <c r="C2972" s="69"/>
      <c r="D2972" s="69"/>
      <c r="E2972" s="185"/>
      <c r="F2972" s="69"/>
      <c r="G2972" s="185"/>
      <c r="H2972" s="69"/>
      <c r="I2972" s="69"/>
      <c r="J2972" s="69"/>
      <c r="K2972" s="69"/>
      <c r="L2972" s="69"/>
      <c r="M2972" s="69"/>
      <c r="N2972" s="69"/>
      <c r="O2972" s="69"/>
      <c r="P2972" s="69"/>
      <c r="Q2972" s="69"/>
      <c r="R2972" s="69"/>
      <c r="S2972" s="69"/>
      <c r="T2972" s="69"/>
      <c r="U2972" s="69"/>
      <c r="V2972" s="69"/>
      <c r="W2972" s="69"/>
      <c r="X2972" s="69"/>
      <c r="Y2972" s="69"/>
      <c r="Z2972" s="69"/>
      <c r="AA2972" s="69"/>
      <c r="AB2972" s="69"/>
      <c r="AC2972" s="69"/>
      <c r="AD2972" s="69"/>
      <c r="AE2972" s="69"/>
    </row>
    <row r="2973" spans="1:31" ht="22.5" customHeight="1">
      <c r="A2973" s="69"/>
      <c r="B2973" s="69"/>
      <c r="C2973" s="69"/>
      <c r="D2973" s="69"/>
      <c r="E2973" s="185"/>
      <c r="F2973" s="69"/>
      <c r="G2973" s="185"/>
      <c r="H2973" s="69"/>
      <c r="I2973" s="69"/>
      <c r="J2973" s="69"/>
      <c r="K2973" s="69"/>
      <c r="L2973" s="69"/>
      <c r="M2973" s="69"/>
      <c r="N2973" s="69"/>
      <c r="O2973" s="69"/>
      <c r="P2973" s="69"/>
      <c r="Q2973" s="69"/>
      <c r="R2973" s="69"/>
      <c r="S2973" s="69"/>
      <c r="T2973" s="69"/>
      <c r="U2973" s="69"/>
      <c r="V2973" s="69"/>
      <c r="W2973" s="69"/>
      <c r="X2973" s="69"/>
      <c r="Y2973" s="69"/>
      <c r="Z2973" s="69"/>
      <c r="AA2973" s="69"/>
      <c r="AB2973" s="69"/>
      <c r="AC2973" s="69"/>
      <c r="AD2973" s="69"/>
      <c r="AE2973" s="69"/>
    </row>
    <row r="2974" spans="1:31" ht="22.5" customHeight="1">
      <c r="A2974" s="69"/>
      <c r="B2974" s="69"/>
      <c r="C2974" s="69"/>
      <c r="D2974" s="69"/>
      <c r="E2974" s="185"/>
      <c r="F2974" s="69"/>
      <c r="G2974" s="185"/>
      <c r="H2974" s="69"/>
      <c r="I2974" s="69"/>
      <c r="J2974" s="69"/>
      <c r="K2974" s="69"/>
      <c r="L2974" s="69"/>
      <c r="M2974" s="69"/>
      <c r="N2974" s="69"/>
      <c r="O2974" s="69"/>
      <c r="P2974" s="69"/>
      <c r="Q2974" s="69"/>
      <c r="R2974" s="69"/>
      <c r="S2974" s="69"/>
      <c r="T2974" s="69"/>
      <c r="U2974" s="69"/>
      <c r="V2974" s="69"/>
      <c r="W2974" s="69"/>
      <c r="X2974" s="69"/>
      <c r="Y2974" s="69"/>
      <c r="Z2974" s="69"/>
      <c r="AA2974" s="69"/>
      <c r="AB2974" s="69"/>
      <c r="AC2974" s="69"/>
      <c r="AD2974" s="69"/>
      <c r="AE2974" s="69"/>
    </row>
    <row r="2975" spans="1:31" ht="22.5" customHeight="1">
      <c r="A2975" s="69"/>
      <c r="B2975" s="69"/>
      <c r="C2975" s="69"/>
      <c r="D2975" s="69"/>
      <c r="E2975" s="185"/>
      <c r="F2975" s="69"/>
      <c r="G2975" s="185"/>
      <c r="H2975" s="69"/>
      <c r="I2975" s="69"/>
      <c r="J2975" s="69"/>
      <c r="K2975" s="69"/>
      <c r="L2975" s="69"/>
      <c r="M2975" s="69"/>
      <c r="N2975" s="69"/>
      <c r="O2975" s="69"/>
      <c r="P2975" s="69"/>
      <c r="Q2975" s="69"/>
      <c r="R2975" s="69"/>
      <c r="S2975" s="69"/>
      <c r="T2975" s="69"/>
      <c r="U2975" s="69"/>
      <c r="V2975" s="69"/>
      <c r="W2975" s="69"/>
      <c r="X2975" s="69"/>
      <c r="Y2975" s="69"/>
      <c r="Z2975" s="69"/>
      <c r="AA2975" s="69"/>
      <c r="AB2975" s="69"/>
      <c r="AC2975" s="69"/>
      <c r="AD2975" s="69"/>
      <c r="AE2975" s="69"/>
    </row>
    <row r="2976" spans="1:31" ht="22.5" customHeight="1">
      <c r="A2976" s="69"/>
      <c r="B2976" s="69"/>
      <c r="C2976" s="69"/>
      <c r="D2976" s="69"/>
      <c r="E2976" s="185"/>
      <c r="F2976" s="69"/>
      <c r="G2976" s="185"/>
      <c r="H2976" s="69"/>
      <c r="I2976" s="69"/>
      <c r="J2976" s="69"/>
      <c r="K2976" s="69"/>
      <c r="L2976" s="69"/>
      <c r="M2976" s="69"/>
      <c r="N2976" s="69"/>
      <c r="O2976" s="69"/>
      <c r="P2976" s="69"/>
      <c r="Q2976" s="69"/>
      <c r="R2976" s="69"/>
      <c r="S2976" s="69"/>
      <c r="T2976" s="69"/>
      <c r="U2976" s="69"/>
      <c r="V2976" s="69"/>
      <c r="W2976" s="69"/>
      <c r="X2976" s="69"/>
      <c r="Y2976" s="69"/>
      <c r="Z2976" s="69"/>
      <c r="AA2976" s="69"/>
      <c r="AB2976" s="69"/>
      <c r="AC2976" s="69"/>
      <c r="AD2976" s="69"/>
      <c r="AE2976" s="69"/>
    </row>
    <row r="2977" spans="1:31" ht="22.5" customHeight="1">
      <c r="A2977" s="69"/>
      <c r="B2977" s="69"/>
      <c r="C2977" s="69"/>
      <c r="D2977" s="69"/>
      <c r="E2977" s="185"/>
      <c r="F2977" s="69"/>
      <c r="G2977" s="185"/>
      <c r="H2977" s="69"/>
      <c r="I2977" s="69"/>
      <c r="J2977" s="69"/>
      <c r="K2977" s="69"/>
      <c r="L2977" s="69"/>
      <c r="M2977" s="69"/>
      <c r="N2977" s="69"/>
      <c r="O2977" s="69"/>
      <c r="P2977" s="69"/>
      <c r="Q2977" s="69"/>
      <c r="R2977" s="69"/>
      <c r="S2977" s="69"/>
      <c r="T2977" s="69"/>
      <c r="U2977" s="69"/>
      <c r="V2977" s="69"/>
      <c r="W2977" s="69"/>
      <c r="X2977" s="69"/>
      <c r="Y2977" s="69"/>
      <c r="Z2977" s="69"/>
      <c r="AA2977" s="69"/>
      <c r="AB2977" s="69"/>
      <c r="AC2977" s="69"/>
      <c r="AD2977" s="69"/>
      <c r="AE2977" s="69"/>
    </row>
    <row r="2978" spans="1:31" ht="22.5" customHeight="1">
      <c r="A2978" s="69"/>
      <c r="B2978" s="69"/>
      <c r="C2978" s="69"/>
      <c r="D2978" s="69"/>
      <c r="E2978" s="185"/>
      <c r="F2978" s="69"/>
      <c r="G2978" s="185"/>
      <c r="H2978" s="69"/>
      <c r="I2978" s="69"/>
      <c r="J2978" s="69"/>
      <c r="K2978" s="69"/>
      <c r="L2978" s="69"/>
      <c r="M2978" s="69"/>
      <c r="N2978" s="69"/>
      <c r="O2978" s="69"/>
      <c r="P2978" s="69"/>
      <c r="Q2978" s="69"/>
      <c r="R2978" s="69"/>
      <c r="S2978" s="69"/>
      <c r="T2978" s="69"/>
      <c r="U2978" s="69"/>
      <c r="V2978" s="69"/>
      <c r="W2978" s="69"/>
      <c r="X2978" s="69"/>
      <c r="Y2978" s="69"/>
      <c r="Z2978" s="69"/>
      <c r="AA2978" s="69"/>
      <c r="AB2978" s="69"/>
      <c r="AC2978" s="69"/>
      <c r="AD2978" s="69"/>
      <c r="AE2978" s="69"/>
    </row>
    <row r="2979" spans="1:31" ht="22.5" customHeight="1">
      <c r="A2979" s="69"/>
      <c r="B2979" s="69"/>
      <c r="C2979" s="69"/>
      <c r="D2979" s="69"/>
      <c r="E2979" s="185"/>
      <c r="F2979" s="69"/>
      <c r="G2979" s="185"/>
      <c r="H2979" s="69"/>
      <c r="I2979" s="69"/>
      <c r="J2979" s="69"/>
      <c r="K2979" s="69"/>
      <c r="L2979" s="69"/>
      <c r="M2979" s="69"/>
      <c r="N2979" s="69"/>
      <c r="O2979" s="69"/>
      <c r="P2979" s="69"/>
      <c r="Q2979" s="69"/>
      <c r="R2979" s="69"/>
      <c r="S2979" s="69"/>
      <c r="T2979" s="69"/>
      <c r="U2979" s="69"/>
      <c r="V2979" s="69"/>
      <c r="W2979" s="69"/>
      <c r="X2979" s="69"/>
      <c r="Y2979" s="69"/>
      <c r="Z2979" s="69"/>
      <c r="AA2979" s="69"/>
      <c r="AB2979" s="69"/>
      <c r="AC2979" s="69"/>
      <c r="AD2979" s="69"/>
      <c r="AE2979" s="69"/>
    </row>
    <row r="2980" spans="1:31" ht="22.5" customHeight="1">
      <c r="A2980" s="69"/>
      <c r="B2980" s="69"/>
      <c r="C2980" s="69"/>
      <c r="D2980" s="69"/>
      <c r="E2980" s="185"/>
      <c r="F2980" s="69"/>
      <c r="G2980" s="185"/>
      <c r="H2980" s="69"/>
      <c r="I2980" s="69"/>
      <c r="J2980" s="69"/>
      <c r="K2980" s="69"/>
      <c r="L2980" s="69"/>
      <c r="M2980" s="69"/>
      <c r="N2980" s="69"/>
      <c r="O2980" s="69"/>
      <c r="P2980" s="69"/>
      <c r="Q2980" s="69"/>
      <c r="R2980" s="69"/>
      <c r="S2980" s="69"/>
      <c r="T2980" s="69"/>
      <c r="U2980" s="69"/>
      <c r="V2980" s="69"/>
      <c r="W2980" s="69"/>
      <c r="X2980" s="69"/>
      <c r="Y2980" s="69"/>
      <c r="Z2980" s="69"/>
      <c r="AA2980" s="69"/>
      <c r="AB2980" s="69"/>
      <c r="AC2980" s="69"/>
      <c r="AD2980" s="69"/>
      <c r="AE2980" s="69"/>
    </row>
    <row r="2981" spans="1:31" ht="22.5" customHeight="1">
      <c r="A2981" s="69"/>
      <c r="B2981" s="69"/>
      <c r="C2981" s="69"/>
      <c r="D2981" s="69"/>
      <c r="E2981" s="185"/>
      <c r="F2981" s="69"/>
      <c r="G2981" s="185"/>
      <c r="H2981" s="69"/>
      <c r="I2981" s="69"/>
      <c r="J2981" s="69"/>
      <c r="K2981" s="69"/>
      <c r="L2981" s="69"/>
      <c r="M2981" s="69"/>
      <c r="N2981" s="69"/>
      <c r="O2981" s="69"/>
      <c r="P2981" s="69"/>
      <c r="Q2981" s="69"/>
      <c r="R2981" s="69"/>
      <c r="S2981" s="69"/>
      <c r="T2981" s="69"/>
      <c r="U2981" s="69"/>
      <c r="V2981" s="69"/>
      <c r="W2981" s="69"/>
      <c r="X2981" s="69"/>
      <c r="Y2981" s="69"/>
      <c r="Z2981" s="69"/>
      <c r="AA2981" s="69"/>
      <c r="AB2981" s="69"/>
      <c r="AC2981" s="69"/>
      <c r="AD2981" s="69"/>
      <c r="AE2981" s="69"/>
    </row>
    <row r="2982" spans="1:31" ht="22.5" customHeight="1">
      <c r="A2982" s="69"/>
      <c r="B2982" s="69"/>
      <c r="C2982" s="69"/>
      <c r="D2982" s="69"/>
      <c r="E2982" s="185"/>
      <c r="F2982" s="69"/>
      <c r="G2982" s="185"/>
      <c r="H2982" s="69"/>
      <c r="I2982" s="69"/>
      <c r="J2982" s="69"/>
      <c r="K2982" s="69"/>
      <c r="L2982" s="69"/>
      <c r="M2982" s="69"/>
      <c r="N2982" s="69"/>
      <c r="O2982" s="69"/>
      <c r="P2982" s="69"/>
      <c r="Q2982" s="69"/>
      <c r="R2982" s="69"/>
      <c r="S2982" s="69"/>
      <c r="T2982" s="69"/>
      <c r="U2982" s="69"/>
      <c r="V2982" s="69"/>
      <c r="W2982" s="69"/>
      <c r="X2982" s="69"/>
      <c r="Y2982" s="69"/>
      <c r="Z2982" s="69"/>
      <c r="AA2982" s="69"/>
      <c r="AB2982" s="69"/>
      <c r="AC2982" s="69"/>
      <c r="AD2982" s="69"/>
      <c r="AE2982" s="69"/>
    </row>
    <row r="2983" spans="1:31" ht="22.5" customHeight="1">
      <c r="A2983" s="69"/>
      <c r="B2983" s="69"/>
      <c r="C2983" s="69"/>
      <c r="D2983" s="69"/>
      <c r="E2983" s="185"/>
      <c r="F2983" s="69"/>
      <c r="G2983" s="185"/>
      <c r="H2983" s="69"/>
      <c r="I2983" s="69"/>
      <c r="J2983" s="69"/>
      <c r="K2983" s="69"/>
      <c r="L2983" s="69"/>
      <c r="M2983" s="69"/>
      <c r="N2983" s="69"/>
      <c r="O2983" s="69"/>
      <c r="P2983" s="69"/>
      <c r="Q2983" s="69"/>
      <c r="R2983" s="69"/>
      <c r="S2983" s="69"/>
      <c r="T2983" s="69"/>
      <c r="U2983" s="69"/>
      <c r="V2983" s="69"/>
      <c r="W2983" s="69"/>
      <c r="X2983" s="69"/>
      <c r="Y2983" s="69"/>
      <c r="Z2983" s="69"/>
      <c r="AA2983" s="69"/>
      <c r="AB2983" s="69"/>
      <c r="AC2983" s="69"/>
      <c r="AD2983" s="69"/>
      <c r="AE2983" s="69"/>
    </row>
    <row r="2984" spans="1:31" ht="22.5" customHeight="1">
      <c r="A2984" s="69"/>
      <c r="B2984" s="69"/>
      <c r="C2984" s="69"/>
      <c r="D2984" s="69"/>
      <c r="E2984" s="185"/>
      <c r="F2984" s="69"/>
      <c r="G2984" s="185"/>
      <c r="H2984" s="69"/>
      <c r="I2984" s="69"/>
      <c r="J2984" s="69"/>
      <c r="K2984" s="69"/>
      <c r="L2984" s="69"/>
      <c r="M2984" s="69"/>
      <c r="N2984" s="69"/>
      <c r="O2984" s="69"/>
      <c r="P2984" s="69"/>
      <c r="Q2984" s="69"/>
      <c r="R2984" s="69"/>
      <c r="S2984" s="69"/>
      <c r="T2984" s="69"/>
      <c r="U2984" s="69"/>
      <c r="V2984" s="69"/>
      <c r="W2984" s="69"/>
      <c r="X2984" s="69"/>
      <c r="Y2984" s="69"/>
      <c r="Z2984" s="69"/>
      <c r="AA2984" s="69"/>
      <c r="AB2984" s="69"/>
      <c r="AC2984" s="69"/>
      <c r="AD2984" s="69"/>
      <c r="AE2984" s="69"/>
    </row>
    <row r="2985" spans="1:31" ht="22.5" customHeight="1">
      <c r="A2985" s="69"/>
      <c r="B2985" s="69"/>
      <c r="C2985" s="69"/>
      <c r="D2985" s="69"/>
      <c r="E2985" s="185"/>
      <c r="F2985" s="69"/>
      <c r="G2985" s="185"/>
      <c r="H2985" s="69"/>
      <c r="I2985" s="69"/>
      <c r="J2985" s="69"/>
      <c r="K2985" s="69"/>
      <c r="L2985" s="69"/>
      <c r="M2985" s="69"/>
      <c r="N2985" s="69"/>
      <c r="O2985" s="69"/>
      <c r="P2985" s="69"/>
      <c r="Q2985" s="69"/>
      <c r="R2985" s="69"/>
      <c r="S2985" s="69"/>
      <c r="T2985" s="69"/>
      <c r="U2985" s="69"/>
      <c r="V2985" s="69"/>
      <c r="W2985" s="69"/>
      <c r="X2985" s="69"/>
      <c r="Y2985" s="69"/>
      <c r="Z2985" s="69"/>
      <c r="AA2985" s="69"/>
      <c r="AB2985" s="69"/>
      <c r="AC2985" s="69"/>
      <c r="AD2985" s="69"/>
      <c r="AE2985" s="69"/>
    </row>
    <row r="2986" spans="1:31" ht="22.5" customHeight="1">
      <c r="A2986" s="69"/>
      <c r="B2986" s="69"/>
      <c r="C2986" s="69"/>
      <c r="D2986" s="69"/>
      <c r="E2986" s="185"/>
      <c r="F2986" s="69"/>
      <c r="G2986" s="185"/>
      <c r="H2986" s="69"/>
      <c r="I2986" s="69"/>
      <c r="J2986" s="69"/>
      <c r="K2986" s="69"/>
      <c r="L2986" s="69"/>
      <c r="M2986" s="69"/>
      <c r="N2986" s="69"/>
      <c r="O2986" s="69"/>
      <c r="P2986" s="69"/>
      <c r="Q2986" s="69"/>
      <c r="R2986" s="69"/>
      <c r="S2986" s="69"/>
      <c r="T2986" s="69"/>
      <c r="U2986" s="69"/>
      <c r="V2986" s="69"/>
      <c r="W2986" s="69"/>
      <c r="X2986" s="69"/>
      <c r="Y2986" s="69"/>
      <c r="Z2986" s="69"/>
      <c r="AA2986" s="69"/>
      <c r="AB2986" s="69"/>
      <c r="AC2986" s="69"/>
      <c r="AD2986" s="69"/>
      <c r="AE2986" s="69"/>
    </row>
    <row r="2987" spans="1:31" ht="22.5" customHeight="1">
      <c r="A2987" s="69"/>
      <c r="B2987" s="69"/>
      <c r="C2987" s="69"/>
      <c r="D2987" s="69"/>
      <c r="E2987" s="185"/>
      <c r="F2987" s="69"/>
      <c r="G2987" s="185"/>
      <c r="H2987" s="69"/>
      <c r="I2987" s="69"/>
      <c r="J2987" s="69"/>
      <c r="K2987" s="69"/>
      <c r="L2987" s="69"/>
      <c r="M2987" s="69"/>
      <c r="N2987" s="69"/>
      <c r="O2987" s="69"/>
      <c r="P2987" s="69"/>
      <c r="Q2987" s="69"/>
      <c r="R2987" s="69"/>
      <c r="S2987" s="69"/>
      <c r="T2987" s="69"/>
      <c r="U2987" s="69"/>
      <c r="V2987" s="69"/>
      <c r="W2987" s="69"/>
      <c r="X2987" s="69"/>
      <c r="Y2987" s="69"/>
      <c r="Z2987" s="69"/>
      <c r="AA2987" s="69"/>
      <c r="AB2987" s="69"/>
      <c r="AC2987" s="69"/>
      <c r="AD2987" s="69"/>
      <c r="AE2987" s="69"/>
    </row>
    <row r="2988" spans="1:31" ht="22.5" customHeight="1">
      <c r="A2988" s="69"/>
      <c r="B2988" s="69"/>
      <c r="C2988" s="69"/>
      <c r="D2988" s="69"/>
      <c r="E2988" s="185"/>
      <c r="F2988" s="69"/>
      <c r="G2988" s="185"/>
      <c r="H2988" s="69"/>
      <c r="I2988" s="69"/>
      <c r="J2988" s="69"/>
      <c r="K2988" s="69"/>
      <c r="L2988" s="69"/>
      <c r="M2988" s="69"/>
      <c r="N2988" s="69"/>
      <c r="O2988" s="69"/>
      <c r="P2988" s="69"/>
      <c r="Q2988" s="69"/>
      <c r="R2988" s="69"/>
      <c r="S2988" s="69"/>
      <c r="T2988" s="69"/>
      <c r="U2988" s="69"/>
      <c r="V2988" s="69"/>
      <c r="W2988" s="69"/>
      <c r="X2988" s="69"/>
      <c r="Y2988" s="69"/>
      <c r="Z2988" s="69"/>
      <c r="AA2988" s="69"/>
      <c r="AB2988" s="69"/>
      <c r="AC2988" s="69"/>
      <c r="AD2988" s="69"/>
      <c r="AE2988" s="69"/>
    </row>
    <row r="2989" spans="1:31" ht="22.5" customHeight="1">
      <c r="A2989" s="69"/>
      <c r="B2989" s="69"/>
      <c r="C2989" s="69"/>
      <c r="D2989" s="69"/>
      <c r="E2989" s="185"/>
      <c r="F2989" s="69"/>
      <c r="G2989" s="185"/>
      <c r="H2989" s="69"/>
      <c r="I2989" s="69"/>
      <c r="J2989" s="69"/>
      <c r="K2989" s="69"/>
      <c r="L2989" s="69"/>
      <c r="M2989" s="69"/>
      <c r="N2989" s="69"/>
      <c r="O2989" s="69"/>
      <c r="P2989" s="69"/>
      <c r="Q2989" s="69"/>
      <c r="R2989" s="69"/>
      <c r="S2989" s="69"/>
      <c r="T2989" s="69"/>
      <c r="U2989" s="69"/>
      <c r="V2989" s="69"/>
      <c r="W2989" s="69"/>
      <c r="X2989" s="69"/>
      <c r="Y2989" s="69"/>
      <c r="Z2989" s="69"/>
      <c r="AA2989" s="69"/>
      <c r="AB2989" s="69"/>
      <c r="AC2989" s="69"/>
      <c r="AD2989" s="69"/>
      <c r="AE2989" s="69"/>
    </row>
    <row r="2990" spans="1:31" ht="22.5" customHeight="1">
      <c r="A2990" s="69"/>
      <c r="B2990" s="69"/>
      <c r="C2990" s="69"/>
      <c r="D2990" s="69"/>
      <c r="E2990" s="185"/>
      <c r="F2990" s="69"/>
      <c r="G2990" s="185"/>
      <c r="H2990" s="69"/>
      <c r="I2990" s="69"/>
      <c r="J2990" s="69"/>
      <c r="K2990" s="69"/>
      <c r="L2990" s="69"/>
      <c r="M2990" s="69"/>
      <c r="N2990" s="69"/>
      <c r="O2990" s="69"/>
      <c r="P2990" s="69"/>
      <c r="Q2990" s="69"/>
      <c r="R2990" s="69"/>
      <c r="S2990" s="69"/>
      <c r="T2990" s="69"/>
      <c r="U2990" s="69"/>
      <c r="V2990" s="69"/>
      <c r="W2990" s="69"/>
      <c r="X2990" s="69"/>
      <c r="Y2990" s="69"/>
      <c r="Z2990" s="69"/>
      <c r="AA2990" s="69"/>
      <c r="AB2990" s="69"/>
      <c r="AC2990" s="69"/>
      <c r="AD2990" s="69"/>
      <c r="AE2990" s="69"/>
    </row>
    <row r="2991" spans="1:31" ht="22.5" customHeight="1">
      <c r="A2991" s="69"/>
      <c r="B2991" s="69"/>
      <c r="C2991" s="69"/>
      <c r="D2991" s="69"/>
      <c r="E2991" s="185"/>
      <c r="F2991" s="69"/>
      <c r="G2991" s="185"/>
      <c r="H2991" s="69"/>
      <c r="I2991" s="69"/>
      <c r="J2991" s="69"/>
      <c r="K2991" s="69"/>
      <c r="L2991" s="69"/>
      <c r="M2991" s="69"/>
      <c r="N2991" s="69"/>
      <c r="O2991" s="69"/>
      <c r="P2991" s="69"/>
      <c r="Q2991" s="69"/>
      <c r="R2991" s="69"/>
      <c r="S2991" s="69"/>
      <c r="T2991" s="69"/>
      <c r="U2991" s="69"/>
      <c r="V2991" s="69"/>
      <c r="W2991" s="69"/>
      <c r="X2991" s="69"/>
      <c r="Y2991" s="69"/>
      <c r="Z2991" s="69"/>
      <c r="AA2991" s="69"/>
      <c r="AB2991" s="69"/>
      <c r="AC2991" s="69"/>
      <c r="AD2991" s="69"/>
      <c r="AE2991" s="69"/>
    </row>
    <row r="2992" spans="1:31" ht="22.5" customHeight="1">
      <c r="A2992" s="69"/>
      <c r="B2992" s="69"/>
      <c r="C2992" s="69"/>
      <c r="D2992" s="69"/>
      <c r="E2992" s="185"/>
      <c r="F2992" s="69"/>
      <c r="G2992" s="185"/>
      <c r="H2992" s="69"/>
      <c r="I2992" s="69"/>
      <c r="J2992" s="69"/>
      <c r="K2992" s="69"/>
      <c r="L2992" s="69"/>
      <c r="M2992" s="69"/>
      <c r="N2992" s="69"/>
      <c r="O2992" s="69"/>
      <c r="P2992" s="69"/>
      <c r="Q2992" s="69"/>
      <c r="R2992" s="69"/>
      <c r="S2992" s="69"/>
      <c r="T2992" s="69"/>
      <c r="U2992" s="69"/>
      <c r="V2992" s="69"/>
      <c r="W2992" s="69"/>
      <c r="X2992" s="69"/>
      <c r="Y2992" s="69"/>
      <c r="Z2992" s="69"/>
      <c r="AA2992" s="69"/>
      <c r="AB2992" s="69"/>
      <c r="AC2992" s="69"/>
      <c r="AD2992" s="69"/>
      <c r="AE2992" s="69"/>
    </row>
    <row r="2993" spans="1:31" ht="22.5" customHeight="1">
      <c r="A2993" s="69"/>
      <c r="B2993" s="69"/>
      <c r="C2993" s="69"/>
      <c r="D2993" s="69"/>
      <c r="E2993" s="185"/>
      <c r="F2993" s="69"/>
      <c r="G2993" s="185"/>
      <c r="H2993" s="69"/>
      <c r="I2993" s="69"/>
      <c r="J2993" s="69"/>
      <c r="K2993" s="69"/>
      <c r="L2993" s="69"/>
      <c r="M2993" s="69"/>
      <c r="N2993" s="69"/>
      <c r="O2993" s="69"/>
      <c r="P2993" s="69"/>
      <c r="Q2993" s="69"/>
      <c r="R2993" s="69"/>
      <c r="S2993" s="69"/>
      <c r="T2993" s="69"/>
      <c r="U2993" s="69"/>
      <c r="V2993" s="69"/>
      <c r="W2993" s="69"/>
      <c r="X2993" s="69"/>
      <c r="Y2993" s="69"/>
      <c r="Z2993" s="69"/>
      <c r="AA2993" s="69"/>
      <c r="AB2993" s="69"/>
      <c r="AC2993" s="69"/>
      <c r="AD2993" s="69"/>
      <c r="AE2993" s="69"/>
    </row>
    <row r="2994" spans="1:31" ht="22.5" customHeight="1">
      <c r="A2994" s="69"/>
      <c r="B2994" s="69"/>
      <c r="C2994" s="69"/>
      <c r="D2994" s="69"/>
      <c r="E2994" s="185"/>
      <c r="F2994" s="69"/>
      <c r="G2994" s="185"/>
      <c r="H2994" s="69"/>
      <c r="I2994" s="69"/>
      <c r="J2994" s="69"/>
      <c r="K2994" s="69"/>
      <c r="L2994" s="69"/>
      <c r="M2994" s="69"/>
      <c r="N2994" s="69"/>
      <c r="O2994" s="69"/>
      <c r="P2994" s="69"/>
      <c r="Q2994" s="69"/>
      <c r="R2994" s="69"/>
      <c r="S2994" s="69"/>
      <c r="T2994" s="69"/>
      <c r="U2994" s="69"/>
      <c r="V2994" s="69"/>
      <c r="W2994" s="69"/>
      <c r="X2994" s="69"/>
      <c r="Y2994" s="69"/>
      <c r="Z2994" s="69"/>
      <c r="AA2994" s="69"/>
      <c r="AB2994" s="69"/>
      <c r="AC2994" s="69"/>
      <c r="AD2994" s="69"/>
      <c r="AE2994" s="69"/>
    </row>
    <row r="2995" spans="1:31" ht="22.5" customHeight="1">
      <c r="A2995" s="69"/>
      <c r="B2995" s="69"/>
      <c r="C2995" s="69"/>
      <c r="D2995" s="69"/>
      <c r="E2995" s="185"/>
      <c r="F2995" s="69"/>
      <c r="G2995" s="185"/>
      <c r="H2995" s="69"/>
      <c r="I2995" s="69"/>
      <c r="J2995" s="69"/>
      <c r="K2995" s="69"/>
      <c r="L2995" s="69"/>
      <c r="M2995" s="69"/>
      <c r="N2995" s="69"/>
      <c r="O2995" s="69"/>
      <c r="P2995" s="69"/>
      <c r="Q2995" s="69"/>
      <c r="R2995" s="69"/>
      <c r="S2995" s="69"/>
      <c r="T2995" s="69"/>
      <c r="U2995" s="69"/>
      <c r="V2995" s="69"/>
      <c r="W2995" s="69"/>
      <c r="X2995" s="69"/>
      <c r="Y2995" s="69"/>
      <c r="Z2995" s="69"/>
      <c r="AA2995" s="69"/>
      <c r="AB2995" s="69"/>
      <c r="AC2995" s="69"/>
      <c r="AD2995" s="69"/>
      <c r="AE2995" s="69"/>
    </row>
    <row r="2996" spans="1:31" ht="22.5" customHeight="1">
      <c r="A2996" s="69"/>
      <c r="B2996" s="69"/>
      <c r="C2996" s="69"/>
      <c r="D2996" s="69"/>
      <c r="E2996" s="185"/>
      <c r="F2996" s="69"/>
      <c r="G2996" s="185"/>
      <c r="H2996" s="69"/>
      <c r="I2996" s="69"/>
      <c r="J2996" s="69"/>
      <c r="K2996" s="69"/>
      <c r="L2996" s="69"/>
      <c r="M2996" s="69"/>
      <c r="N2996" s="69"/>
      <c r="O2996" s="69"/>
      <c r="P2996" s="69"/>
      <c r="Q2996" s="69"/>
      <c r="R2996" s="69"/>
      <c r="S2996" s="69"/>
      <c r="T2996" s="69"/>
      <c r="U2996" s="69"/>
      <c r="V2996" s="69"/>
      <c r="W2996" s="69"/>
      <c r="X2996" s="69"/>
      <c r="Y2996" s="69"/>
      <c r="Z2996" s="69"/>
      <c r="AA2996" s="69"/>
      <c r="AB2996" s="69"/>
      <c r="AC2996" s="69"/>
      <c r="AD2996" s="69"/>
      <c r="AE2996" s="69"/>
    </row>
    <row r="2997" spans="1:31" ht="22.5" customHeight="1">
      <c r="A2997" s="69"/>
      <c r="B2997" s="69"/>
      <c r="C2997" s="69"/>
      <c r="D2997" s="69"/>
      <c r="E2997" s="185"/>
      <c r="F2997" s="69"/>
      <c r="G2997" s="185"/>
      <c r="H2997" s="69"/>
      <c r="I2997" s="69"/>
      <c r="J2997" s="69"/>
      <c r="K2997" s="69"/>
      <c r="L2997" s="69"/>
      <c r="M2997" s="69"/>
      <c r="N2997" s="69"/>
      <c r="O2997" s="69"/>
      <c r="P2997" s="69"/>
      <c r="Q2997" s="69"/>
      <c r="R2997" s="69"/>
      <c r="S2997" s="69"/>
      <c r="T2997" s="69"/>
      <c r="U2997" s="69"/>
      <c r="V2997" s="69"/>
      <c r="W2997" s="69"/>
      <c r="X2997" s="69"/>
      <c r="Y2997" s="69"/>
      <c r="Z2997" s="69"/>
      <c r="AA2997" s="69"/>
      <c r="AB2997" s="69"/>
      <c r="AC2997" s="69"/>
      <c r="AD2997" s="69"/>
      <c r="AE2997" s="69"/>
    </row>
    <row r="2998" spans="1:31" ht="22.5" customHeight="1">
      <c r="A2998" s="69"/>
      <c r="B2998" s="69"/>
      <c r="C2998" s="69"/>
      <c r="D2998" s="69"/>
      <c r="E2998" s="185"/>
      <c r="F2998" s="69"/>
      <c r="G2998" s="185"/>
      <c r="H2998" s="69"/>
      <c r="I2998" s="69"/>
      <c r="J2998" s="69"/>
      <c r="K2998" s="69"/>
      <c r="L2998" s="69"/>
      <c r="M2998" s="69"/>
      <c r="N2998" s="69"/>
      <c r="O2998" s="69"/>
      <c r="P2998" s="69"/>
      <c r="Q2998" s="69"/>
      <c r="R2998" s="69"/>
      <c r="S2998" s="69"/>
      <c r="T2998" s="69"/>
      <c r="U2998" s="69"/>
      <c r="V2998" s="69"/>
      <c r="W2998" s="69"/>
      <c r="X2998" s="69"/>
      <c r="Y2998" s="69"/>
      <c r="Z2998" s="69"/>
      <c r="AA2998" s="69"/>
      <c r="AB2998" s="69"/>
      <c r="AC2998" s="69"/>
      <c r="AD2998" s="69"/>
      <c r="AE2998" s="69"/>
    </row>
    <row r="2999" spans="1:31" ht="22.5" customHeight="1">
      <c r="A2999" s="69"/>
      <c r="B2999" s="69"/>
      <c r="C2999" s="69"/>
      <c r="D2999" s="69"/>
      <c r="E2999" s="185"/>
      <c r="F2999" s="69"/>
      <c r="G2999" s="185"/>
      <c r="H2999" s="69"/>
      <c r="I2999" s="69"/>
      <c r="J2999" s="69"/>
      <c r="K2999" s="69"/>
      <c r="L2999" s="69"/>
      <c r="M2999" s="69"/>
      <c r="N2999" s="69"/>
      <c r="O2999" s="69"/>
      <c r="P2999" s="69"/>
      <c r="Q2999" s="69"/>
      <c r="R2999" s="69"/>
      <c r="S2999" s="69"/>
      <c r="T2999" s="69"/>
      <c r="U2999" s="69"/>
      <c r="V2999" s="69"/>
      <c r="W2999" s="69"/>
      <c r="X2999" s="69"/>
      <c r="Y2999" s="69"/>
      <c r="Z2999" s="69"/>
      <c r="AA2999" s="69"/>
      <c r="AB2999" s="69"/>
      <c r="AC2999" s="69"/>
      <c r="AD2999" s="69"/>
      <c r="AE2999" s="69"/>
    </row>
    <row r="3000" spans="1:31" ht="22.5" customHeight="1">
      <c r="A3000" s="69"/>
      <c r="B3000" s="69"/>
      <c r="C3000" s="69"/>
      <c r="D3000" s="69"/>
      <c r="E3000" s="185"/>
      <c r="F3000" s="69"/>
      <c r="G3000" s="185"/>
      <c r="H3000" s="69"/>
      <c r="I3000" s="69"/>
      <c r="J3000" s="69"/>
      <c r="K3000" s="69"/>
      <c r="L3000" s="69"/>
      <c r="M3000" s="69"/>
      <c r="N3000" s="69"/>
      <c r="O3000" s="69"/>
      <c r="P3000" s="69"/>
      <c r="Q3000" s="69"/>
      <c r="R3000" s="69"/>
      <c r="S3000" s="69"/>
      <c r="T3000" s="69"/>
      <c r="U3000" s="69"/>
      <c r="V3000" s="69"/>
      <c r="W3000" s="69"/>
      <c r="X3000" s="69"/>
      <c r="Y3000" s="69"/>
      <c r="Z3000" s="69"/>
      <c r="AA3000" s="69"/>
      <c r="AB3000" s="69"/>
      <c r="AC3000" s="69"/>
      <c r="AD3000" s="69"/>
      <c r="AE3000" s="69"/>
    </row>
  </sheetData>
  <dataValidations count="5">
    <dataValidation type="list" allowBlank="1" sqref="U575" xr:uid="{3E2A6AF3-A870-4474-8E39-8B11B64C455E}">
      <formula1>"Kanchana,Karthik,Rajesh,Archith,Sundaram,Ram,Ajith,Senthilkumaran"</formula1>
    </dataValidation>
    <dataValidation type="list" allowBlank="1" sqref="N2:N349 N351:N793" xr:uid="{286F6825-5CC3-4696-B19A-4E890993AC1F}">
      <formula1>"In Followup,A - Prospect,RNR / Not reachable,Not Interested/Spam,A+ - Immediate,Converted,Duplicate,New Lead,Investor,Channel Partner,Approval Client"</formula1>
    </dataValidation>
    <dataValidation type="list" allowBlank="1" sqref="N350" xr:uid="{4D8A3342-1FA3-416B-A100-C0BB07CEFEA7}">
      <formula1>"In Followup,A - Prospect,RNR / Not reachable,Not Interested,A+ - Immediate,Converted,Duplicate,New Lead,Reference"</formula1>
    </dataValidation>
    <dataValidation type="list" allowBlank="1" sqref="U2:U574 W2:W617 U576:U630 U632:U793 W621:W793" xr:uid="{F3D123DA-7AE1-4867-A39E-A90AF1387082}">
      <formula1>"Kanchana,Karthik,Rajesh,Archith,Sundaram,Ram,Ajith"</formula1>
    </dataValidation>
    <dataValidation type="list" allowBlank="1" sqref="Q2:Q3000" xr:uid="{4622D3D5-1D21-432E-BEB7-0D73E62D66E8}">
      <formula1>"Facebook/Instagram,Google Ads,India Mart,Direct Call,Referral,WhatsApp,Email Campaign,Email Enquiry,SEO,Others,Expo/Stall"</formula1>
    </dataValidation>
  </dataValidations>
  <hyperlinks>
    <hyperlink ref="H12" r:id="rId1" xr:uid="{BFA1CDD7-0CB7-484F-9CD2-A830B01EE5BE}"/>
    <hyperlink ref="H59" r:id="rId2" xr:uid="{3DC6904C-BA6E-461D-967B-20A983839039}"/>
    <hyperlink ref="H67" r:id="rId3" xr:uid="{A34B87DD-6272-40AD-ABE2-67A8FB586036}"/>
    <hyperlink ref="H70" r:id="rId4" xr:uid="{4D70E0DF-A755-4FB5-84A6-BA74E2C19CBD}"/>
    <hyperlink ref="H123" r:id="rId5" xr:uid="{F683F10F-74E2-4063-832D-61F1908DC7FF}"/>
    <hyperlink ref="H135" r:id="rId6" xr:uid="{B1ABC5F0-6A85-4090-9D61-1C2974D58F9A}"/>
    <hyperlink ref="H177" r:id="rId7" xr:uid="{5925DB34-C9B9-44D9-AD69-7ADF9AD8D207}"/>
    <hyperlink ref="H256" r:id="rId8" xr:uid="{47C8516E-0545-434C-A0AD-F4F90ECC5E06}"/>
    <hyperlink ref="H297" r:id="rId9" xr:uid="{4D30D453-7501-4054-BFC2-F7A3D8435946}"/>
    <hyperlink ref="H303" r:id="rId10" xr:uid="{C00E627D-B083-47A7-9B60-D6BBB933402C}"/>
    <hyperlink ref="H304" r:id="rId11" xr:uid="{35FCFAFD-128F-419D-B475-6E5FF66073D1}"/>
    <hyperlink ref="H305" r:id="rId12" xr:uid="{0D79650B-F573-414B-ACBB-2EDFF91E0F19}"/>
    <hyperlink ref="H310" r:id="rId13" xr:uid="{5F486E83-7DF5-4EC4-BBEB-9C110C7E2F1B}"/>
    <hyperlink ref="H312" r:id="rId14" xr:uid="{149F3E0C-AE1A-4DE0-A09B-2B6179B94814}"/>
    <hyperlink ref="H364" r:id="rId15" xr:uid="{9EF7E1DC-858F-45E2-8129-90CE4DCDCC6A}"/>
    <hyperlink ref="D528" r:id="rId16" xr:uid="{7B6DDCAB-20E8-4033-BEF4-DCBEBCC13A23}"/>
    <hyperlink ref="AD581" r:id="rId17" xr:uid="{9436D49A-0CF7-4BE7-8E09-CB52857E1EEE}"/>
    <hyperlink ref="I588" r:id="rId18" xr:uid="{54E2C7A0-CAEA-4559-88B6-27FEF02A2CA0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Mothan Raj</dc:creator>
  <cp:lastModifiedBy>Mothan Raj</cp:lastModifiedBy>
  <dcterms:created xsi:type="dcterms:W3CDTF">2026-09-08T12:45:30Z</dcterms:created>
  <dcterms:modified xsi:type="dcterms:W3CDTF">2026-09-08T12:46:31Z</dcterms:modified>
</cp:coreProperties>
</file>